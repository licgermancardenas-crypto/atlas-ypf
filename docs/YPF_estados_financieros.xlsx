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Portada" sheetId="1" r:id="rId1"/>
    <sheet name="Tablero" sheetId="2" r:id="rId2"/>
    <sheet name="Resumen" sheetId="3" r:id="rId3"/>
    <sheet name="Resultados" sheetId="4" r:id="rId4"/>
    <sheet name="Balance" sheetId="5" r:id="rId5"/>
    <sheet name="Flujo de efectivo" sheetId="6" r:id="rId6"/>
    <sheet name="Análisis" sheetId="7" r:id="rId7"/>
    <sheet name="Segmentos" sheetId="8" r:id="rId8"/>
    <sheet name="Operativo" sheetId="9" r:id="rId9"/>
    <sheet name="Valuación" sheetId="10" r:id="rId10"/>
    <sheet name="Comparables" sheetId="11" r:id="rId11"/>
    <sheet name="Deuda" sheetId="12" r:id="rId12"/>
    <sheet name="Chequeos" sheetId="13" r:id="rId13"/>
    <sheet name="Datos" sheetId="14" r:id="rId14"/>
  </sheets>
  <definedNames>
    <definedName name="_xlnm._FilterDatabase" localSheetId="13" hidden="1">Datos!$A$1:$I$5175</definedName>
    <definedName name="_xlnm.Print_Area" localSheetId="1">Tablero!$A$1:$CC$91</definedName>
  </definedNames>
  <calcPr calcId="124519" fullCalcOnLoad="1"/>
</workbook>
</file>

<file path=xl/sharedStrings.xml><?xml version="1.0" encoding="utf-8"?>
<sst xmlns="http://schemas.openxmlformats.org/spreadsheetml/2006/main" count="42988" uniqueCount="1350">
  <si>
    <t>YPF Sociedad Anónima</t>
  </si>
  <si>
    <t>Estados contables trimestrales — en dólares</t>
  </si>
  <si>
    <t>Emisor</t>
  </si>
  <si>
    <t>YPF S.A. (NYSE: YPF), CIK 0000904851</t>
  </si>
  <si>
    <t>Fuente</t>
  </si>
  <si>
    <t>SEC EDGAR: estados contables adjuntos a los 6-K y a los 20-F</t>
  </si>
  <si>
    <t>Moneda y unidad</t>
  </si>
  <si>
    <t>Dólares estadounidenses, cifras completas. La compañía reporta redondeada al millón, así que en la era dólar los últimos seis dígitos son cero: es el redondeo de la fuente, no una precisión falsa. Los trimestres traducidos desde pesos no terminan en ceros porque el redondeo de origen es al millón de pesos, que son unos pocos miles de dólares.</t>
  </si>
  <si>
    <t>Split</t>
  </si>
  <si>
    <t>En 2026 el valor nominal pasó de $10 a $1: por cada acción vieja hay diez nuevas. El ADR de NYSE pasó a representar diez acciones, así que la cantidad de ADR y su precio no cambiaron. La valuación razona en ADR por eso. El resultado por acción de los estados, en cambio, cambia de base con el split.</t>
  </si>
  <si>
    <t>Norma contable</t>
  </si>
  <si>
    <t>NIIF (IFRS) tal como las emite el IASB</t>
  </si>
  <si>
    <t>Cobertura trimestral</t>
  </si>
  <si>
    <t>2020Q1 a 2026Q2 (26 trimestres)</t>
  </si>
  <si>
    <t>Cobertura anual</t>
  </si>
  <si>
    <t>FY2019 a FY2025</t>
  </si>
  <si>
    <t>Presentaciones usadas</t>
  </si>
  <si>
    <t>39 entre 6-K y 20-F, listadas al pie</t>
  </si>
  <si>
    <t>Generado</t>
  </si>
  <si>
    <t>2026-09-10T19:12:59Z</t>
  </si>
  <si>
    <t>Cómo se arma cada trimestre</t>
  </si>
  <si>
    <t>Resultados</t>
  </si>
  <si>
    <t>El interino publica el trimestre explícito para el 1T, 2T y 3T. El 4T sale del ejercicio menos los nueve meses.</t>
  </si>
  <si>
    <t>Balance</t>
  </si>
  <si>
    <t>Es un stock: se toma tal cual a la fecha de cierre de cada trimestre.</t>
  </si>
  <si>
    <t>Flujo de efectivo</t>
  </si>
  <si>
    <t>Se publica acumulado. 1T tal cual; 2T = 6M menos 3M; 3T = 9M menos 6M; 4T = ejercicio menos 9M.</t>
  </si>
  <si>
    <t>Saldos de caja</t>
  </si>
  <si>
    <t>El saldo al cierre no se resta: es el saldo del acumulado que termina en ese trimestre. La apertura del trimestre es el cierre del anterior.</t>
  </si>
  <si>
    <t>Resultado por acción</t>
  </si>
  <si>
    <t>Solo cuando la compañía lo publica para el trimestre. Restar acumulados de un ratio por acción no da el ratio del período.</t>
  </si>
  <si>
    <t>Traducción de pesos</t>
  </si>
  <si>
    <t>Saldos al tipo de cambio de cierre; flujos al promedio del período. La resta de acumulados se hace en pesos y se convierte después.</t>
  </si>
  <si>
    <t>Lo que hay que saber antes de usar un número</t>
  </si>
  <si>
    <t>El cuarto trimestre no lo publica nadie</t>
  </si>
  <si>
    <t>YPF no emite un reporte de 4T: emite el ejercicio completo. El 4T de resultados y de flujo de efectivo de este libro sale del ejercicio menos los nueve meses. Es aritmética exacta, no una estimación, pero hereda cualquier reexpresión que la compañía haya hecho entre el 3T y el cierre: si algo se reclasificó, el ajuste cae entero en el 4T.</t>
  </si>
  <si>
    <t>El flujo de efectivo trimestral es una diferencia</t>
  </si>
  <si>
    <t>El estado de flujo de efectivo se publica siempre acumulado desde el 1 de enero. Cada trimestre que no sea el primero es la resta de dos acumulados, y esos dos acumulados vienen de dos presentaciones distintas.</t>
  </si>
  <si>
    <t>El balance empieza en el 4T23</t>
  </si>
  <si>
    <t>Los estados en dólares arrancan con el 6-K del 1T24, que trae 2023 como comparativo. Del estado de situación patrimonial, un interino solo muestra dos fechas: el cierre del trimestre y el diciembre anterior. Por eso hay resultados y flujo de todo 2023 pero no balance del 1T, 2T y 3T de ese año: en dólares, esas tres fechas no existen publicadas.</t>
  </si>
  <si>
    <t>Hasta 2022 los estados venían en pesos, y acá están traducidos</t>
  </si>
  <si>
    <t>La moneda funcional de YPF es el dólar: los estados en pesos de esos años son esa misma contabilidad traducida según la NIC 21, con tipo de cambio de cierre para los saldos y promedio del período para los flujos. No son pesos reexpresados por inflación —se nota en que los comparativos no cambian de una presentación a la otra—, así que deshacer la traducción es dividir por el mismo tipo de cambio. Esos números van en marrón. El chequeo de que el camino de vuelta funciona está en la hoja Chequeos: el activo de diciembre de 2022 vuelve a dar los 25.912 millones que la compañía publicó en dólares, y el resultado neto de cada trimestre de 2020 a 2022 vuelve con menos de un millón de diferencia contra el que anunció en su earnings release.</t>
  </si>
  <si>
    <t>El residuo de la traducción está en los ingresos de 2022</t>
  </si>
  <si>
    <t>La compañía traduce transacción por transacción y acá se usa el promedio de la cotización diaria del período. Cuando el tipo de cambio se mueve rápido, las dos cosas dejan de ser lo mismo: en 2022, con el peso perdiendo 72%, los ingresos trimestrales quedan entre 4 y 6% por encima de los del release. En 2020 y 2021 la diferencia es menor a 2%.</t>
  </si>
  <si>
    <t>Restar en pesos, convertir después</t>
  </si>
  <si>
    <t>El trimestre que sale de restar dos acumulados se arma antes de convertir. Restar dos números ya pasados a dólares con tipos de cambio distintos —el del semestre y el del trimestre— metería esa diferencia adentro del resultado.</t>
  </si>
  <si>
    <t>Cuando un acumulado tiene dos versiones, se usan las que convivieron</t>
  </si>
  <si>
    <t>Un acumulado aparece en varias presentaciones y entre 2021 y 2023 la compañía reexpresó algunos comparativos. Restar un ejercicio reexpresado de un acumulado que no lo fue cargaba trece puntos de ingresos en el cuarto trimestre de 2020. Las dos puntas de cada resta se toman de las presentaciones más cercanas entre sí.</t>
  </si>
  <si>
    <t>Cuando un número cambia, gana el último</t>
  </si>
  <si>
    <t>Un mismo período aparece en varias presentaciones: primero como período titular y después como comparativo, a veces reexpresado. Este libro toma la versión más reciente. La hoja Datos deja registrada la presentación de la que salió cada número.</t>
  </si>
  <si>
    <t>EBITDA no es el de la compañía</t>
  </si>
  <si>
    <t>El EBITDA de la hoja Análisis es resultado operativo más depreciaciones y amortizaciones del estado de flujo. El 'EBITDA ajustado' que YPF publica en su earnings release además excluye partidas que la compañía considera no recurrentes. Los dos números están cruzados en la hoja Chequeos: la diferencia es el ajuste, no un error.</t>
  </si>
  <si>
    <t>Hojas</t>
  </si>
  <si>
    <t>Estado de resultados integrales, trimestral y anual.</t>
  </si>
  <si>
    <t>Estado de situación patrimonial.</t>
  </si>
  <si>
    <t>Estado de flujo de efectivo.</t>
  </si>
  <si>
    <t>Tablero</t>
  </si>
  <si>
    <t>El trimestre en una pantalla: tarjetas y gráficos sobre fondo oscuro, con botones a cada hoja.</t>
  </si>
  <si>
    <t>Resumen</t>
  </si>
  <si>
    <t>Seis números y cinco gráficos: el trimestre y la serie, sin abrir ninguna otra hoja.</t>
  </si>
  <si>
    <t>Segmentos</t>
  </si>
  <si>
    <t>Ingresos, resultado operativo, capex y activos por negocio, con el margen de cada uno.</t>
  </si>
  <si>
    <t>Operativo</t>
  </si>
  <si>
    <t>Producción, precios de realización y las métricas por barril que salen de cruzarlos con los estados.</t>
  </si>
  <si>
    <t>Análisis</t>
  </si>
  <si>
    <t>Márgenes, retornos, estructura de capital, liquidez, capital de trabajo y caja. Todo con fórmulas.</t>
  </si>
  <si>
    <t>Valuación</t>
  </si>
  <si>
    <t>Cuatro métodos —descontado, múltiplo, reservas y valor libro— sobre supuestos editables.</t>
  </si>
  <si>
    <t>Comparables</t>
  </si>
  <si>
    <t>YPF contra Vista y Pampa: márgenes, apalancamiento y múltiplos, del XBRL de sus 20-F.</t>
  </si>
  <si>
    <t>Deuda</t>
  </si>
  <si>
    <t>La escalera de vencimientos y el detalle instrumento por instrumento.</t>
  </si>
  <si>
    <t>Chequeos</t>
  </si>
  <si>
    <t>Identidades contables y cruce contra el earnings release de la compañía.</t>
  </si>
  <si>
    <t>Datos</t>
  </si>
  <si>
    <t>Tabla larga: cada número con su derivación y la presentación de la que salió.</t>
  </si>
  <si>
    <t>Accession de EDGAR</t>
  </si>
  <si>
    <t>Se consulta en sec.gov/cgi-bin/browse-edgar?action=getcompany&amp;CIK=0000904851</t>
  </si>
  <si>
    <t>0001193125-19-077142</t>
  </si>
  <si>
    <t>6-K, presentada el 2019-03-18</t>
  </si>
  <si>
    <t>0001193125-19-096821</t>
  </si>
  <si>
    <t>20-F, presentada el 2019-04-04</t>
  </si>
  <si>
    <t>0001193125-19-150596</t>
  </si>
  <si>
    <t>6-K, presentada el 2019-05-17</t>
  </si>
  <si>
    <t>0001193125-19-223505</t>
  </si>
  <si>
    <t>6-K, presentada el 2019-08-16</t>
  </si>
  <si>
    <t>0001193125-20-073084</t>
  </si>
  <si>
    <t>6-K, presentada el 2020-03-13</t>
  </si>
  <si>
    <t>0001193125-20-119222</t>
  </si>
  <si>
    <t>20-F, presentada el 2020-04-24</t>
  </si>
  <si>
    <t>0001193125-20-145071</t>
  </si>
  <si>
    <t>6-K, presentada el 2020-05-18</t>
  </si>
  <si>
    <t>0001193125-20-220670</t>
  </si>
  <si>
    <t>6-K, presentada el 2020-08-17</t>
  </si>
  <si>
    <t>0001193125-20-294756</t>
  </si>
  <si>
    <t>6-K, presentada el 2020-11-16</t>
  </si>
  <si>
    <t>0001193125-21-079603</t>
  </si>
  <si>
    <t>6-K, presentada el 2021-03-12</t>
  </si>
  <si>
    <t>0001193125-21-125294</t>
  </si>
  <si>
    <t>20-F, presentada el 2021-04-22</t>
  </si>
  <si>
    <t>0001193125-21-164899</t>
  </si>
  <si>
    <t>6-K, presentada el 2021-05-18</t>
  </si>
  <si>
    <t>0001193125-21-248561</t>
  </si>
  <si>
    <t>6-K, presentada el 2021-08-17</t>
  </si>
  <si>
    <t>0001193125-21-330598</t>
  </si>
  <si>
    <t>6-K, presentada el 2021-11-16</t>
  </si>
  <si>
    <t>0001193125-22-073108</t>
  </si>
  <si>
    <t>6-K, presentada el 2022-03-11</t>
  </si>
  <si>
    <t>0001193125-22-111088</t>
  </si>
  <si>
    <t>20-F, presentada el 2022-04-20</t>
  </si>
  <si>
    <t>0001193125-22-153508</t>
  </si>
  <si>
    <t>6-K, presentada el 2022-05-18</t>
  </si>
  <si>
    <t>0001193125-22-222931</t>
  </si>
  <si>
    <t>6-K, presentada el 2022-08-17</t>
  </si>
  <si>
    <t>0001193125-22-286175</t>
  </si>
  <si>
    <t>6-K, presentada el 2022-11-16</t>
  </si>
  <si>
    <t>0001193125-23-072463</t>
  </si>
  <si>
    <t>6-K, presentada el 2023-03-16</t>
  </si>
  <si>
    <t>0001193125-23-072461</t>
  </si>
  <si>
    <t>0001193125-23-097822</t>
  </si>
  <si>
    <t>20-F, presentada el 2023-04-11</t>
  </si>
  <si>
    <t>0001193125-23-148119</t>
  </si>
  <si>
    <t>6-K, presentada el 2023-05-18</t>
  </si>
  <si>
    <t>0001193125-23-215023</t>
  </si>
  <si>
    <t>6-K, presentada el 2023-08-17</t>
  </si>
  <si>
    <t>0001193125-23-277880</t>
  </si>
  <si>
    <t>6-K, presentada el 2023-11-15</t>
  </si>
  <si>
    <t>0001193125-24-067865</t>
  </si>
  <si>
    <t>6-K, presentada el 2024-03-14</t>
  </si>
  <si>
    <t>0001193125-24-114066</t>
  </si>
  <si>
    <t>20-F, presentada el 2024-04-25</t>
  </si>
  <si>
    <t>0001193125-24-140516</t>
  </si>
  <si>
    <t>6-K, presentada el 2024-05-16</t>
  </si>
  <si>
    <t>0001193125-24-201303</t>
  </si>
  <si>
    <t>6-K, presentada el 2024-08-15</t>
  </si>
  <si>
    <t>0001193125-24-258522</t>
  </si>
  <si>
    <t>6-K, presentada el 2024-11-14</t>
  </si>
  <si>
    <t>0001193125-25-054782</t>
  </si>
  <si>
    <t>6-K, presentada el 2025-03-14</t>
  </si>
  <si>
    <t>0001193125-25-067155</t>
  </si>
  <si>
    <t>20-F, presentada el 2025-03-28</t>
  </si>
  <si>
    <t>0001193125-25-119819</t>
  </si>
  <si>
    <t>6-K, presentada el 2025-05-14</t>
  </si>
  <si>
    <t>0001193125-25-180832</t>
  </si>
  <si>
    <t>6-K, presentada el 2025-08-14</t>
  </si>
  <si>
    <t>0001193125-25-283146</t>
  </si>
  <si>
    <t>6-K, presentada el 2025-11-14</t>
  </si>
  <si>
    <t>0001193125-26-096690</t>
  </si>
  <si>
    <t>6-K, presentada el 2026-03-06</t>
  </si>
  <si>
    <t>0001193125-26-126363</t>
  </si>
  <si>
    <t>20-F, presentada el 2026-03-26</t>
  </si>
  <si>
    <t>0001193125-26-224194</t>
  </si>
  <si>
    <t>6-K, presentada el 2026-05-14</t>
  </si>
  <si>
    <t>0001193125-26-354159</t>
  </si>
  <si>
    <t>6-K, presentada el 2026-08-17</t>
  </si>
  <si>
    <t>Este libro se genera con pipeline/export/excel_estados.py. No editar a mano: la próxima corrida lo pisa.</t>
  </si>
  <si>
    <t>Estado de resultados integrales</t>
  </si>
  <si>
    <t>Consolidado, en dólares (la compañía reporta redondeado al millón)</t>
  </si>
  <si>
    <t>En dólares</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</si>
  <si>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</si>
  <si>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</si>
  <si>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</si>
  <si>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</si>
  <si>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</si>
  <si>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</si>
  <si>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</si>
  <si>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</si>
  <si>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</si>
  <si>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</si>
  <si>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</si>
  <si>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</si>
  <si>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</si>
  <si>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</si>
  <si>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</si>
  <si>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</si>
  <si>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</si>
  <si>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</si>
  <si>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</si>
  <si>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</si>
  <si>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</si>
  <si>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</si>
  <si>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</si>
  <si>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</si>
  <si>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</si>
  <si>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</si>
  <si>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FY19</t>
  </si>
  <si>
    <t>FY20</t>
  </si>
  <si>
    <t>FY21</t>
  </si>
  <si>
    <t>FY22</t>
  </si>
  <si>
    <t>FY23</t>
  </si>
  <si>
    <t>FY24</t>
  </si>
  <si>
    <t>FY25</t>
  </si>
  <si>
    <t>Revenues</t>
  </si>
  <si>
    <t>Costs</t>
  </si>
  <si>
    <t>Gross profit</t>
  </si>
  <si>
    <t>Selling expenses</t>
  </si>
  <si>
    <t>Administrative expenses</t>
  </si>
  <si>
    <t>Exploration expenses</t>
  </si>
  <si>
    <t>Inventories write-down and reversal of impairment losses of property, plant and equipment</t>
  </si>
  <si>
    <t>Other net operating results</t>
  </si>
  <si>
    <t>Operating profit</t>
  </si>
  <si>
    <t>Income from equity interests in associates and joint ventures</t>
  </si>
  <si>
    <t>Financial income</t>
  </si>
  <si>
    <t>Financial costs</t>
  </si>
  <si>
    <t>Other financial results</t>
  </si>
  <si>
    <t>Net financial results</t>
  </si>
  <si>
    <t>Net profit before income tax</t>
  </si>
  <si>
    <t>Income tax</t>
  </si>
  <si>
    <t>Net profit for the period</t>
  </si>
  <si>
    <t>Translation effect from subsidiaries, associates and joint ventures</t>
  </si>
  <si>
    <t>Result from net monetary position in subsidiaries, associates and joint ventures (1)</t>
  </si>
  <si>
    <t>Other comprehensive income for the period</t>
  </si>
  <si>
    <t>Total comprehensive income for the period</t>
  </si>
  <si>
    <t>Shareholders of the parent company (del resultado)</t>
  </si>
  <si>
    <t>Non-controlling interest (del resultado)</t>
  </si>
  <si>
    <t>Shareholders of the parent company (de otro resultado integral)</t>
  </si>
  <si>
    <t>Non-controlling interest (de otro resultado integral)</t>
  </si>
  <si>
    <t>Shareholders of the parent company (del resultado integral)</t>
  </si>
  <si>
    <t>Non-controlling interest (del resultado integral)</t>
  </si>
  <si>
    <t>Basic and diluted (2)</t>
  </si>
  <si>
    <t>Líneas de presentaciones anteriores</t>
  </si>
  <si>
    <t>(Impairment) / Recovery of property, plant and equipment</t>
  </si>
  <si>
    <t>Recovery / (Impairment) of property, plant and equipment and intangible assets, net</t>
  </si>
  <si>
    <t>Impairment of property, plant and equipment and intangible assets</t>
  </si>
  <si>
    <t>(Impairment) / Recovery of property, plant and equipment and intangible assets, net</t>
  </si>
  <si>
    <t>Financial loss</t>
  </si>
  <si>
    <t>Net loss for the year</t>
  </si>
  <si>
    <t>Translation differences from subsidiaries, associates and joint ventures</t>
  </si>
  <si>
    <t>Translation differences from YPF (2)</t>
  </si>
  <si>
    <t>Gains / (losses) reclassified to profit or loss due to the acquisition and/or disposal of subsidiaries, associates and joint ventures</t>
  </si>
  <si>
    <t>En bastardilla, los trimestres que la compañía no publica sueltos y salen por diferencia de acumulados. En marrón, los que la compañía presentó en pesos y acá vuelven a dólares por el tipo de cambio con el que se tradujeron. Ver Portada.</t>
  </si>
  <si>
    <t>Estado de situación patrimonial</t>
  </si>
  <si>
    <t>Intangible assets (no corriente)</t>
  </si>
  <si>
    <t>Property, plant and equipment (no corriente)</t>
  </si>
  <si>
    <t>Right-of-use assets (no corriente)</t>
  </si>
  <si>
    <t>Investments in associates and joint ventures (no corriente)</t>
  </si>
  <si>
    <t>Deferred income tax assets, net (no corriente)</t>
  </si>
  <si>
    <t>Other receivables (no corriente)</t>
  </si>
  <si>
    <t>Trade receivables (no corriente)</t>
  </si>
  <si>
    <t>Total non-current assets</t>
  </si>
  <si>
    <t>Assets held for sale</t>
  </si>
  <si>
    <t>Inventories</t>
  </si>
  <si>
    <t>Contract assets</t>
  </si>
  <si>
    <t>Other receivables (corriente)</t>
  </si>
  <si>
    <t>Trade receivables (corriente)</t>
  </si>
  <si>
    <t>Investments in financial assets (corriente)</t>
  </si>
  <si>
    <t>Cash and cash equivalents</t>
  </si>
  <si>
    <t>Total current assets</t>
  </si>
  <si>
    <t>TOTAL ASSETS</t>
  </si>
  <si>
    <t>Capital</t>
  </si>
  <si>
    <t>Treasury shares</t>
  </si>
  <si>
    <t>Share-based benefit plans</t>
  </si>
  <si>
    <t>Acquisition cost of treasury shares</t>
  </si>
  <si>
    <t>Share trading premiums</t>
  </si>
  <si>
    <t>Issuance premiums</t>
  </si>
  <si>
    <t>Legal reserve</t>
  </si>
  <si>
    <t>Reserve for investments</t>
  </si>
  <si>
    <t>Reserve for purchase of treasury shares</t>
  </si>
  <si>
    <t>Other comprehensive income</t>
  </si>
  <si>
    <t>Unappropriated retained earnings and losses</t>
  </si>
  <si>
    <t>Shareholders' equity attributable to shareholders of the parent company</t>
  </si>
  <si>
    <t>Non-controlling interest</t>
  </si>
  <si>
    <t>TOTAL SHAREHOLDERS' EQUITY</t>
  </si>
  <si>
    <t>Provisions (no corriente)</t>
  </si>
  <si>
    <t>Contract liabilities (no corriente)</t>
  </si>
  <si>
    <t>Deferred income tax liabilities, net (no corriente)</t>
  </si>
  <si>
    <t>Income tax liability (no corriente)</t>
  </si>
  <si>
    <t>Taxes payable (no corriente)</t>
  </si>
  <si>
    <t>Salaries and social security (no corriente)</t>
  </si>
  <si>
    <t>Lease liabilities (no corriente)</t>
  </si>
  <si>
    <t>Loans (no corriente)</t>
  </si>
  <si>
    <t>Other liabilities (no corriente)</t>
  </si>
  <si>
    <t>Accounts payable (no corriente)</t>
  </si>
  <si>
    <t>Total non-current liabilities</t>
  </si>
  <si>
    <t>Liabilities directly associated with assets held for sale</t>
  </si>
  <si>
    <t>Provisions (corriente)</t>
  </si>
  <si>
    <t>Contract liabilities (corriente)</t>
  </si>
  <si>
    <t>Income tax liability (corriente)</t>
  </si>
  <si>
    <t>Taxes payable (corriente)</t>
  </si>
  <si>
    <t>Salaries and social security (corriente)</t>
  </si>
  <si>
    <t>Lease liabilities (corriente)</t>
  </si>
  <si>
    <t>Loans (corriente)</t>
  </si>
  <si>
    <t>Other liabilities (corriente)</t>
  </si>
  <si>
    <t>Accounts payable (corriente)</t>
  </si>
  <si>
    <t>Total current liabilities</t>
  </si>
  <si>
    <t>TOTAL LIABILITIES</t>
  </si>
  <si>
    <t>TOTAL LIABILITIES AND SHAREHOLDERS' EQUITY</t>
  </si>
  <si>
    <t>Intangible assets</t>
  </si>
  <si>
    <t>Property, plant and equipment</t>
  </si>
  <si>
    <t>Right-of-use assets</t>
  </si>
  <si>
    <t>Investments in associates and joint ventures</t>
  </si>
  <si>
    <t>Deferred income tax assets, net</t>
  </si>
  <si>
    <t>Other receivables</t>
  </si>
  <si>
    <t>Trade receivables</t>
  </si>
  <si>
    <t>Investments in financial assets (no corriente)</t>
  </si>
  <si>
    <t>Investment in financial assets</t>
  </si>
  <si>
    <t>Total noncurrent assets</t>
  </si>
  <si>
    <t>Shareholders' contributions</t>
  </si>
  <si>
    <t>Retained earnings</t>
  </si>
  <si>
    <t>Reserves, other comprehensive income and retained earnings</t>
  </si>
  <si>
    <t>Reserve for future dividends</t>
  </si>
  <si>
    <t>Provisions</t>
  </si>
  <si>
    <t>Contract liabilities</t>
  </si>
  <si>
    <t>Deferred income tax liabilities, net</t>
  </si>
  <si>
    <t>Income tax liability</t>
  </si>
  <si>
    <t>Taxes payable</t>
  </si>
  <si>
    <t>Salaries and social security</t>
  </si>
  <si>
    <t>Lease liabilities</t>
  </si>
  <si>
    <t>Loans</t>
  </si>
  <si>
    <t>Other liabilities</t>
  </si>
  <si>
    <t>Accounts payable</t>
  </si>
  <si>
    <t>Total noncurrent liabilities</t>
  </si>
  <si>
    <t>Estado de flujo de efectivo</t>
  </si>
  <si>
    <t>Net profit</t>
  </si>
  <si>
    <t>Depreciation of property, plant and equipment</t>
  </si>
  <si>
    <t>Amortization of intangible assets</t>
  </si>
  <si>
    <t>Depreciation of right-of-use assets</t>
  </si>
  <si>
    <t>Retirement of property, plant and equipment and intangible assets and consumption of materials</t>
  </si>
  <si>
    <t>Charge on income tax</t>
  </si>
  <si>
    <t>Net increase in provisions</t>
  </si>
  <si>
    <t>Effect of changes in exchange rates, interest and others</t>
  </si>
  <si>
    <t>Result from sale of assets</t>
  </si>
  <si>
    <t>Result from changes in fair value of assets held for sale</t>
  </si>
  <si>
    <t>Result from revaluation of companies</t>
  </si>
  <si>
    <t>Other insurance income</t>
  </si>
  <si>
    <t>Decrease in provisions due to payment/use</t>
  </si>
  <si>
    <t>Dividends received</t>
  </si>
  <si>
    <t>Proceeds from collection of profit loss insurance</t>
  </si>
  <si>
    <t>Income tax payments</t>
  </si>
  <si>
    <t>Net cash flows from operating activities (1) (2)</t>
  </si>
  <si>
    <t>Acquisition of property, plant and equipment and intangible assets</t>
  </si>
  <si>
    <t>Additions of assets held for sale</t>
  </si>
  <si>
    <t>Contributions and acquisitions of interests in associates and joint ventures</t>
  </si>
  <si>
    <t>Acquisitions from business combinations net of cash and cash equivalents</t>
  </si>
  <si>
    <t>Interests received from financial assets</t>
  </si>
  <si>
    <t>Proceeds from concessions, assignment agreements and sale of assets</t>
  </si>
  <si>
    <t>Net cash flows used in investing activities</t>
  </si>
  <si>
    <t>Payments of loans</t>
  </si>
  <si>
    <t>Payments of interests</t>
  </si>
  <si>
    <t>Proceeds from loans (financiación)</t>
  </si>
  <si>
    <t>Account overdrafts, net</t>
  </si>
  <si>
    <t>Repurchase of treasury shares (financiación)</t>
  </si>
  <si>
    <t>Payments of leases</t>
  </si>
  <si>
    <t>Payments of interests in relation to income tax</t>
  </si>
  <si>
    <t>Net cash flows (used in) / from financing activities</t>
  </si>
  <si>
    <t>Effect of changes in exchange rates on cash and cash equivalents</t>
  </si>
  <si>
    <t>Increase / (Decrease) in cash and cash equivalents</t>
  </si>
  <si>
    <t>Cash and cash equivalents at the beginning of the fiscal year</t>
  </si>
  <si>
    <t>Cash and cash equivalents at the end of the period</t>
  </si>
  <si>
    <t>Net (loss) / income</t>
  </si>
  <si>
    <t>Net loss</t>
  </si>
  <si>
    <t>Income from equity interest in associates and joint ventures</t>
  </si>
  <si>
    <t>Impairment of property, plant and equipment and intangible assets, net</t>
  </si>
  <si>
    <t>Impairment / (Recovery) of property, plant and equipment and intangible assets, net</t>
  </si>
  <si>
    <t>Impairment / (Recovery) of property, plant and equipment</t>
  </si>
  <si>
    <t>(Recovery) / Impairment of property, plant and equipment and intangible assets, net</t>
  </si>
  <si>
    <t>Effect of changes in exchange rates, interest and other</t>
  </si>
  <si>
    <t>Exchange differences, interest and other</t>
  </si>
  <si>
    <t>Share-based benefit plan</t>
  </si>
  <si>
    <t>Accrued insurance</t>
  </si>
  <si>
    <t>Result from assignment of interest in areas</t>
  </si>
  <si>
    <t>Result from debt exchange</t>
  </si>
  <si>
    <t>Result from sale of assets held for disposal</t>
  </si>
  <si>
    <t>Result from the assignment of areas</t>
  </si>
  <si>
    <t>Result from assignment of areas</t>
  </si>
  <si>
    <t>Result from financial instruments exchange</t>
  </si>
  <si>
    <t>Result from the sale of areas</t>
  </si>
  <si>
    <t>Result from sale of companies</t>
  </si>
  <si>
    <t>Result from sale of WI of areas</t>
  </si>
  <si>
    <t>Decrease in provisions included in liabilities due to payment/use</t>
  </si>
  <si>
    <t>Proceeds from collection of business interruption insurance</t>
  </si>
  <si>
    <t>Proceeds from collection of lost profit insurance</t>
  </si>
  <si>
    <t>Proceeds from sales of financial assets</t>
  </si>
  <si>
    <t>Payments from purchase of financial assets</t>
  </si>
  <si>
    <t>Payments from purchases of financial assets</t>
  </si>
  <si>
    <t>Proceeds from sales of WI of areas and assets</t>
  </si>
  <si>
    <t>Sale of interest in areas</t>
  </si>
  <si>
    <t>Loans with related parties, net</t>
  </si>
  <si>
    <t>Payment from purchase of financial assets</t>
  </si>
  <si>
    <t>Proceeds from sales of assets</t>
  </si>
  <si>
    <t>Proceeds from the sale of areas</t>
  </si>
  <si>
    <t>Proceeds from assignment of interest in areas</t>
  </si>
  <si>
    <t>Interest received from financial assets</t>
  </si>
  <si>
    <t>Proceeds from assignment of areas and sale of assets</t>
  </si>
  <si>
    <t>Proceeds from sales of interest in areas and sale of assets</t>
  </si>
  <si>
    <t>Payment of loans (financiación)</t>
  </si>
  <si>
    <t>Payment of interests in relation to income tax</t>
  </si>
  <si>
    <t>Payments of interest (financiación)</t>
  </si>
  <si>
    <t>Payment of interest in relation to income tax</t>
  </si>
  <si>
    <t>Translation differences of cash and cash equivalents</t>
  </si>
  <si>
    <t>Dividends paid (financiación)</t>
  </si>
  <si>
    <t>Payments of interest in relation to income tax</t>
  </si>
  <si>
    <t>Translation differences on cash and cash equivalents</t>
  </si>
  <si>
    <t>Translation differences provided by cash and cash equivalents</t>
  </si>
  <si>
    <t>Net (Decrease) / Increase in cash and cash equivalents</t>
  </si>
  <si>
    <t>Cash and cash equivalents at the end of period</t>
  </si>
  <si>
    <t>Unpaid acquisitions of property, plant and equipment and intangible assets</t>
  </si>
  <si>
    <t>Unpaid additions of assets held for sale</t>
  </si>
  <si>
    <t>Hydrocarbon wells abandonment costs</t>
  </si>
  <si>
    <t>Additions of right-of-use assets</t>
  </si>
  <si>
    <t>Capitalization of depreciation of right-of-use assets</t>
  </si>
  <si>
    <t>Capitalization of financial accretion for lease liabilities</t>
  </si>
  <si>
    <t>Capitalization in associates and joint ventures</t>
  </si>
  <si>
    <t>Todo calculado con fórmulas sobre las hojas de estados: se puede seguir cada celda hasta la línea que la origina.</t>
  </si>
  <si>
    <t>Rentabilidad</t>
  </si>
  <si>
    <t>Margen bruto</t>
  </si>
  <si>
    <t>Margen operativo</t>
  </si>
  <si>
    <t>Margen EBITDA</t>
  </si>
  <si>
    <t>Margen neto</t>
  </si>
  <si>
    <t>Tasa efectiva de impuesto</t>
  </si>
  <si>
    <t>Impuesto sobre resultado antes de impuesto. Con resultado negativo, el signo se invierte y el ratio no dice nada.</t>
  </si>
  <si>
    <t>Absolutos calculados</t>
  </si>
  <si>
    <t>EBITDA (resultado operativo + D&amp;A)</t>
  </si>
  <si>
    <t>Depreciaciones y amortizaciones</t>
  </si>
  <si>
    <t>Flujo de caja libre (operativo − capex)</t>
  </si>
  <si>
    <t>El capex viene con signo negativo en el estado de flujo, así que se suma.</t>
  </si>
  <si>
    <t>Deuda financiera bruta</t>
  </si>
  <si>
    <t>Préstamos corrientes y no corrientes. No incluye pasivos por arrendamiento.</t>
  </si>
  <si>
    <t>Deuda financiera neta</t>
  </si>
  <si>
    <t>Neta de caja y de inversiones financieras corrientes.</t>
  </si>
  <si>
    <t>Deuda financiera neta + arrendamientos</t>
  </si>
  <si>
    <t>Capital invertido (deuda neta + patrimonio)</t>
  </si>
  <si>
    <t>Últimos doce meses</t>
  </si>
  <si>
    <t>EBITDA UDM</t>
  </si>
  <si>
    <t>Resultado neto UDM</t>
  </si>
  <si>
    <t>Flujo operativo UDM</t>
  </si>
  <si>
    <t>Ingresos UDM</t>
  </si>
  <si>
    <t>Resultado operativo UDM</t>
  </si>
  <si>
    <t>Resultado antes de impuesto UDM</t>
  </si>
  <si>
    <t>Impuesto a las ganancias UDM</t>
  </si>
  <si>
    <t>Capex UDM</t>
  </si>
  <si>
    <t>Costos financieros UDM</t>
  </si>
  <si>
    <t>Retornos</t>
  </si>
  <si>
    <t>ROE (UDM sobre patrimonio promedio)</t>
  </si>
  <si>
    <t>ROA (UDM sobre activo promedio)</t>
  </si>
  <si>
    <t>ROIC (NOPAT UDM sobre capital invertido promedio)</t>
  </si>
  <si>
    <t>Tasa efectiva de los últimos doce meses, acotada entre 0% y 60%. Con resultado antes de impuesto negativo se usa 35%, la tasa societaria argentina.</t>
  </si>
  <si>
    <t>Estructura de capital</t>
  </si>
  <si>
    <t>Deuda neta / EBITDA UDM</t>
  </si>
  <si>
    <t>Deuda bruta / patrimonio</t>
  </si>
  <si>
    <t>Pasivo / activo</t>
  </si>
  <si>
    <t>Cobertura de intereses (EBIT / costos financieros)</t>
  </si>
  <si>
    <t>Costos financieros totales del estado de resultados, no solo intereses de deuda.</t>
  </si>
  <si>
    <t>Liquidez y capital de trabajo</t>
  </si>
  <si>
    <t>Liquidez corriente</t>
  </si>
  <si>
    <t>Prueba ácida</t>
  </si>
  <si>
    <t>Días de cobranza (DSO)</t>
  </si>
  <si>
    <t>Sobre los ingresos del trimestre anualizados a 365 días.</t>
  </si>
  <si>
    <t>Días de inventario (DIO)</t>
  </si>
  <si>
    <t>Días de pago (DPO)</t>
  </si>
  <si>
    <t>Generación de caja</t>
  </si>
  <si>
    <t>Flujo operativo / ingresos</t>
  </si>
  <si>
    <t>Capex / D&amp;A</t>
  </si>
  <si>
    <t>Arriba de 1 la compañía está invirtiendo más de lo que consume su base de activos.</t>
  </si>
  <si>
    <t>Flujo de caja libre / EBITDA</t>
  </si>
  <si>
    <t>Crecimiento interanual</t>
  </si>
  <si>
    <t>Ingresos</t>
  </si>
  <si>
    <t>EBITDA</t>
  </si>
  <si>
    <t>Flujo operativo</t>
  </si>
  <si>
    <t>Estructura del resultado (sobre ingresos)</t>
  </si>
  <si>
    <t>Costos</t>
  </si>
  <si>
    <t>Gastos de comercialización</t>
  </si>
  <si>
    <t>Gastos de administración</t>
  </si>
  <si>
    <t>Gastos de exploración</t>
  </si>
  <si>
    <t>Otros resultados operativos</t>
  </si>
  <si>
    <t>Resultados financieros netos</t>
  </si>
  <si>
    <t>Impuesto a las ganancias</t>
  </si>
  <si>
    <t>Puente al EBITDA ajustado de la compañía</t>
  </si>
  <si>
    <t>El EBITDA ajustado del earnings release no es el de los estados: excluye partidas que la compañía considera no recurrentes. Este bloque muestra de qué está hecha la diferencia en vez de dejarla como una discrepancia sin explicar.</t>
  </si>
  <si>
    <t>Resultado operativo</t>
  </si>
  <si>
    <t>EBITDA de los estados</t>
  </si>
  <si>
    <t>EBITDA ajustado publicado</t>
  </si>
  <si>
    <t>Diferencia (ajustes de la compañía)</t>
  </si>
  <si>
    <t>Memo: deterioro y reversión de bienes de uso</t>
  </si>
  <si>
    <t>Memo: resultado de participaciones en asociadas</t>
  </si>
  <si>
    <t>Otros números del release</t>
  </si>
  <si>
    <t>Capex publicado</t>
  </si>
  <si>
    <t>Flujo de caja libre publicado</t>
  </si>
  <si>
    <t>De la nota de segmentos de cada 6-K. La compañía la publica acumulada, así que el trimestre sale por diferencia; cuando cambió la apertura, el trimestre del cambio queda vacío.</t>
  </si>
  <si>
    <t>Upstream</t>
  </si>
  <si>
    <t>Midstream y Downstream</t>
  </si>
  <si>
    <t>Downstream</t>
  </si>
  <si>
    <t>Industrialización</t>
  </si>
  <si>
    <t>Comercialización</t>
  </si>
  <si>
    <t>Gas y energía</t>
  </si>
  <si>
    <t>GNL y gas integrado</t>
  </si>
  <si>
    <t>Nuevas energías</t>
  </si>
  <si>
    <t>Administración central y otros</t>
  </si>
  <si>
    <t>Ajustes de consolidación</t>
  </si>
  <si>
    <t>Total</t>
  </si>
  <si>
    <t>Suma de segmentos − total</t>
  </si>
  <si>
    <t>Da cero cuando la apertura está completa. Donde un segmento no se publicó —el 4T22, que es cuando la compañía cambió la apertura— la diferencia es ese hueco.</t>
  </si>
  <si>
    <t>Capex en bienes de uso</t>
  </si>
  <si>
    <t>Depreciación de bienes de uso</t>
  </si>
  <si>
    <t>Activos</t>
  </si>
  <si>
    <t>Margen operativo por segmento</t>
  </si>
  <si>
    <t>Apertura homologada</t>
  </si>
  <si>
    <t>Las tres aperturas que usó la compañía reparten distinto el mismo conjunto de negocios. Todo lo que no es Upstream ni la administración central se suma en «Downstream y gas», con sus ventas a terceros como ingresos; así la serie sigue sin cortes. El 4T22 sale del ejercicio menos tres trimestres. Lo arma transform/segments_ypf.py.</t>
  </si>
  <si>
    <t>Downstream y gas</t>
  </si>
  <si>
    <t>Da cero por construcción: los ajustes de ingresos son el total menos los negocios.</t>
  </si>
  <si>
    <t>Producción y precios del earnings release; las métricas por barril salen de cruzarlos con los estados.</t>
  </si>
  <si>
    <t>Lo que publica la compañía</t>
  </si>
  <si>
    <t>Producción total (kboe/d)</t>
  </si>
  <si>
    <t>Petróleo (kbbl/d)</t>
  </si>
  <si>
    <t>Petróleo shale (kbbl/d)</t>
  </si>
  <si>
    <t>Gas (Mm³/d)</t>
  </si>
  <si>
    <t>Crudo procesado (kbbl/d)</t>
  </si>
  <si>
    <t>Precio de realización del crudo (USD/bbl)</t>
  </si>
  <si>
    <t>Precio de realización del gas (USD/MBTU)</t>
  </si>
  <si>
    <t>Lifting cost (USD/boe)</t>
  </si>
  <si>
    <t>Producción del período</t>
  </si>
  <si>
    <t>Días del período</t>
  </si>
  <si>
    <t>Producción del período (Mboe)</t>
  </si>
  <si>
    <t>Por barril equivalente</t>
  </si>
  <si>
    <t>EBITDA por boe</t>
  </si>
  <si>
    <t>EBITDA consolidado sobre producción: incluye el aporte de refino, que no produce barriles.</t>
  </si>
  <si>
    <t>Ingresos de Upstream por boe</t>
  </si>
  <si>
    <t>Incluye las ventas intersegmento, que es como el crudo llega a la refinería propia.</t>
  </si>
  <si>
    <t>Resultado operativo de Upstream por boe</t>
  </si>
  <si>
    <t>Capex de Upstream por boe</t>
  </si>
  <si>
    <t>Depreciación de Upstream por boe</t>
  </si>
  <si>
    <t>Es el costo de agotamiento del yacimiento: contra el resultado operativo por boe dice cuánto del margen es caja.</t>
  </si>
  <si>
    <t>Flujo operativo por boe</t>
  </si>
  <si>
    <t>Consolidado: el flujo de refino y comercialización también está adentro.</t>
  </si>
  <si>
    <t>Múltiplos, flujo de fondos descontado y valor de reservas. Las celdas naranjas son supuestos: cambiarlas recalcula todo lo demás.</t>
  </si>
  <si>
    <t>Supuestos</t>
  </si>
  <si>
    <t>ADR en circulación</t>
  </si>
  <si>
    <t>Cada ADR representa 10 acciones ordinarias desde el split de 2026. Antes del split representaba una.</t>
  </si>
  <si>
    <t>Precio del ADR (USD)</t>
  </si>
  <si>
    <t>Cierre del 2026-09-08 en NYSE.</t>
  </si>
  <si>
    <t>Tasa libre de riesgo</t>
  </si>
  <si>
    <t>Tesoro de EE.UU. a 10 años. No sale del pipeline: es un supuesto que conviene actualizar.</t>
  </si>
  <si>
    <t>Riesgo país</t>
  </si>
  <si>
    <t>EMBI+ Argentina, el último del pipeline, pasado a tasa.</t>
  </si>
  <si>
    <t>Beta</t>
  </si>
  <si>
    <t>Beta de YPF contra el S&amp;P 500. Supuesto.</t>
  </si>
  <si>
    <t>Prima de riesgo de mercado</t>
  </si>
  <si>
    <t>Supuesto.</t>
  </si>
  <si>
    <t>Tasa de impuesto</t>
  </si>
  <si>
    <t>Alícuota societaria argentina.</t>
  </si>
  <si>
    <t>Crecimiento del flujo, años 1 a 5</t>
  </si>
  <si>
    <t>Vaca Muerta viene creciendo bastante más que esto; el supuesto es deliberadamente conservador.</t>
  </si>
  <si>
    <t>Crecimiento perpetuo</t>
  </si>
  <si>
    <t>A perpetuidad no se le puede pedir más que la inflación de largo plazo del dólar.</t>
  </si>
  <si>
    <t>Valor por boe de reserva probada (USD)</t>
  </si>
  <si>
    <t>Del modelo de economía de pozo del proyecto: NPV mediano de un pozo de YPF sobre su EUR, o sea valor después de capex. Comparar contra el EV por boe de arriba, que es lo que paga hoy el mercado.</t>
  </si>
  <si>
    <t>Mercado y capital</t>
  </si>
  <si>
    <t>Capitalización bursátil</t>
  </si>
  <si>
    <t>De la hoja Análisis, al último trimestre.</t>
  </si>
  <si>
    <t>Valor de la empresa (EV)</t>
  </si>
  <si>
    <t>EV / EBITDA UDM</t>
  </si>
  <si>
    <t>EV / ingresos UDM</t>
  </si>
  <si>
    <t>Precio / utilidad UDM</t>
  </si>
  <si>
    <t>Con resultado negativo el múltiplo no significa nada; queda a la vista igual.</t>
  </si>
  <si>
    <t>Precio / valor libro</t>
  </si>
  <si>
    <t>Reservas probadas (2024, millones de boe)</t>
  </si>
  <si>
    <t>Secretaría de Energía. Son las reservas de los bloques que YPF opera.</t>
  </si>
  <si>
    <t>EV / boe de reserva probada (USD)</t>
  </si>
  <si>
    <t>Múltiplo histórico por trimestre</t>
  </si>
  <si>
    <t>Promedio</t>
  </si>
  <si>
    <t>Mediana</t>
  </si>
  <si>
    <t>Precio del ADR al cierre del trimestre</t>
  </si>
  <si>
    <t>Costo del capital</t>
  </si>
  <si>
    <t>Costo del patrimonio (CAPM + riesgo país)</t>
  </si>
  <si>
    <t>Se suma el riesgo país entero al costo del patrimonio: es el ajuste más común para un emisor argentino, y también el más discutible.</t>
  </si>
  <si>
    <t>Costo de la deuda (implícito)</t>
  </si>
  <si>
    <t>Costos financieros de los últimos doce meses sobre deuda bruta. Incluye cargos que no son intereses, así que queda alto.</t>
  </si>
  <si>
    <t>Costo de la deuda después de impuestos</t>
  </si>
  <si>
    <t>Peso de la deuda</t>
  </si>
  <si>
    <t>A valor de mercado del patrimonio, no a valor libro.</t>
  </si>
  <si>
    <t>WACC</t>
  </si>
  <si>
    <t>Método 1 — flujo de fondos descontado (FCFF)</t>
  </si>
  <si>
    <t>Flujo libre para la firma, UDM</t>
  </si>
  <si>
    <t>Operativo, más los intereses después de impuestos que ya se pagaron, menos el capex. El capex viene negativo del estado de flujo.</t>
  </si>
  <si>
    <t>Año 1</t>
  </si>
  <si>
    <t>Año 2</t>
  </si>
  <si>
    <t>Año 3</t>
  </si>
  <si>
    <t>Año 4</t>
  </si>
  <si>
    <t>Año 5</t>
  </si>
  <si>
    <t>Terminal</t>
  </si>
  <si>
    <t>Flujo proyectado</t>
  </si>
  <si>
    <t>Valor presente</t>
  </si>
  <si>
    <t>Valor de la empresa por descuento</t>
  </si>
  <si>
    <t>Peso del valor terminal</t>
  </si>
  <si>
    <t>Arriba de dos tercios, el descontado está diciendo más sobre la tasa y el crecimiento perpetuo que sobre los próximos cinco años.</t>
  </si>
  <si>
    <t>Valor del patrimonio</t>
  </si>
  <si>
    <t>Valor por ADR</t>
  </si>
  <si>
    <t>Sensibilidad del valor por ADR (WACC contra crecimiento perpetuo)</t>
  </si>
  <si>
    <t>WACC \ g</t>
  </si>
  <si>
    <t>Método 2 — múltiplo histórico</t>
  </si>
  <si>
    <t>EV a la mediana histórica de EV/EBITDA</t>
  </si>
  <si>
    <t>La mediana del propio papel, no la de un panel de comparables: Vista y Pampa cotizan otra combinación de negocios.</t>
  </si>
  <si>
    <t>Método 3 — valor de los activos (NAV por reservas)</t>
  </si>
  <si>
    <t>Valor de las reservas probadas</t>
  </si>
  <si>
    <t>Reservas probadas por el valor unitario del supuesto. Es un piso por dos motivos: ignora los recursos no desarrollados y el negocio de refino y comercialización, que en YPF no es menor.</t>
  </si>
  <si>
    <t>Método 4 — valor libro</t>
  </si>
  <si>
    <t>Patrimonio por ADR</t>
  </si>
  <si>
    <t>El piso contable. Para una petrolera con activos amortizados a costo histórico, suele quedar por debajo del valor económico.</t>
  </si>
  <si>
    <t>Contra el precio</t>
  </si>
  <si>
    <t>Flujo de fondos descontado</t>
  </si>
  <si>
    <t>Múltiplo histórico</t>
  </si>
  <si>
    <t>Valor de reservas</t>
  </si>
  <si>
    <t>Valor libro</t>
  </si>
  <si>
    <t>Precio de mercado</t>
  </si>
  <si>
    <t>Las cuatro no son cuatro respuestas: son cuatro maneras de equivocarse distinto. El descontado depende del WACC, que en un emisor argentino es casi todo riesgo país; el múltiplo depende de que el pasado del papel siga siendo una referencia; el de reservas ignora el negocio de refino y comercialización; el valor libro ignora que los activos están a costo histórico. Lo que hay que mirar es el rango, y qué supuesto habría que creerse para justificar el precio de la pantalla.</t>
  </si>
  <si>
    <t>YPF contra Vista Energy y Pampa Energía, las dos únicas argentinas con disclosure equiparable ante la SEC.</t>
  </si>
  <si>
    <t>YPF FY23</t>
  </si>
  <si>
    <t>YPF FY24</t>
  </si>
  <si>
    <t>YPF FY25</t>
  </si>
  <si>
    <t>YPF UDM 2026Q2</t>
  </si>
  <si>
    <t>PAM FY23</t>
  </si>
  <si>
    <t>PAM FY24</t>
  </si>
  <si>
    <t>VIST FY23</t>
  </si>
  <si>
    <t>VIST FY24</t>
  </si>
  <si>
    <t>Resultados y caja</t>
  </si>
  <si>
    <t>Resultado operativo más depreciaciones y amortizaciones, para los tres igual.</t>
  </si>
  <si>
    <t>Resultado neto</t>
  </si>
  <si>
    <t>Capex</t>
  </si>
  <si>
    <t>En positivo para los tres: en el estado de flujo de YPF viene con signo negativo.</t>
  </si>
  <si>
    <t>Patrimonio neto</t>
  </si>
  <si>
    <t>Caja</t>
  </si>
  <si>
    <t>Mercado</t>
  </si>
  <si>
    <t>El precio es el último de cada papel, aunque el balance sea de distinta fecha: es el precio al que cotizan hoy esos números.</t>
  </si>
  <si>
    <t>ADR equivalentes</t>
  </si>
  <si>
    <t>Acciones en circulación dividido las que representa cada ADR, de la portada del 20-F: en Pampa son 25 por ADR y en Vista una.</t>
  </si>
  <si>
    <t>Márgenes y retornos</t>
  </si>
  <si>
    <t>Capex / EBITDA</t>
  </si>
  <si>
    <t>Resultado neto / patrimonio</t>
  </si>
  <si>
    <t>Múltiplos</t>
  </si>
  <si>
    <t>EV / EBITDA</t>
  </si>
  <si>
    <t>EV / ingresos</t>
  </si>
  <si>
    <t>Precio / utilidad</t>
  </si>
  <si>
    <t>Deuda neta / EBITDA</t>
  </si>
  <si>
    <t>Los comparables salen del XBRL de sus 20-F, que la SEC publica estructurado y en dólares (PAM: 20-F de 2025-12-31, VIST: 20-F de 2025-12-31). El último ejercicio con XBRL disponible es 2024: el 20-F siguiente ya está presentado pero sus estados todavía no aparecen en la API de datos estructurados. YPF, en cambio, está al último trimestre, porque sus estados los arma este pipeline desde el filing.</t>
  </si>
  <si>
    <t>Perfil de deuda</t>
  </si>
  <si>
    <t>Nota de préstamos de la presentación 0001193125-26-354159 (2026-08-17), en dólares.</t>
  </si>
  <si>
    <t>Vencimientos por año</t>
  </si>
  <si>
    <t>Año</t>
  </si>
  <si>
    <t>Vence</t>
  </si>
  <si>
    <t>Instrumentos</t>
  </si>
  <si>
    <t>Préstamos del balance</t>
  </si>
  <si>
    <t>Diferencia</t>
  </si>
  <si>
    <t>La nota abre las obligaciones negociables y los préstamos bancarios con vencimiento declarado; la diferencia contra el balance son los saldos que la nota no abre por instrumento (adelantos, financiaciones de comercio exterior).</t>
  </si>
  <si>
    <t>Instrumento por instrumento</t>
  </si>
  <si>
    <t>Clase</t>
  </si>
  <si>
    <t>Emitido</t>
  </si>
  <si>
    <t>Moneda</t>
  </si>
  <si>
    <t>Valor nominal</t>
  </si>
  <si>
    <t>Tasa</t>
  </si>
  <si>
    <t>No corriente</t>
  </si>
  <si>
    <t>Corriente</t>
  </si>
  <si>
    <t>Class XXX</t>
  </si>
  <si>
    <t>July, April</t>
  </si>
  <si>
    <t>2024/25</t>
  </si>
  <si>
    <t>USD</t>
  </si>
  <si>
    <t>Fixed 1.00%</t>
  </si>
  <si>
    <t>Class XXVII</t>
  </si>
  <si>
    <t>October</t>
  </si>
  <si>
    <t>2023</t>
  </si>
  <si>
    <t>Fixed 0.00%</t>
  </si>
  <si>
    <t>Class LIII</t>
  </si>
  <si>
    <t>July, December</t>
  </si>
  <si>
    <t>2017</t>
  </si>
  <si>
    <t>Fixed 6.95%</t>
  </si>
  <si>
    <t>Class XXXVIII</t>
  </si>
  <si>
    <t>July (2)</t>
  </si>
  <si>
    <t>2025</t>
  </si>
  <si>
    <t>Fixed 7.50%</t>
  </si>
  <si>
    <t>Class XXXV</t>
  </si>
  <si>
    <t>February</t>
  </si>
  <si>
    <t>Fixed 6.25%</t>
  </si>
  <si>
    <t>Class XXXVII</t>
  </si>
  <si>
    <t>May (2)</t>
  </si>
  <si>
    <t>Fixed 7.00%</t>
  </si>
  <si>
    <t>Class XLI</t>
  </si>
  <si>
    <t>October (2)</t>
  </si>
  <si>
    <t>Fixed 6.00%</t>
  </si>
  <si>
    <t>Class XXIV</t>
  </si>
  <si>
    <t>April</t>
  </si>
  <si>
    <t>Class XXVI</t>
  </si>
  <si>
    <t>September</t>
  </si>
  <si>
    <t>Class XXXII</t>
  </si>
  <si>
    <t>2024</t>
  </si>
  <si>
    <t>Fixed 6.50%</t>
  </si>
  <si>
    <t>Class XL</t>
  </si>
  <si>
    <t>August (2)</t>
  </si>
  <si>
    <t>Class XXXIII</t>
  </si>
  <si>
    <t>-</t>
  </si>
  <si>
    <t>1998</t>
  </si>
  <si>
    <t>Fixed 10.00%</t>
  </si>
  <si>
    <t>Class XVII</t>
  </si>
  <si>
    <t>2021</t>
  </si>
  <si>
    <t>Fixed 9.00%</t>
  </si>
  <si>
    <t>Class I</t>
  </si>
  <si>
    <t>June</t>
  </si>
  <si>
    <t>2019</t>
  </si>
  <si>
    <t>Fixed 8.50%</t>
  </si>
  <si>
    <t>Class XLII</t>
  </si>
  <si>
    <t>December (2)</t>
  </si>
  <si>
    <t>Class XXXIX</t>
  </si>
  <si>
    <t>July, August (2)</t>
  </si>
  <si>
    <t>Fixed 8.75%</t>
  </si>
  <si>
    <t>Class XLIII</t>
  </si>
  <si>
    <t>April (4)</t>
  </si>
  <si>
    <t>2026</t>
  </si>
  <si>
    <t>Fixed 5.50%</t>
  </si>
  <si>
    <t>Class XXXI</t>
  </si>
  <si>
    <t>Class XXVIII</t>
  </si>
  <si>
    <t>January</t>
  </si>
  <si>
    <t>Fixed 9.50%</t>
  </si>
  <si>
    <t>Class XX</t>
  </si>
  <si>
    <t>July</t>
  </si>
  <si>
    <t>Fixed 5.75%</t>
  </si>
  <si>
    <t>Class XVIII</t>
  </si>
  <si>
    <t>Class XXXIV</t>
  </si>
  <si>
    <t>January (4)</t>
  </si>
  <si>
    <t>Fixed 8.25%</t>
  </si>
  <si>
    <t>Class LIV</t>
  </si>
  <si>
    <t>December</t>
  </si>
  <si>
    <t>El año es el del vencimiento del capital del instrumento. Los bonos que amortizan en cuotas figuran enteros contra su último vencimiento, así que la escalera es un techo por año, no un calendario de pagos.</t>
  </si>
  <si>
    <t>Las identidades contables tienen que dar cero. El cruce contra el earnings release no: ahí la diferencia es el ajuste de la compañía.</t>
  </si>
  <si>
    <t>Identidades del balance</t>
  </si>
  <si>
    <t>Activo − (pasivo + patrimonio)</t>
  </si>
  <si>
    <t>Activo − (corriente + no corriente)</t>
  </si>
  <si>
    <t>Pasivo − (corriente + no corriente)</t>
  </si>
  <si>
    <t>Identidades del estado de resultados</t>
  </si>
  <si>
    <t>Resultado bruto − (ingresos + costos)</t>
  </si>
  <si>
    <t>Resultado neto − (antes de impuesto + impuesto)</t>
  </si>
  <si>
    <t>Resultado neto − (controlante + no controlante)</t>
  </si>
  <si>
    <t>Articulación entre estados</t>
  </si>
  <si>
    <t>Caja del flujo − caja del balance</t>
  </si>
  <si>
    <t>(Operativo + inversión + financiación + tipo de cambio) − variación de caja</t>
  </si>
  <si>
    <t>Resultado neto del flujo − resultado neto del estado de resultados</t>
  </si>
  <si>
    <t>Los cuatro trimestres contra el ejercicio</t>
  </si>
  <si>
    <t>En los ejercicios en dólares esto tiene que dar cero. Hasta 2022 no: ahí los trimestres vuelven de pesos con el tipo de cambio promedio de cada período y el ejercicio es el que la compañía publicó en dólares en su 20-F. La diferencia es el residuo de la traducción, medido abajo.</t>
  </si>
  <si>
    <t>Ingresos: suma de trimestres − ejercicio</t>
  </si>
  <si>
    <t>Resultado neto: suma de trimestres − ejercicio</t>
  </si>
  <si>
    <t>Flujo operativo: suma de trimestres − ejercicio</t>
  </si>
  <si>
    <t>Cuánto cuesta la conversión desde pesos</t>
  </si>
  <si>
    <t>La compañía traduce cada transacción a su propio tipo de cambio; acá se usa el promedio diario del período. En un año de salto cambiario las dos cosas se separan, y esta fila mide cuánto.</t>
  </si>
  <si>
    <t>Ingresos, brecha en %</t>
  </si>
  <si>
    <t>Resultado neto, brecha en %</t>
  </si>
  <si>
    <t>Flujo operativo, brecha en %</t>
  </si>
  <si>
    <t>Contra el earnings release de la compañía</t>
  </si>
  <si>
    <t>Los números del release salen de la tabla de highlights del 6-K; los del estado, de los estados contables del mismo 6-K.</t>
  </si>
  <si>
    <t>Ingresos, release</t>
  </si>
  <si>
    <t xml:space="preserve">   diferencia contra el estado contable</t>
  </si>
  <si>
    <t>Resultado neto, release</t>
  </si>
  <si>
    <t>EBITDA ajustado, release</t>
  </si>
  <si>
    <t>Deuda neta, release</t>
  </si>
  <si>
    <t>Estado</t>
  </si>
  <si>
    <t>Línea</t>
  </si>
  <si>
    <t>Clave</t>
  </si>
  <si>
    <t>Período</t>
  </si>
  <si>
    <t>Tipo</t>
  </si>
  <si>
    <t>Dólares</t>
  </si>
  <si>
    <t>Derivación</t>
  </si>
  <si>
    <t>Presentación</t>
  </si>
  <si>
    <t>Fecha de presentación</t>
  </si>
  <si>
    <t>balance</t>
  </si>
  <si>
    <t>intangible assets | total noncurrent assets</t>
  </si>
  <si>
    <t>2016</t>
  </si>
  <si>
    <t>anual</t>
  </si>
  <si>
    <t>reportado</t>
  </si>
  <si>
    <t>2019-04-04</t>
  </si>
  <si>
    <t>property plant and equipment | total noncurrent assets</t>
  </si>
  <si>
    <t>investments in associates and joint ventures | total noncurrent assets</t>
  </si>
  <si>
    <t>deferred income tax assets net | total noncurrent assets</t>
  </si>
  <si>
    <t>other receivables | total noncurrent assets</t>
  </si>
  <si>
    <t>trade receivables | total noncurrent assets</t>
  </si>
  <si>
    <t>investments in financial assets | total noncurrent assets</t>
  </si>
  <si>
    <t>total noncurrent assets</t>
  </si>
  <si>
    <t>inventories | total current assets</t>
  </si>
  <si>
    <t>contract assets | total current assets</t>
  </si>
  <si>
    <t>other receivables | total current assets</t>
  </si>
  <si>
    <t>trade receivables | total current assets</t>
  </si>
  <si>
    <t>investments in financial assets | total current assets</t>
  </si>
  <si>
    <t>cash and cash equivalents | total current assets</t>
  </si>
  <si>
    <t>total current assets</t>
  </si>
  <si>
    <t>total assets</t>
  </si>
  <si>
    <t>Shareholders contributions</t>
  </si>
  <si>
    <t>shareholders contributions | total shareholders equity</t>
  </si>
  <si>
    <t>reserves other comprehensive income and retained earnings | total shareholders equity</t>
  </si>
  <si>
    <t>Shareholders equity attributable to shareholders of the parent company</t>
  </si>
  <si>
    <t>shareholders equity attributable to shareholders of the parent company | total shareholders equity</t>
  </si>
  <si>
    <t>non controlling interest | total shareholders equity</t>
  </si>
  <si>
    <t>TOTAL SHAREHOLDERS EQUITY</t>
  </si>
  <si>
    <t>total shareholders equity</t>
  </si>
  <si>
    <t>provisions | total noncurrent liabilities</t>
  </si>
  <si>
    <t>deferred income tax liabilities net | total noncurrent liabilities</t>
  </si>
  <si>
    <t>taxes payable | total noncurrent liabilities</t>
  </si>
  <si>
    <t>loans | total noncurrent liabilities</t>
  </si>
  <si>
    <t>other liabilities | total noncurrent liabilities</t>
  </si>
  <si>
    <t>accounts payable | total noncurrent liabilities</t>
  </si>
  <si>
    <t>total noncurrent liabilities</t>
  </si>
  <si>
    <t>provisions | total current liabilities</t>
  </si>
  <si>
    <t>income tax liability | total current liabilities</t>
  </si>
  <si>
    <t>contract liabilities | total current liabilities</t>
  </si>
  <si>
    <t>taxes payable | total current liabilities</t>
  </si>
  <si>
    <t>salaries and social security | total current liabilities</t>
  </si>
  <si>
    <t>loans | total current liabilities</t>
  </si>
  <si>
    <t>other liabilities | total current liabilities</t>
  </si>
  <si>
    <t>accounts payable | total current liabilities</t>
  </si>
  <si>
    <t>total current liabilities</t>
  </si>
  <si>
    <t>total liabilities</t>
  </si>
  <si>
    <t>TOTAL LIABILITIES AND SHAREHOLDERS EQUITY</t>
  </si>
  <si>
    <t>total liabilities and shareholders equity</t>
  </si>
  <si>
    <t>2016Q4</t>
  </si>
  <si>
    <t>trimestre</t>
  </si>
  <si>
    <t>2020-04-24</t>
  </si>
  <si>
    <t>Assets held for disposal</t>
  </si>
  <si>
    <t>assets held for sale | total noncurrent assets</t>
  </si>
  <si>
    <t>Liabilities associated with assets held for disposal</t>
  </si>
  <si>
    <t>liabilities associated with assets held for disposal | total noncurrent liabilities</t>
  </si>
  <si>
    <t>contract liabilities | total noncurrent liabilities</t>
  </si>
  <si>
    <t>2017Q4</t>
  </si>
  <si>
    <t>2018</t>
  </si>
  <si>
    <t>2021-04-22</t>
  </si>
  <si>
    <t>assets held for sale | total current assets</t>
  </si>
  <si>
    <t>liabilities associated with assets held for disposal | total current liabilities</t>
  </si>
  <si>
    <t>2018Q4</t>
  </si>
  <si>
    <t>intangible assets | total non current assets</t>
  </si>
  <si>
    <t>2022-04-20</t>
  </si>
  <si>
    <t>property plant and equipment | total non current assets</t>
  </si>
  <si>
    <t>right of use assets | total noncurrent assets</t>
  </si>
  <si>
    <t>right of use assets | total non current assets</t>
  </si>
  <si>
    <t>investments in associates and joint ventures | total non current assets</t>
  </si>
  <si>
    <t>deferred income tax assets net | total non current assets</t>
  </si>
  <si>
    <t>other receivables | total non current assets</t>
  </si>
  <si>
    <t>trade receivables | total non current assets</t>
  </si>
  <si>
    <t>total non current assets</t>
  </si>
  <si>
    <t>income tax liability | total noncurrent liabilities</t>
  </si>
  <si>
    <t>provisions | total non current liabilities</t>
  </si>
  <si>
    <t>deferred income tax liabilities net | total non current liabilities</t>
  </si>
  <si>
    <t>contract liabilities | total non current liabilities</t>
  </si>
  <si>
    <t>income tax liability | total non current liabilities</t>
  </si>
  <si>
    <t>lease liabilities | total noncurrent liabilities</t>
  </si>
  <si>
    <t>taxes payable | total non current liabilities</t>
  </si>
  <si>
    <t>lease liabilities | total non current liabilities</t>
  </si>
  <si>
    <t>loans | total non current liabilities</t>
  </si>
  <si>
    <t>other liabilities | total non current liabilities</t>
  </si>
  <si>
    <t>accounts payable | total non current liabilities</t>
  </si>
  <si>
    <t>total non current liabilities</t>
  </si>
  <si>
    <t>lease liabilities | total current liabilities</t>
  </si>
  <si>
    <t>2019Q1</t>
  </si>
  <si>
    <t>2019-05-17</t>
  </si>
  <si>
    <t>Deferred income tax assets, Net</t>
  </si>
  <si>
    <t>2019Q2</t>
  </si>
  <si>
    <t>2019-08-16</t>
  </si>
  <si>
    <t>Derivative financial instruments</t>
  </si>
  <si>
    <t>derivative financial instruments | total current assets</t>
  </si>
  <si>
    <t>2019Q4</t>
  </si>
  <si>
    <t>2020</t>
  </si>
  <si>
    <t>2021-11-16</t>
  </si>
  <si>
    <t>2023-04-11</t>
  </si>
  <si>
    <t>retained earnings | total shareholders equity</t>
  </si>
  <si>
    <t>salaries and social security | total noncurrent liabilities</t>
  </si>
  <si>
    <t>salaries and social security | total non current liabilities</t>
  </si>
  <si>
    <t>2020-05-18</t>
  </si>
  <si>
    <t>2020-08-17</t>
  </si>
  <si>
    <t>2020-11-16</t>
  </si>
  <si>
    <t>2024-04-25</t>
  </si>
  <si>
    <t>Investments in financial assets</t>
  </si>
  <si>
    <t>investments in financial assets | total non current assets</t>
  </si>
  <si>
    <t>2022-11-16</t>
  </si>
  <si>
    <t>2021-05-18</t>
  </si>
  <si>
    <t>2021-08-17</t>
  </si>
  <si>
    <t>2022</t>
  </si>
  <si>
    <t>2025-03-28</t>
  </si>
  <si>
    <t>2022-05-18</t>
  </si>
  <si>
    <t>2022-08-17</t>
  </si>
  <si>
    <t>2026-03-26</t>
  </si>
  <si>
    <t>capital | total shareholders equity</t>
  </si>
  <si>
    <t>treasury shares | total shareholders equity</t>
  </si>
  <si>
    <t>share based benefit plans | total shareholders equity</t>
  </si>
  <si>
    <t>acquisition cost of treasury shares | total shareholders equity</t>
  </si>
  <si>
    <t>share trading premiums | total shareholders equity</t>
  </si>
  <si>
    <t>issuance premiums | total shareholders equity</t>
  </si>
  <si>
    <t>legal reserve | total shareholders equity</t>
  </si>
  <si>
    <t>reserve for future dividends | total shareholders equity</t>
  </si>
  <si>
    <t>reserve for investments | total shareholders equity</t>
  </si>
  <si>
    <t>reserve for purchase of treasury shares | total shareholders equity</t>
  </si>
  <si>
    <t>other comprehensive income | total shareholders equity</t>
  </si>
  <si>
    <t>unappropriated retained earnings and losses | total shareholders equity</t>
  </si>
  <si>
    <t>2025-03-14</t>
  </si>
  <si>
    <t>2023-05-18</t>
  </si>
  <si>
    <t>2023-08-17</t>
  </si>
  <si>
    <t>2023-11-15</t>
  </si>
  <si>
    <t>2025-11-14</t>
  </si>
  <si>
    <t>liabilities directly associated with assets held for sale | total current liabilities</t>
  </si>
  <si>
    <t>2024-05-16</t>
  </si>
  <si>
    <t>2024-08-15</t>
  </si>
  <si>
    <t>2024-11-14</t>
  </si>
  <si>
    <t>2026-08-17</t>
  </si>
  <si>
    <t>2025-05-14</t>
  </si>
  <si>
    <t>2025-08-14</t>
  </si>
  <si>
    <t>2026-05-14</t>
  </si>
  <si>
    <t>flujo</t>
  </si>
  <si>
    <t>net income | net cash flows from operating activities</t>
  </si>
  <si>
    <t>income from equity interest in associates and joint ventures | net cash flows from operating activities</t>
  </si>
  <si>
    <t>depreciation of property plant and equipment | net cash flows from operating activities</t>
  </si>
  <si>
    <t>amortization of intangible assets | net cash flows from operating activities</t>
  </si>
  <si>
    <t>Consumption of materials and retirement of property, plant and equipment and intangible assets</t>
  </si>
  <si>
    <t>consumption of materials and retirement of property plant and equipment and intangible assets | net cash flows from operating activities</t>
  </si>
  <si>
    <t>charge on income tax | net cash flows from operating activities</t>
  </si>
  <si>
    <t>(Recovery) / Impairment of property, plant and equipment and intangible assets</t>
  </si>
  <si>
    <t>recovery impairment of property plant and equipment and intangible assets | net cash flows from operating activities</t>
  </si>
  <si>
    <t>net increase in provisions | net cash flows from operating activities</t>
  </si>
  <si>
    <t>exchange differences interest and other | net cash flows from operating activities</t>
  </si>
  <si>
    <t>share based benefit plans | net cash flows from operating activities</t>
  </si>
  <si>
    <t>Income on deconsolidation of subsidiaries</t>
  </si>
  <si>
    <t>income on deconsolidation of subsidiaries | net cash flows from operating activities</t>
  </si>
  <si>
    <t>trade receivables | net cash flows from operating activities</t>
  </si>
  <si>
    <t>other receivables | net cash flows from operating activities</t>
  </si>
  <si>
    <t>inventories | net cash flows from operating activities</t>
  </si>
  <si>
    <t>accounts payable | net cash flows from operating activities</t>
  </si>
  <si>
    <t>taxes payable | net cash flows from operating activities</t>
  </si>
  <si>
    <t>salaries and social security | net cash flows from operating activities</t>
  </si>
  <si>
    <t>other liabilities | net cash flows from operating activities</t>
  </si>
  <si>
    <t>decrease in provisions due to payment use | net cash flows from operating activities</t>
  </si>
  <si>
    <t>contract assets | net cash flows from operating activities</t>
  </si>
  <si>
    <t>contract liabilities | net cash flows from operating activities</t>
  </si>
  <si>
    <t>dividends received | net cash flows from operating activities</t>
  </si>
  <si>
    <t>proceeds from collection of lost profit insurance | net cash flows from operating activities</t>
  </si>
  <si>
    <t>income tax payments | net cash flows from operating activities</t>
  </si>
  <si>
    <t>net cash flows from operating activities</t>
  </si>
  <si>
    <t>proceeds from sales of financial assets | net cash flows used in investing activities</t>
  </si>
  <si>
    <t>acquisition of property plant and equipment and intangible assets | net cash flows used in investing activities</t>
  </si>
  <si>
    <t>Payments from acquisition of financial assets</t>
  </si>
  <si>
    <t>payments from acquisition of financial assets | net cash flows used in investing activities</t>
  </si>
  <si>
    <t>Proceeds from collection of damaged propertys insurance</t>
  </si>
  <si>
    <t>proceeds from collection of damaged property s insurance | net cash flows used in investing activities</t>
  </si>
  <si>
    <t>contributions and acquisitions of interests in associates and joint ventures | net cash flows used in investing activities</t>
  </si>
  <si>
    <t>interests received from financial assets | net cash flows used in investing activities</t>
  </si>
  <si>
    <t>Payment of loans</t>
  </si>
  <si>
    <t>payment of loans | net cash flows provided by financing activities</t>
  </si>
  <si>
    <t>Payments of interest</t>
  </si>
  <si>
    <t>payments of interest | net cash flows provided by financing activities</t>
  </si>
  <si>
    <t>net cash flows used in investing activities</t>
  </si>
  <si>
    <t>Proceeds from loans</t>
  </si>
  <si>
    <t>proceeds from loans | net cash flows provided by financing activities</t>
  </si>
  <si>
    <t>Repurchase of treasury shares</t>
  </si>
  <si>
    <t>repurchase of treasury shares | net cash flows provided by financing activities</t>
  </si>
  <si>
    <t>Dividends paid</t>
  </si>
  <si>
    <t>dividends paid | net cash flows provided by financing activities</t>
  </si>
  <si>
    <t>Cash and cash equivalents at the beginning of year</t>
  </si>
  <si>
    <t>cash and cash equivalents at the beginning of year</t>
  </si>
  <si>
    <t>Contributions of non-controlling interests</t>
  </si>
  <si>
    <t>contributions of non controlling interests | net cash flows provided by financing activities</t>
  </si>
  <si>
    <t>Net cash flows provided by financing activities</t>
  </si>
  <si>
    <t>net cash flows provided by financing activities</t>
  </si>
  <si>
    <t>Deconsolidation of subsidiaries</t>
  </si>
  <si>
    <t>deconsolidation of subsidiaries</t>
  </si>
  <si>
    <t>translation differences provided by cash and cash equivalents</t>
  </si>
  <si>
    <t>Cash and cash equivalents at the end of year</t>
  </si>
  <si>
    <t>cash and cash equivalents at the end of year</t>
  </si>
  <si>
    <t>increase in cash and cash equivalents</t>
  </si>
  <si>
    <t>Acquisition of property, plant and equipment and concession extension easements not paid</t>
  </si>
  <si>
    <t>acquisition of property plant and equipment and concession extension easements not paid</t>
  </si>
  <si>
    <t>Net (decreases) increases related to hydrocarbon wells abandonment obligation costs</t>
  </si>
  <si>
    <t>net decreases increases related to hydrocarbon wells abandonment obligation costs</t>
  </si>
  <si>
    <t>increase in cash and cash equivalents (2)</t>
  </si>
  <si>
    <t>Dividends to collect</t>
  </si>
  <si>
    <t>dividends to collect</t>
  </si>
  <si>
    <t>Increase in investments in financial assets through a decrease in trade receivables and other receivables</t>
  </si>
  <si>
    <t>increase in investments in financial assets through a decrease in trade receivables and other receivables</t>
  </si>
  <si>
    <t>income from equity interests in associates and joint ventures | net cash flows from operating activities</t>
  </si>
  <si>
    <t>retirement of property plant and equipment and intangible assets and consumption of materials | net cash flows from operating activities</t>
  </si>
  <si>
    <t>impairment recovery of property plant and equipment | net cash flows from operating activities</t>
  </si>
  <si>
    <t>accrued insurance | net cash flows from operating activities</t>
  </si>
  <si>
    <t>decrease in provisions included in liabilities due to payment use | net cash flows from operating activities</t>
  </si>
  <si>
    <t>payment of loans | net cash flows from financing activities</t>
  </si>
  <si>
    <t>payments of interests | net cash flows from financing activities</t>
  </si>
  <si>
    <t>proceeds from loans | net cash flows from financing activities</t>
  </si>
  <si>
    <t>dividends paid | net cash flows from financing activities</t>
  </si>
  <si>
    <t>Reclassification of assets held for disposal</t>
  </si>
  <si>
    <t>reclassification of assets held for disposal</t>
  </si>
  <si>
    <t>repurchase of treasury shares | net cash flows from financing activities</t>
  </si>
  <si>
    <t>Reclassification to assets held for disposal</t>
  </si>
  <si>
    <t>reclassification to assets held for disposal</t>
  </si>
  <si>
    <t>net cash flows from financing activities</t>
  </si>
  <si>
    <t>cash and cash equivalents at the beginning of the fiscal year</t>
  </si>
  <si>
    <t>cash and cash equivalents at the end of the period</t>
  </si>
  <si>
    <t>Contributions in joint ventures</t>
  </si>
  <si>
    <t>contributions in joint ventures</t>
  </si>
  <si>
    <t>saldo al cierre</t>
  </si>
  <si>
    <t>recovery impairment of property plant and equipment and intangible assets net | net cash flows from operating activities</t>
  </si>
  <si>
    <t>Result of companies revaluation</t>
  </si>
  <si>
    <t>result of companies revaluation | net cash flows from operating activities</t>
  </si>
  <si>
    <t>Payments from business combinations</t>
  </si>
  <si>
    <t>payments from business combinations | net cash flows used in investing activities</t>
  </si>
  <si>
    <t>payments of loans | net cash flows from financing activities</t>
  </si>
  <si>
    <t>net decrease increase in cash and cash equivalents</t>
  </si>
  <si>
    <t>net decrease increase in cash and cash equivalents (2)</t>
  </si>
  <si>
    <t>net profit | net cash flows from operating activities</t>
  </si>
  <si>
    <t>2018Q1</t>
  </si>
  <si>
    <t>share based benefit plan | net cash flows from operating activities</t>
  </si>
  <si>
    <t>payments of interest | net cash flows from financing activities</t>
  </si>
  <si>
    <t>translation differences of cash and cash equivalents</t>
  </si>
  <si>
    <t>cash and cash equivalents at the end of period</t>
  </si>
  <si>
    <t>2018Q2</t>
  </si>
  <si>
    <t>6M menos 3M</t>
  </si>
  <si>
    <t>0001193125-19-223505 - 0001193125-19-150596</t>
  </si>
  <si>
    <t>net loss | net cash flows from operating activities</t>
  </si>
  <si>
    <t>depreciation of right of use assets | net cash flows from operating activities</t>
  </si>
  <si>
    <t>impairment recovery of property plant and equipment and intangible assets net | net cash flows from operating activities</t>
  </si>
  <si>
    <t>result from the assignment of areas | net cash flows from operating activities</t>
  </si>
  <si>
    <t>result from the sale of areas | net cash flows from operating activities</t>
  </si>
  <si>
    <t>other insurance income | net cash flows from operating activities</t>
  </si>
  <si>
    <t>proceeds from collection of profit loss insurance | net cash flows from operating activities</t>
  </si>
  <si>
    <t>sale of interest in areas | net cash flows used in investing activities</t>
  </si>
  <si>
    <t>proceeds from the sale of areas | net cash flows used in investing activities</t>
  </si>
  <si>
    <t>proceeds from sales of interest in areas and sale of assets | net cash flows used in investing activities</t>
  </si>
  <si>
    <t>payment of interests in relation to income tax | net cash flows from financing activities</t>
  </si>
  <si>
    <t>payments of leases | net cash flows from financing activities</t>
  </si>
  <si>
    <t>translation differences on cash and cash equivalents</t>
  </si>
  <si>
    <t>payments of interests in relation to income tax | net cash flows from financing activities</t>
  </si>
  <si>
    <t>proceeds from collection of business interruption insurance | net cash flows from operating activities</t>
  </si>
  <si>
    <t>Payment of leases</t>
  </si>
  <si>
    <t>payment of leases | net cash flows from financing activities</t>
  </si>
  <si>
    <t>0001193125-20-220670 - 0001193125-20-145071</t>
  </si>
  <si>
    <t>2019Q3</t>
  </si>
  <si>
    <t>9M menos 6M</t>
  </si>
  <si>
    <t>0001193125-20-294756 - 0001193125-20-220670</t>
  </si>
  <si>
    <t>payment of interest in relation to income tax | net cash flows from financing activities</t>
  </si>
  <si>
    <t>12M menos 9M</t>
  </si>
  <si>
    <t>0001193125-22-073108 - 0001193125-20-294756</t>
  </si>
  <si>
    <t>0001193125-21-079603 - 0001193125-20-294756</t>
  </si>
  <si>
    <t>effect of changes in exchange rates interest and other | net cash flows from operating activities</t>
  </si>
  <si>
    <t>result from debt exchange | net cash flows from operating activities</t>
  </si>
  <si>
    <t>result from financial instruments exchange | net cash flows from operating activities</t>
  </si>
  <si>
    <t>result from sale of wi of areas | net cash flows from operating activities</t>
  </si>
  <si>
    <t>payments from purchase of financial assets | net cash flows used in investing activities</t>
  </si>
  <si>
    <t>proceeds from sales of wi of areas and assets | net cash flows used in investing activities</t>
  </si>
  <si>
    <t>account overdraft net | net cash flows from financing activities</t>
  </si>
  <si>
    <t>effect of changes in exchange rates on cash and cash equivalents</t>
  </si>
  <si>
    <t>result from assignment of interest in areas | net cash flows from operating activities</t>
  </si>
  <si>
    <t>proceeds from assignment of interest in areas | net cash flows used in investing activities</t>
  </si>
  <si>
    <t>0001193125-21-248561 - 0001193125-21-164899</t>
  </si>
  <si>
    <t>saldo al cierre del trimestre anterior</t>
  </si>
  <si>
    <t>0001193125-21-330598 - 0001193125-21-248561</t>
  </si>
  <si>
    <t>payment from purchase of financial assets | net cash flows used in investing activities</t>
  </si>
  <si>
    <t>0001193125-20-294756 - 0001193125-21-248561</t>
  </si>
  <si>
    <t>0001193125-21-330598 - 0001193125-20-220670</t>
  </si>
  <si>
    <t>0001193125-22-073108 - 0001193125-21-330598</t>
  </si>
  <si>
    <t>impairment of property plant and equipment and intangible assets net | net cash flows from operating activities</t>
  </si>
  <si>
    <t>2024-03-14</t>
  </si>
  <si>
    <t>impairment of property plant and equipment and intangible assets | net cash flows from operating activities</t>
  </si>
  <si>
    <t>effect of changes in exchange rates interest and others | net cash flows from operating activities</t>
  </si>
  <si>
    <t>result from sale of assets | net cash flows from operating activities</t>
  </si>
  <si>
    <t>result from sale of assets held for disposal | net cash flows from operating activities</t>
  </si>
  <si>
    <t>result from assignment of areas | net cash flows from operating activities</t>
  </si>
  <si>
    <t>interest received from financial assets | net cash flows used in investing activities</t>
  </si>
  <si>
    <t>proceeds from assignment of areas and sale of assets | net cash flows used in investing activities</t>
  </si>
  <si>
    <t>payments of interest in relation to income tax | net cash flows from financing activities</t>
  </si>
  <si>
    <t>unpaid acquisitions of property plant and equipment and intangible assets</t>
  </si>
  <si>
    <t>hydrocarbon wells abandonment costs</t>
  </si>
  <si>
    <t>additions of right of use assets</t>
  </si>
  <si>
    <t>capitalization of depreciation of right of use assets</t>
  </si>
  <si>
    <t>capitalization of financial accretion for lease liabilities</t>
  </si>
  <si>
    <t>payments from purchases of financial assets | net cash flows used in investing activities</t>
  </si>
  <si>
    <t>0001193125-22-222931 - 0001193125-22-153508</t>
  </si>
  <si>
    <t>0001193125-22-286175 - 0001193125-22-222931</t>
  </si>
  <si>
    <t>proceeds from sales of assets | net cash flows used in investing activities</t>
  </si>
  <si>
    <t>0001193125-24-067865 - 0001193125-22-286175</t>
  </si>
  <si>
    <t>0001193125-23-072461 - 0001193125-22-286175</t>
  </si>
  <si>
    <t>impairment reversal of ppe and inventories write down | net cash flows from operating activities</t>
  </si>
  <si>
    <t>loans with related parties net | net cash flows used in investing activities</t>
  </si>
  <si>
    <t>proceeds from concessions assignment agreements and sale of assets | net cash flows used in investing activities</t>
  </si>
  <si>
    <t>capitalization in associates and joint ventures</t>
  </si>
  <si>
    <t>0001193125-23-215023 - 0001193125-23-148119</t>
  </si>
  <si>
    <t>0001193125-23-277880 - 0001193125-23-215023</t>
  </si>
  <si>
    <t>0001193125-24-067865 - 0001193125-23-277880</t>
  </si>
  <si>
    <t>0001193125-25-054782 - 0001193125-23-277880</t>
  </si>
  <si>
    <t>0001193125-23-072461 - 0001193125-23-277880</t>
  </si>
  <si>
    <t>0001193125-24-201303 - 0001193125-24-140516</t>
  </si>
  <si>
    <t>0001193125-24-258522 - 0001193125-24-201303</t>
  </si>
  <si>
    <t>0001193125-25-067155 - 0001193125-24-258522</t>
  </si>
  <si>
    <t>result from changes in fair value of assets held for sale | net cash flows from operating activities</t>
  </si>
  <si>
    <t>additions of assets held for sale | net cash flows used in investing activities</t>
  </si>
  <si>
    <t>unpaid additions of assets held for sale</t>
  </si>
  <si>
    <t>0001193125-25-180832 - 0001193125-25-119819</t>
  </si>
  <si>
    <t>0001193125-25-283146 - 0001193125-25-180832</t>
  </si>
  <si>
    <t>0001193125-26-096690 - 0001193125-25-283146</t>
  </si>
  <si>
    <t>result from revaluation of companies | net cash flows from operating activities</t>
  </si>
  <si>
    <t>result from sale of companies | net cash flows from operating activities</t>
  </si>
  <si>
    <t>acquisitions from business combinations net of cash and cash equivalents | net cash flows used in investing activities</t>
  </si>
  <si>
    <t>0001193125-26-354159 - 0001193125-26-224194</t>
  </si>
  <si>
    <t>resultados</t>
  </si>
  <si>
    <t>revenues</t>
  </si>
  <si>
    <t>costs</t>
  </si>
  <si>
    <t>gross profit</t>
  </si>
  <si>
    <t>selling expenses</t>
  </si>
  <si>
    <t>administrative expenses</t>
  </si>
  <si>
    <t>exploration expenses</t>
  </si>
  <si>
    <t>Recovery / (Impairment) of property, plant and equipment</t>
  </si>
  <si>
    <t>recovery impairment of property plant and equipment</t>
  </si>
  <si>
    <t>other net operating results</t>
  </si>
  <si>
    <t>operating profit</t>
  </si>
  <si>
    <t>income from equity interests in associates and joint ventures</t>
  </si>
  <si>
    <t>financial income</t>
  </si>
  <si>
    <t>financial loss</t>
  </si>
  <si>
    <t>other financial results</t>
  </si>
  <si>
    <t>net financial results</t>
  </si>
  <si>
    <t>net profit before income tax</t>
  </si>
  <si>
    <t>income tax</t>
  </si>
  <si>
    <t>net profit</t>
  </si>
  <si>
    <t>translation differences from subsidiaries associates and joint ventures</t>
  </si>
  <si>
    <t>other comprehensive income</t>
  </si>
  <si>
    <t>translation differences from ypf</t>
  </si>
  <si>
    <t>total comprehensive income</t>
  </si>
  <si>
    <t>Shareholders of the parent company</t>
  </si>
  <si>
    <t>shareholders of the parent company</t>
  </si>
  <si>
    <t>non controlling interest</t>
  </si>
  <si>
    <t>shareholders of the parent company (2)</t>
  </si>
  <si>
    <t>shareholders of the parent company (3)</t>
  </si>
  <si>
    <t>non controlling interest (3)</t>
  </si>
  <si>
    <t>basic and diluted</t>
  </si>
  <si>
    <t>impairment recovery of property plant and equipment</t>
  </si>
  <si>
    <t>Translation differences from Assets held for disposal</t>
  </si>
  <si>
    <t>translation differences from assets held for disposal</t>
  </si>
  <si>
    <t>recovery impairment of property plant and equipment and intangible assets net</t>
  </si>
  <si>
    <t>Exchange differences reversed to profit for the period (2)</t>
  </si>
  <si>
    <t>exchange differences reversed to profit</t>
  </si>
  <si>
    <t>result from net monetary position in subsidiaries associates and joint ventures</t>
  </si>
  <si>
    <t>non controlling interest (2)</t>
  </si>
  <si>
    <t>impairment recovery of property plant and equipment and intangible assets net</t>
  </si>
  <si>
    <t>net loss</t>
  </si>
  <si>
    <t>impairment of property plant and equipment and intangible assets</t>
  </si>
  <si>
    <t>financial costs</t>
  </si>
  <si>
    <t>translation effect from subsidiaries associates and joint ventures</t>
  </si>
  <si>
    <t>impairment reversal of ppe and inventories write down</t>
  </si>
  <si>
    <t>0001193125-21-125294 - 0001193125-21-330598</t>
  </si>
  <si>
    <t>12M menos los trimestres anteriores</t>
  </si>
  <si>
    <t>gains reclassified to profit or loss due to the acquisition and or disposal of subsidiaries associates and joint ventures</t>
  </si>
  <si>
    <t>YPF de un vistazo</t>
  </si>
  <si>
    <t>Al cierre de 2026Q2, contra el mismo trimestre del año anterior. Todo referenciado a las hojas de estados.</t>
  </si>
  <si>
    <t>Ingresos del trimestre</t>
  </si>
  <si>
    <t>contra un año antes</t>
  </si>
  <si>
    <t>EBITDA del trimestre</t>
  </si>
  <si>
    <t>Flujo de caja libre</t>
  </si>
  <si>
    <t>Los gráficos leen las hojas de estados: no hay datos copiados acá. La serie de trimestres arranca en 2020 y los anteriores a 2023 están traducidos desde pesos (ver Portada).</t>
  </si>
  <si>
    <t>Datos del tablero</t>
  </si>
  <si>
    <t>Todo lo que muestra el tablero sale de estas celdas. Son fórmulas INDEX contra las hojas de estados, Análisis, Segmentos y Valuación, desplazadas según el trimestre elegido arriba. No hay números escritos a mano.</t>
  </si>
  <si>
    <t>2T26</t>
  </si>
  <si>
    <t>Consolidado</t>
  </si>
  <si>
    <t>Año anterior</t>
  </si>
  <si>
    <t>Listas</t>
  </si>
  <si>
    <t>Trimestres a elegir</t>
  </si>
  <si>
    <t>Métricas</t>
  </si>
  <si>
    <t>Comparación</t>
  </si>
  <si>
    <t>1T20</t>
  </si>
  <si>
    <t>2T20</t>
  </si>
  <si>
    <t>1T26</t>
  </si>
  <si>
    <t>EBITDA ajustado</t>
  </si>
  <si>
    <t>Trimestre anterior</t>
  </si>
  <si>
    <t>3T20</t>
  </si>
  <si>
    <t>4T25</t>
  </si>
  <si>
    <t>4T20</t>
  </si>
  <si>
    <t>3T25</t>
  </si>
  <si>
    <t>1T21</t>
  </si>
  <si>
    <t>2T25</t>
  </si>
  <si>
    <t>2T21</t>
  </si>
  <si>
    <t>1T25</t>
  </si>
  <si>
    <t>3T21</t>
  </si>
  <si>
    <t>4T24</t>
  </si>
  <si>
    <t>4T21</t>
  </si>
  <si>
    <t>3T24</t>
  </si>
  <si>
    <t>1T22</t>
  </si>
  <si>
    <t>2T24</t>
  </si>
  <si>
    <t>2T22</t>
  </si>
  <si>
    <t>1T24</t>
  </si>
  <si>
    <t>3T22</t>
  </si>
  <si>
    <t>4T23</t>
  </si>
  <si>
    <t>4T22</t>
  </si>
  <si>
    <t>3T23</t>
  </si>
  <si>
    <t>1T23</t>
  </si>
  <si>
    <t>2T23</t>
  </si>
  <si>
    <t>Selección</t>
  </si>
  <si>
    <t>Valor</t>
  </si>
  <si>
    <t>Posición del trimestre elegido</t>
  </si>
  <si>
    <t>Código</t>
  </si>
  <si>
    <t>Columna en las hojas de estados</t>
  </si>
  <si>
    <t>Trimestres hacia atrás de la comparación</t>
  </si>
  <si>
    <t>Trimestre de comparación</t>
  </si>
  <si>
    <t>Trimestre del año</t>
  </si>
  <si>
    <t>Segmento (1 = consolidado)</t>
  </si>
  <si>
    <t>Métrica</t>
  </si>
  <si>
    <t>Acumulado del año</t>
  </si>
  <si>
    <t>Acumulado del año anterior</t>
  </si>
  <si>
    <t>Último ejercicio cerrado</t>
  </si>
  <si>
    <t>Sufijo de segmento</t>
  </si>
  <si>
    <t>Texto: cabecera</t>
  </si>
  <si>
    <t>Texto: heroe</t>
  </si>
  <si>
    <t>Texto: heroe_cmp</t>
  </si>
  <si>
    <t>Texto: heroe_contable</t>
  </si>
  <si>
    <t>Texto: aviso_ebitda</t>
  </si>
  <si>
    <t>Texto: aviso_operativo</t>
  </si>
  <si>
    <t>Texto: mapa</t>
  </si>
  <si>
    <t>Texto: operativo_sub</t>
  </si>
  <si>
    <t>Texto: comparacion</t>
  </si>
  <si>
    <t>Texto: capex_serie</t>
  </si>
  <si>
    <t>Texto: serie</t>
  </si>
  <si>
    <t>Texto: radar</t>
  </si>
  <si>
    <t>Texto: radar_sel</t>
  </si>
  <si>
    <t>Texto: radar_cmp</t>
  </si>
  <si>
    <t>Texto: semestre</t>
  </si>
  <si>
    <t>Texto: semestre_sub</t>
  </si>
  <si>
    <t>Texto: destino</t>
  </si>
  <si>
    <t>Texto: capex</t>
  </si>
  <si>
    <t>Texto: lineas</t>
  </si>
  <si>
    <t>Texto: ejercicios</t>
  </si>
  <si>
    <t>Texto: aviso</t>
  </si>
  <si>
    <t>Texto: aviso_serie</t>
  </si>
  <si>
    <t>Texto: aviso_flujo</t>
  </si>
  <si>
    <t>Indicadores del trimestre elegido</t>
  </si>
  <si>
    <t>EBITDA de los estados (consolidado)</t>
  </si>
  <si>
    <t>Texto: aviso_segmento</t>
  </si>
  <si>
    <t>Resto hasta 100% (para la torta)</t>
  </si>
  <si>
    <t>EBITDA contra la comparación</t>
  </si>
  <si>
    <t>Serie trimestral</t>
  </si>
  <si>
    <t>Métrica elegida</t>
  </si>
  <si>
    <t>Métrica elegida, últimos doce meses</t>
  </si>
  <si>
    <t>Márgenes consolidados</t>
  </si>
  <si>
    <t>Gráfico: elegido</t>
  </si>
  <si>
    <t>Gráfico: comparación</t>
  </si>
  <si>
    <t>Bruto</t>
  </si>
  <si>
    <t>Neto</t>
  </si>
  <si>
    <t>Texto: aviso_radar</t>
  </si>
  <si>
    <t>Acumulado del año contra el anterior</t>
  </si>
  <si>
    <t>Variación</t>
  </si>
  <si>
    <t>Barra</t>
  </si>
  <si>
    <t>Pista</t>
  </si>
  <si>
    <t>Destino de los ingresos (consolidado)</t>
  </si>
  <si>
    <t>Porción</t>
  </si>
  <si>
    <t>Sobre ingresos</t>
  </si>
  <si>
    <t>Mostrado</t>
  </si>
  <si>
    <t>Costos de producción</t>
  </si>
  <si>
    <t>Administración</t>
  </si>
  <si>
    <t>Exploración</t>
  </si>
  <si>
    <t>Otros y deterioros</t>
  </si>
  <si>
    <t>Texto: aviso_destino</t>
  </si>
  <si>
    <t>Caja del trimestre (consolidada)</t>
  </si>
  <si>
    <t>Monto</t>
  </si>
  <si>
    <t>Sobre flujo</t>
  </si>
  <si>
    <t>Capex pagado</t>
  </si>
  <si>
    <t>Flujo de caja libre (operativo − capex pagado)</t>
  </si>
  <si>
    <t>Texto: reinversión</t>
  </si>
  <si>
    <t>Texto: aviso_caja</t>
  </si>
  <si>
    <t>Capex publicado por YPF</t>
  </si>
  <si>
    <t>Flujo libre publicado por YPF</t>
  </si>
  <si>
    <t>Capex por segmento</t>
  </si>
  <si>
    <t>Para ordenar</t>
  </si>
  <si>
    <t>Texto: aviso_capex</t>
  </si>
  <si>
    <t>Capex por segmento, ordenado</t>
  </si>
  <si>
    <t>Parte</t>
  </si>
  <si>
    <t>Segmento</t>
  </si>
  <si>
    <t>Viñeta</t>
  </si>
  <si>
    <t>Texto parte</t>
  </si>
  <si>
    <t>Resto</t>
  </si>
  <si>
    <t>Ejercicios</t>
  </si>
  <si>
    <t>Columna</t>
  </si>
  <si>
    <t>Operativo (release, consolidado)</t>
  </si>
  <si>
    <t>Producción</t>
  </si>
  <si>
    <t>Petróleo shale</t>
  </si>
  <si>
    <t>Precio del crudo</t>
  </si>
  <si>
    <t>Lifting cost</t>
  </si>
  <si>
    <t>Operativo, doce trimestres</t>
  </si>
  <si>
    <t>Mapa: boe/d por concesión (transform/tablero_mapa.py)</t>
  </si>
  <si>
    <t>Loma Campana</t>
  </si>
  <si>
    <t>La Amarga Chica</t>
  </si>
  <si>
    <t>Bandurria Sur</t>
  </si>
  <si>
    <t>La Angostura Sur I</t>
  </si>
  <si>
    <t>Rincon del Mangrullo</t>
  </si>
  <si>
    <t>Aguada de la Arena</t>
  </si>
  <si>
    <t>Rio Neuquen</t>
  </si>
  <si>
    <t>Aguada del Chañar</t>
  </si>
  <si>
    <t>La Angostura Sur II</t>
  </si>
  <si>
    <t>Loma la Lata - Sierra Barrosa</t>
  </si>
  <si>
    <t>El Orejano</t>
  </si>
  <si>
    <t>Bajo del Toro Norte</t>
  </si>
  <si>
    <t>La Ribera Bloque I</t>
  </si>
  <si>
    <t>Narambuena</t>
  </si>
  <si>
    <t>Total shale operado</t>
  </si>
  <si>
    <t>1T19</t>
  </si>
  <si>
    <t>2T19</t>
  </si>
  <si>
    <t>3T19</t>
  </si>
  <si>
    <t>4T19</t>
  </si>
  <si>
    <t>Mapa: burbujas del trimestre elegido</t>
  </si>
  <si>
    <t>x</t>
  </si>
  <si>
    <t>y</t>
  </si>
  <si>
    <t>Elegido</t>
  </si>
  <si>
    <t>Tamaño</t>
  </si>
  <si>
    <t>Cae</t>
  </si>
  <si>
    <t>Orden</t>
  </si>
  <si>
    <t>Rótulo</t>
  </si>
  <si>
    <t>Serie 7 · sube</t>
  </si>
  <si>
    <t>Serie 12 · sube</t>
  </si>
  <si>
    <t>Serie 18 · sube</t>
  </si>
  <si>
    <t>Serie 25 · sube</t>
  </si>
  <si>
    <t>Serie 33 · sube</t>
  </si>
  <si>
    <t>Serie 7 · baja</t>
  </si>
  <si>
    <t>Serie 12 · baja</t>
  </si>
  <si>
    <t>Serie 18 · baja</t>
  </si>
  <si>
    <t>Serie 25 · baja</t>
  </si>
  <si>
    <t>Serie 33 · baja</t>
  </si>
  <si>
    <t>Mapa: ranking del trimestre</t>
  </si>
  <si>
    <t>boe/d</t>
  </si>
  <si>
    <t>Mercado: reacción a cada balance (transform/market_reaction.py)</t>
  </si>
  <si>
    <t>Reporte</t>
  </si>
  <si>
    <t>Precio del ADR</t>
  </si>
  <si>
    <t>Retorno del día</t>
  </si>
  <si>
    <t>Retorno anormal</t>
  </si>
  <si>
    <t>Anormal acumulado 0–3</t>
  </si>
  <si>
    <t>t</t>
  </si>
  <si>
    <t>Vista, el día</t>
  </si>
  <si>
    <t>Brent, el día</t>
  </si>
  <si>
    <t>04/03/2021</t>
  </si>
  <si>
    <t>12/05/2021</t>
  </si>
  <si>
    <t>10/08/2021</t>
  </si>
  <si>
    <t>09/11/2021</t>
  </si>
  <si>
    <t>03/03/2022</t>
  </si>
  <si>
    <t>12/05/2022</t>
  </si>
  <si>
    <t>11/08/2022</t>
  </si>
  <si>
    <t>10/11/2022</t>
  </si>
  <si>
    <t>10/03/2023</t>
  </si>
  <si>
    <t>12/05/2023</t>
  </si>
  <si>
    <t>11/08/2023</t>
  </si>
  <si>
    <t>09/11/2023</t>
  </si>
  <si>
    <t>06/03/2024</t>
  </si>
  <si>
    <t>10/05/2024</t>
  </si>
  <si>
    <t>09/08/2024</t>
  </si>
  <si>
    <t>07/03/2025</t>
  </si>
  <si>
    <t>08/05/2025</t>
  </si>
  <si>
    <t>07/08/2025</t>
  </si>
  <si>
    <t>07/11/2025</t>
  </si>
  <si>
    <t>27/02/2026</t>
  </si>
  <si>
    <t>07/05/2026</t>
  </si>
  <si>
    <t>11/08/2026</t>
  </si>
  <si>
    <t>Mercado: balance elegido</t>
  </si>
  <si>
    <t>Texto: mercado_sub</t>
  </si>
  <si>
    <t>Texto: mercado_t</t>
  </si>
  <si>
    <t>Mercado: doce balances</t>
  </si>
  <si>
    <t>Mercado: sensibilidades (constantes del estudio)</t>
  </si>
  <si>
    <t>Efecto de 100 pb de riesgo país</t>
  </si>
  <si>
    <t>Beta contra el Brent</t>
  </si>
  <si>
    <t>R² del modelo</t>
  </si>
  <si>
    <t>Balances con reacción negativa</t>
  </si>
  <si>
    <t>Balances estudiados</t>
  </si>
  <si>
    <t>Retorno anormal mediano</t>
  </si>
</sst>
</file>

<file path=xl/styles.xml><?xml version="1.0" encoding="utf-8"?>
<styleSheet xmlns="http://schemas.openxmlformats.org/spreadsheetml/2006/main">
  <numFmts count="27">
    <numFmt numFmtId="164" formatCode="&quot;US$ &quot;#,##0,,&quot;M&quot;;&quot;−US$ &quot;#,##0,,&quot;M&quot;;&quot;–&quot;"/>
    <numFmt numFmtId="165" formatCode="&quot;US$ &quot;#,##0,,&quot;M&quot;;&quot;−US$ &quot;#,##0,,&quot;M&quot;;&quot;&quot;"/>
    <numFmt numFmtId="166" formatCode="0%;−0%;&quot;0%&quot;"/>
    <numFmt numFmtId="167" formatCode="&quot;▲ &quot;0.0%;&quot;▼ &quot;0.0%;&quot;–&quot;"/>
    <numFmt numFmtId="168" formatCode="0.0&quot;x&quot;;−0.0&quot;x&quot;;&quot;–&quot;"/>
    <numFmt numFmtId="169" formatCode="0.0%;−0.0%;&quot;–&quot;"/>
    <numFmt numFmtId="170" formatCode="0.00"/>
    <numFmt numFmtId="171" formatCode="[&lt;0.005]&quot;&lt;1%&quot;;0%"/>
    <numFmt numFmtId="172" formatCode="#,##0.0;−#,##0.0;&quot;&quot;"/>
    <numFmt numFmtId="173" formatCode="#,##0;−#,##0;&quot;–&quot;"/>
    <numFmt numFmtId="174" formatCode="#,##0.0,&quot;k&quot;;;&quot;–&quot;"/>
    <numFmt numFmtId="175" formatCode="[&gt;=10]&quot;▲ &gt;999%&quot;;[&lt;0]&quot;▼ &quot;0.0%;&quot;▲ &quot;0.0%"/>
    <numFmt numFmtId="176" formatCode="&quot;US$ &quot;0.00"/>
    <numFmt numFmtId="177" formatCode="&quot;+&quot;0.0%;&quot;−&quot;0.0%;0.0%"/>
    <numFmt numFmtId="178" formatCode="0.00;−0.00"/>
    <numFmt numFmtId="179" formatCode="#,##0&quot; pb&quot;"/>
    <numFmt numFmtId="180" formatCode="&quot;+&quot;0.0%;&quot;−&quot;0.0%"/>
    <numFmt numFmtId="181" formatCode="#,##0,,&quot;M&quot;;(#,##0,,&quot;M&quot;);&quot;–&quot;"/>
    <numFmt numFmtId="182" formatCode="+0.0%;-0.0%;&quot;–&quot;"/>
    <numFmt numFmtId="183" formatCode="0.00&quot;x&quot;;(0.00&quot;x&quot;);&quot;–&quot;"/>
    <numFmt numFmtId="184" formatCode="0.0%;(0.0%);&quot;–&quot;"/>
    <numFmt numFmtId="185" formatCode="#,##0;(#,##0);&quot;–&quot;"/>
    <numFmt numFmtId="186" formatCode="0.0;(0.0);&quot;–&quot;"/>
    <numFmt numFmtId="187" formatCode="#,##0.00;(#,##0.00);&quot;–&quot;"/>
    <numFmt numFmtId="188" formatCode="#,##0"/>
    <numFmt numFmtId="189" formatCode="#,##0.00"/>
    <numFmt numFmtId="190" formatCode="0.00%"/>
  </numFmts>
  <fonts count="18">
    <font>
      <sz val="11"/>
      <color theme="1"/>
      <name val="Calibri"/>
      <family val="2"/>
      <scheme val="minor"/>
    </font>
    <font>
      <b/>
      <sz val="16"/>
      <color rgb="FF00246B"/>
      <name val="Calibri"/>
      <family val="2"/>
      <scheme val="minor"/>
    </font>
    <font>
      <sz val="10"/>
      <color rgb="FF5F7099"/>
      <name val="Calibri"/>
      <family val="2"/>
      <scheme val="minor"/>
    </font>
    <font>
      <b/>
      <sz val="10"/>
      <color theme="1"/>
      <name val="Calibri"/>
      <family val="2"/>
      <scheme val="minor"/>
    </font>
    <font>
      <sz val="10"/>
      <color theme="1"/>
      <name val="Calibri"/>
      <family val="2"/>
      <scheme val="minor"/>
    </font>
    <font>
      <b/>
      <sz val="11"/>
      <color rgb="FF00246B"/>
      <name val="Calibri"/>
      <family val="2"/>
      <scheme val="minor"/>
    </font>
    <font>
      <sz val="9"/>
      <color rgb="FF5F7099"/>
      <name val="Calibri"/>
      <family val="2"/>
      <scheme val="minor"/>
    </font>
    <font>
      <b/>
      <sz val="9"/>
      <color rgb="FF22D3EE"/>
      <name val="Segoe UI"/>
      <family val="2"/>
    </font>
    <font>
      <b/>
      <sz val="14"/>
      <color rgb="FFEAF2FF"/>
      <name val="Segoe UI"/>
      <family val="2"/>
    </font>
    <font>
      <sz val="9"/>
      <color rgb="FF5D7295"/>
      <name val="Segoe UI"/>
      <family val="2"/>
    </font>
    <font>
      <b/>
      <sz val="9"/>
      <color rgb="FF8EA3C4"/>
      <name val="Segoe UI"/>
      <family val="2"/>
    </font>
    <font>
      <sz val="9"/>
      <color rgb="FF8EA3C4"/>
      <name val="Segoe UI"/>
      <family val="2"/>
    </font>
    <font>
      <sz val="9"/>
      <color rgb="FFEAF2FF"/>
      <name val="Segoe UI"/>
      <family val="2"/>
    </font>
    <font>
      <b/>
      <sz val="18"/>
      <color rgb="FF00246B"/>
      <name val="Calibri"/>
      <family val="2"/>
      <scheme val="minor"/>
    </font>
    <font>
      <b/>
      <sz val="10"/>
      <color rgb="FFFFFFFF"/>
      <name val="Calibri"/>
      <family val="2"/>
      <scheme val="minor"/>
    </font>
    <font>
      <sz val="10"/>
      <color rgb="FF8A6D3B"/>
      <name val="Calibri"/>
      <family val="2"/>
      <scheme val="minor"/>
    </font>
    <font>
      <i/>
      <sz val="10"/>
      <color rgb="FF8A6D3B"/>
      <name val="Calibri"/>
      <family val="2"/>
      <scheme val="minor"/>
    </font>
    <font>
      <i/>
      <sz val="10"/>
      <color rgb="FF00246B"/>
      <name val="Calibri"/>
      <family val="2"/>
      <scheme val="minor"/>
    </font>
  </fonts>
  <fills count="6">
    <fill>
      <patternFill patternType="none"/>
    </fill>
    <fill>
      <patternFill patternType="gray125"/>
    </fill>
    <fill>
      <patternFill patternType="solid">
        <fgColor rgb="FF050B16"/>
        <bgColor indexed="64"/>
      </patternFill>
    </fill>
    <fill>
      <patternFill patternType="solid">
        <fgColor rgb="FF132A4B"/>
        <bgColor indexed="64"/>
      </patternFill>
    </fill>
    <fill>
      <patternFill patternType="solid">
        <fgColor rgb="FF0054EB"/>
        <bgColor indexed="64"/>
      </patternFill>
    </fill>
    <fill>
      <patternFill patternType="solid">
        <fgColor rgb="FFFFF6E5"/>
        <bgColor indexed="64"/>
      </patternFill>
    </fill>
  </fills>
  <borders count="5">
    <border>
      <left/>
      <right/>
      <top/>
      <bottom/>
      <diagonal/>
    </border>
    <border>
      <left/>
      <right/>
      <top/>
      <bottom style="thin">
        <color rgb="FF1A2E4A"/>
      </bottom>
      <diagonal/>
    </border>
    <border>
      <left/>
      <right/>
      <top/>
      <bottom style="thin">
        <color auto="1"/>
      </bottom>
      <diagonal/>
    </border>
    <border>
      <left/>
      <right/>
      <top style="thin">
        <color rgb="FFD5DCEA"/>
      </top>
      <bottom/>
      <diagonal/>
    </border>
    <border>
      <left style="thin">
        <color rgb="FFF0A830"/>
      </left>
      <right style="thin">
        <color rgb="FFF0A830"/>
      </right>
      <top style="thin">
        <color rgb="FFF0A830"/>
      </top>
      <bottom style="thin">
        <color rgb="FFF0A830"/>
      </bottom>
      <diagonal/>
    </border>
  </borders>
  <cellStyleXfs count="1">
    <xf numFmtId="0" fontId="0" fillId="0" borderId="0"/>
  </cellStyleXfs>
  <cellXfs count="56">
    <xf numFmtId="0" fontId="0" fillId="0" borderId="0" xfId="0"/>
    <xf numFmtId="0" fontId="1" fillId="0" borderId="0" xfId="0" applyFont="1"/>
    <xf numFmtId="0" fontId="2" fillId="0" borderId="0" xfId="0" applyFont="1"/>
    <xf numFmtId="0" fontId="3" fillId="0" borderId="0" xfId="0" applyFont="1" applyAlignment="1">
      <alignment vertical="top"/>
    </xf>
    <xf numFmtId="0" fontId="4" fillId="0" borderId="0" xfId="0" applyFont="1" applyAlignment="1">
      <alignment vertical="top" wrapText="1"/>
    </xf>
    <xf numFmtId="0" fontId="5" fillId="0" borderId="0" xfId="0" applyFont="1"/>
    <xf numFmtId="0" fontId="6" fillId="0" borderId="0" xfId="0" applyFont="1" applyAlignment="1">
      <alignment vertical="top" wrapText="1"/>
    </xf>
    <xf numFmtId="0" fontId="0" fillId="2" borderId="0" xfId="0" applyFill="1"/>
    <xf numFmtId="0" fontId="7" fillId="3" borderId="0" xfId="0" applyFont="1" applyFill="1" applyAlignment="1" applyProtection="1">
      <alignment horizontal="center" vertical="center"/>
      <protection locked="0"/>
    </xf>
    <xf numFmtId="0" fontId="8" fillId="2" borderId="0" xfId="0" applyFont="1" applyFill="1" applyAlignment="1">
      <alignment vertical="center"/>
    </xf>
    <xf numFmtId="0" fontId="9" fillId="2" borderId="0" xfId="0" applyFont="1" applyFill="1" applyAlignment="1">
      <alignment vertical="center"/>
    </xf>
    <xf numFmtId="0" fontId="7" fillId="2" borderId="1" xfId="0" applyFont="1" applyFill="1" applyBorder="1" applyAlignment="1">
      <alignment vertical="center"/>
    </xf>
    <xf numFmtId="0" fontId="10" fillId="2" borderId="1" xfId="0" applyFont="1" applyFill="1" applyBorder="1" applyAlignment="1">
      <alignment horizontal="right" vertical="center"/>
    </xf>
    <xf numFmtId="0" fontId="11" fillId="2" borderId="0" xfId="0" applyFont="1" applyFill="1" applyAlignment="1">
      <alignment horizontal="left" vertical="center" indent="1"/>
    </xf>
    <xf numFmtId="0" fontId="12" fillId="2" borderId="0" xfId="0" applyFont="1" applyFill="1" applyAlignment="1">
      <alignment horizontal="right" vertical="center"/>
    </xf>
    <xf numFmtId="0" fontId="12" fillId="2" borderId="0" xfId="0" applyFont="1" applyFill="1" applyAlignment="1">
      <alignment vertical="center"/>
    </xf>
    <xf numFmtId="164" fontId="12" fillId="2" borderId="0" xfId="0" applyNumberFormat="1" applyFont="1" applyFill="1" applyAlignment="1">
      <alignment horizontal="right" vertical="center"/>
    </xf>
    <xf numFmtId="165" fontId="12" fillId="2" borderId="0" xfId="0" applyNumberFormat="1" applyFont="1" applyFill="1" applyAlignment="1">
      <alignment horizontal="right" vertical="center"/>
    </xf>
    <xf numFmtId="166" fontId="12" fillId="2" borderId="0" xfId="0" applyNumberFormat="1" applyFont="1" applyFill="1" applyAlignment="1">
      <alignment horizontal="right" vertical="center"/>
    </xf>
    <xf numFmtId="167" fontId="12" fillId="2" borderId="0" xfId="0" applyNumberFormat="1" applyFont="1" applyFill="1" applyAlignment="1">
      <alignment horizontal="right" vertical="center"/>
    </xf>
    <xf numFmtId="168" fontId="12" fillId="2" borderId="0" xfId="0" applyNumberFormat="1" applyFont="1" applyFill="1" applyAlignment="1">
      <alignment horizontal="right" vertical="center"/>
    </xf>
    <xf numFmtId="169" fontId="12" fillId="2" borderId="0" xfId="0" applyNumberFormat="1" applyFont="1" applyFill="1" applyAlignment="1">
      <alignment horizontal="right" vertical="center"/>
    </xf>
    <xf numFmtId="170" fontId="12" fillId="2" borderId="0" xfId="0" applyNumberFormat="1" applyFont="1" applyFill="1" applyAlignment="1">
      <alignment horizontal="right" vertical="center"/>
    </xf>
    <xf numFmtId="171" fontId="12" fillId="2" borderId="0" xfId="0" applyNumberFormat="1" applyFont="1" applyFill="1" applyAlignment="1">
      <alignment horizontal="right" vertical="center"/>
    </xf>
    <xf numFmtId="172" fontId="12" fillId="2" borderId="0" xfId="0" applyNumberFormat="1" applyFont="1" applyFill="1" applyAlignment="1">
      <alignment horizontal="right" vertical="center"/>
    </xf>
    <xf numFmtId="173" fontId="12" fillId="2" borderId="0" xfId="0" applyNumberFormat="1" applyFont="1" applyFill="1" applyAlignment="1">
      <alignment horizontal="right" vertical="center"/>
    </xf>
    <xf numFmtId="174" fontId="12" fillId="2" borderId="0" xfId="0" applyNumberFormat="1" applyFont="1" applyFill="1" applyAlignment="1">
      <alignment horizontal="right" vertical="center"/>
    </xf>
    <xf numFmtId="175" fontId="12" fillId="2" borderId="0" xfId="0" applyNumberFormat="1" applyFont="1" applyFill="1" applyAlignment="1">
      <alignment horizontal="right" vertical="center"/>
    </xf>
    <xf numFmtId="176" fontId="12" fillId="2" borderId="0" xfId="0" applyNumberFormat="1" applyFont="1" applyFill="1" applyAlignment="1">
      <alignment horizontal="right" vertical="center"/>
    </xf>
    <xf numFmtId="177" fontId="12" fillId="2" borderId="0" xfId="0" applyNumberFormat="1" applyFont="1" applyFill="1" applyAlignment="1">
      <alignment horizontal="right" vertical="center"/>
    </xf>
    <xf numFmtId="178" fontId="12" fillId="2" borderId="0" xfId="0" applyNumberFormat="1" applyFont="1" applyFill="1" applyAlignment="1">
      <alignment horizontal="right" vertical="center"/>
    </xf>
    <xf numFmtId="179" fontId="12" fillId="2" borderId="0" xfId="0" applyNumberFormat="1" applyFont="1" applyFill="1" applyAlignment="1">
      <alignment horizontal="right" vertical="center"/>
    </xf>
    <xf numFmtId="180" fontId="12" fillId="2" borderId="0" xfId="0" applyNumberFormat="1" applyFont="1" applyFill="1" applyAlignment="1">
      <alignment vertical="center"/>
    </xf>
    <xf numFmtId="170" fontId="12" fillId="2" borderId="0" xfId="0" applyNumberFormat="1" applyFont="1" applyFill="1" applyAlignment="1">
      <alignment vertical="center"/>
    </xf>
    <xf numFmtId="1" fontId="12" fillId="2" borderId="0" xfId="0" applyNumberFormat="1" applyFont="1" applyFill="1" applyAlignment="1">
      <alignment vertical="center"/>
    </xf>
    <xf numFmtId="0" fontId="6" fillId="0" borderId="0" xfId="0" applyFont="1"/>
    <xf numFmtId="181" fontId="13" fillId="0" borderId="0" xfId="0" applyNumberFormat="1" applyFont="1" applyAlignment="1">
      <alignment horizontal="left"/>
    </xf>
    <xf numFmtId="182" fontId="6" fillId="0" borderId="0" xfId="0" applyNumberFormat="1" applyFont="1"/>
    <xf numFmtId="183" fontId="13" fillId="0" borderId="0" xfId="0" applyNumberFormat="1" applyFont="1" applyAlignment="1">
      <alignment horizontal="left"/>
    </xf>
    <xf numFmtId="184" fontId="13" fillId="0" borderId="0" xfId="0" applyNumberFormat="1" applyFont="1" applyAlignment="1">
      <alignment horizontal="left"/>
    </xf>
    <xf numFmtId="0" fontId="14" fillId="4" borderId="2" xfId="0" applyFont="1" applyFill="1" applyBorder="1" applyAlignment="1">
      <alignment horizontal="left"/>
    </xf>
    <xf numFmtId="0" fontId="14" fillId="4" borderId="2" xfId="0" applyFont="1" applyFill="1" applyBorder="1" applyAlignment="1">
      <alignment horizontal="center"/>
    </xf>
    <xf numFmtId="0" fontId="4" fillId="0" borderId="0" xfId="0" applyFont="1" applyAlignment="1">
      <alignment horizontal="left" indent="1"/>
    </xf>
    <xf numFmtId="185" fontId="15" fillId="0" borderId="0" xfId="0" applyNumberFormat="1" applyFont="1"/>
    <xf numFmtId="185" fontId="16" fillId="0" borderId="0" xfId="0" applyNumberFormat="1" applyFont="1"/>
    <xf numFmtId="185" fontId="4" fillId="0" borderId="0" xfId="0" applyNumberFormat="1" applyFont="1"/>
    <xf numFmtId="185" fontId="17" fillId="0" borderId="0" xfId="0" applyNumberFormat="1" applyFont="1"/>
    <xf numFmtId="0" fontId="3" fillId="0" borderId="3" xfId="0" applyFont="1" applyBorder="1"/>
    <xf numFmtId="185" fontId="3" fillId="0" borderId="3" xfId="0" applyNumberFormat="1" applyFont="1" applyBorder="1"/>
    <xf numFmtId="184" fontId="4" fillId="0" borderId="0" xfId="0" applyNumberFormat="1" applyFont="1"/>
    <xf numFmtId="183" fontId="4" fillId="0" borderId="0" xfId="0" applyNumberFormat="1" applyFont="1"/>
    <xf numFmtId="186" fontId="4" fillId="0" borderId="0" xfId="0" applyNumberFormat="1" applyFont="1"/>
    <xf numFmtId="187" fontId="4" fillId="0" borderId="0" xfId="0" applyNumberFormat="1" applyFont="1"/>
    <xf numFmtId="188" fontId="4" fillId="5" borderId="4" xfId="0" applyNumberFormat="1" applyFont="1" applyFill="1" applyBorder="1"/>
    <xf numFmtId="189" fontId="4" fillId="5" borderId="4" xfId="0" applyNumberFormat="1" applyFont="1" applyFill="1" applyBorder="1"/>
    <xf numFmtId="190" fontId="4" fillId="5" borderId="4" xfId="0" applyNumberFormat="1" applyFont="1" applyFill="1" applyBorder="1"/>
  </cellXfs>
  <cellStyles count="1">
    <cellStyle name="Normal" xfId="0" builtinId="0"/>
  </cellStyles>
  <dxfs count="2">
    <dxf>
      <font>
        <color rgb="FF2F7D5B"/>
      </font>
    </dxf>
    <dxf>
      <font>
        <b/>
        <color rgb="FFC0442A"/>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doughnutChart>
        <c:varyColors val="1"/>
        <c:ser>
          <c:idx val="0"/>
          <c:order val="0"/>
          <c:dPt>
            <c:idx val="0"/>
            <c:spPr>
              <a:solidFill>
                <a:srgbClr val="22D3EE"/>
              </a:solidFill>
              <a:ln>
                <a:noFill/>
              </a:ln>
            </c:spPr>
          </c:dPt>
          <c:dPt>
            <c:idx val="1"/>
            <c:spPr>
              <a:solidFill>
                <a:srgbClr val="FFFFFF">
                  <a:alpha val="15000"/>
                </a:srgbClr>
              </a:solidFill>
              <a:ln>
                <a:noFill/>
              </a:ln>
            </c:spPr>
          </c:dPt>
          <c:cat>
            <c:strRef>
              <c:f>Tablero!$B$170:$B$171</c:f>
              <c:strCache>
                <c:ptCount val="2"/>
                <c:pt idx="0">
                  <c:v>Margen EBITDA</c:v>
                </c:pt>
                <c:pt idx="1">
                  <c:v>Resto hasta 100% (para la torta)</c:v>
                </c:pt>
              </c:strCache>
            </c:strRef>
          </c:cat>
          <c:val>
            <c:numRef>
              <c:f>Tablero!$N$170:$N$171</c:f>
              <c:numCache>
                <c:formatCode>General</c:formatCode>
                <c:ptCount val="2"/>
                <c:pt idx="0">
                  <c:v>0</c:v>
                </c:pt>
                <c:pt idx="1">
                  <c:v>0</c:v>
                </c:pt>
              </c:numCache>
            </c:numRef>
          </c:val>
        </c:ser>
        <c:firstSliceAng val="0"/>
        <c:holeSize val="78"/>
      </c:doughnutChart>
    </c:plotArea>
    <c:plotVisOnly val="1"/>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02"/>
          <c:y val="0.080000000000000002"/>
          <c:w val="0.95999999999999996"/>
          <c:h val="0.71999999999999997"/>
        </c:manualLayout>
      </c:layout>
      <c:lineChart>
        <c:grouping val="standard"/>
        <c:ser>
          <c:idx val="0"/>
          <c:order val="0"/>
          <c:spPr>
            <a:ln w="28575">
              <a:solidFill>
                <a:srgbClr val="BFE9FF"/>
              </a:solidFill>
            </a:ln>
          </c:spPr>
          <c:marker>
            <c:symbol val="none"/>
          </c:marker>
          <c:dPt>
            <c:idx val="7"/>
            <c:marker>
              <c:spPr>
                <a:solidFill>
                  <a:srgbClr val="22D3EE"/>
                </a:solidFill>
                <a:ln w="19050">
                  <a:solidFill>
                    <a:srgbClr val="FFFFFF"/>
                  </a:solidFill>
                </a:ln>
              </c:spPr>
            </c:marker>
          </c:dPt>
          <c:cat>
            <c:strRef>
              <c:f>Tablero!$B$182:$B$189</c:f>
              <c:strCache>
                <c:ptCount val="8"/>
                <c:pt idx="0">
                  <c:v/>
                </c:pt>
                <c:pt idx="1">
                  <c:v/>
                </c:pt>
                <c:pt idx="2">
                  <c:v/>
                </c:pt>
                <c:pt idx="3">
                  <c:v/>
                </c:pt>
                <c:pt idx="4">
                  <c:v/>
                </c:pt>
                <c:pt idx="5">
                  <c:v/>
                </c:pt>
                <c:pt idx="6">
                  <c:v/>
                </c:pt>
                <c:pt idx="7">
                  <c:v/>
                </c:pt>
              </c:strCache>
            </c:strRef>
          </c:cat>
          <c:val>
            <c:numRef>
              <c:f>Tablero!$T$182:$T$189</c:f>
              <c:numCache>
                <c:formatCode>General</c:formatCode>
                <c:ptCount val="8"/>
                <c:pt idx="0">
                  <c:v>0</c:v>
                </c:pt>
                <c:pt idx="1">
                  <c:v>0</c:v>
                </c:pt>
                <c:pt idx="2">
                  <c:v>0</c:v>
                </c:pt>
                <c:pt idx="3">
                  <c:v>0</c:v>
                </c:pt>
                <c:pt idx="4">
                  <c:v>0</c:v>
                </c:pt>
                <c:pt idx="5">
                  <c:v>0</c:v>
                </c:pt>
                <c:pt idx="6">
                  <c:v>0</c:v>
                </c:pt>
                <c:pt idx="7">
                  <c:v>0</c:v>
                </c:pt>
              </c:numCache>
            </c:numRef>
          </c:val>
          <c:smooth val="1"/>
        </c:ser>
        <c:marker val="1"/>
        <c:axId val="50020001"/>
        <c:axId val="50020002"/>
      </c:lineChart>
      <c:catAx>
        <c:axId val="50020001"/>
        <c:scaling>
          <c:orientation val="minMax"/>
        </c:scaling>
        <c:axPos val="b"/>
        <c:majorTickMark val="none"/>
        <c:tickLblPos val="low"/>
        <c:spPr>
          <a:ln>
            <a:noFill/>
          </a:ln>
        </c:spPr>
        <c:txPr>
          <a:bodyPr/>
          <a:lstStyle/>
          <a:p>
            <a:pPr>
              <a:defRPr sz="700" baseline="0">
                <a:solidFill>
                  <a:srgbClr val="A9C3EE"/>
                </a:solidFill>
                <a:latin typeface="Segoe UI"/>
              </a:defRPr>
            </a:pPr>
            <a:endParaRPr lang="en-US"/>
          </a:p>
        </c:txPr>
        <c:crossAx val="50020002"/>
        <c:crosses val="autoZero"/>
        <c:auto val="1"/>
        <c:lblAlgn val="ctr"/>
        <c:lblOffset val="100"/>
      </c:catAx>
      <c:valAx>
        <c:axId val="50020002"/>
        <c:scaling>
          <c:orientation val="minMax"/>
        </c:scaling>
        <c:delete val="1"/>
        <c:axPos val="l"/>
        <c:numFmt formatCode="General" sourceLinked="1"/>
        <c:tickLblPos val="nextTo"/>
        <c:crossAx val="50020001"/>
        <c:crosses val="autoZero"/>
        <c:crossBetween val="between"/>
      </c:valAx>
      <c:spPr>
        <a:noFill/>
        <a:ln>
          <a:noFill/>
        </a:ln>
      </c:spPr>
    </c:plotArea>
    <c:plotVisOnly val="1"/>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080000000000000002"/>
          <c:y val="0.059999999999999998"/>
          <c:w val="0.90000000000000002"/>
          <c:h val="0.80000000000000004"/>
        </c:manualLayout>
      </c:layout>
      <c:barChart>
        <c:barDir val="col"/>
        <c:grouping val="clustered"/>
        <c:ser>
          <c:idx val="0"/>
          <c:order val="0"/>
          <c:spPr>
            <a:solidFill>
              <a:srgbClr val="27405F"/>
            </a:solidFill>
            <a:ln>
              <a:noFill/>
            </a:ln>
          </c:spPr>
          <c:dPt>
            <c:idx val="9"/>
            <c:spPr>
              <a:gradFill>
                <a:gsLst>
                  <a:gs pos="0">
                    <a:srgbClr val="22D3EE"/>
                  </a:gs>
                  <a:gs pos="100000">
                    <a:srgbClr val="1D4ED8"/>
                  </a:gs>
                </a:gsLst>
                <a:lin ang="5400000" scaled="0"/>
              </a:gradFill>
              <a:ln>
                <a:noFill/>
              </a:ln>
            </c:spPr>
          </c:dPt>
          <c:dPt>
            <c:idx val="10"/>
            <c:spPr>
              <a:gradFill>
                <a:gsLst>
                  <a:gs pos="0">
                    <a:srgbClr val="22D3EE"/>
                  </a:gs>
                  <a:gs pos="100000">
                    <a:srgbClr val="1D4ED8"/>
                  </a:gs>
                </a:gsLst>
                <a:lin ang="5400000" scaled="0"/>
              </a:gradFill>
              <a:ln>
                <a:noFill/>
              </a:ln>
            </c:spPr>
          </c:dPt>
          <c:dPt>
            <c:idx val="11"/>
            <c:spPr>
              <a:gradFill>
                <a:gsLst>
                  <a:gs pos="0">
                    <a:srgbClr val="22D3EE"/>
                  </a:gs>
                  <a:gs pos="100000">
                    <a:srgbClr val="1D4ED8"/>
                  </a:gs>
                </a:gsLst>
                <a:lin ang="5400000" scaled="0"/>
              </a:gradFill>
              <a:ln>
                <a:noFill/>
              </a:ln>
            </c:spPr>
          </c:dPt>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numFmt formatCode="#,##0,,&quot;M&quot;" sourceLinked="0"/>
            <c:txPr>
              <a:bodyPr/>
              <a:lstStyle/>
              <a:p>
                <a:pPr>
                  <a:defRPr sz="800" b="1" baseline="0">
                    <a:solidFill>
                      <a:srgbClr val="EAF2FF"/>
                    </a:solidFill>
                    <a:latin typeface="Segoe UI"/>
                  </a:defRPr>
                </a:pPr>
                <a:endParaRPr lang="en-US"/>
              </a:p>
            </c:txPr>
            <c:showVal val="1"/>
          </c:dLbls>
          <c:cat>
            <c:strRef>
              <c:f>Tablero!$B$178:$B$189</c:f>
              <c:strCache>
                <c:ptCount val="12"/>
                <c:pt idx="0">
                  <c:v/>
                </c:pt>
                <c:pt idx="1">
                  <c:v/>
                </c:pt>
                <c:pt idx="2">
                  <c:v/>
                </c:pt>
                <c:pt idx="3">
                  <c:v/>
                </c:pt>
                <c:pt idx="4">
                  <c:v/>
                </c:pt>
                <c:pt idx="5">
                  <c:v/>
                </c:pt>
                <c:pt idx="6">
                  <c:v/>
                </c:pt>
                <c:pt idx="7">
                  <c:v/>
                </c:pt>
                <c:pt idx="8">
                  <c:v/>
                </c:pt>
                <c:pt idx="9">
                  <c:v/>
                </c:pt>
                <c:pt idx="10">
                  <c:v/>
                </c:pt>
                <c:pt idx="11">
                  <c:v/>
                </c:pt>
              </c:strCache>
            </c:strRef>
          </c:cat>
          <c:val>
            <c:numRef>
              <c:f>Tablero!$BD$178:$BD$189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55"/>
        <c:axId val="50030001"/>
        <c:axId val="50030002"/>
      </c:barChart>
      <c:catAx>
        <c:axId val="50030001"/>
        <c:scaling>
          <c:orientation val="minMax"/>
        </c:scaling>
        <c:axPos val="b"/>
        <c:majorTickMark val="none"/>
        <c:tickLblPos val="low"/>
        <c:spPr>
          <a:ln>
            <a:noFill/>
          </a:ln>
        </c:spPr>
        <c:txPr>
          <a:bodyPr/>
          <a:lstStyle/>
          <a:p>
            <a:pPr>
              <a:defRPr sz="800" baseline="0">
                <a:solidFill>
                  <a:srgbClr val="8EA3C4"/>
                </a:solidFill>
                <a:latin typeface="Segoe UI"/>
              </a:defRPr>
            </a:pPr>
            <a:endParaRPr lang="en-US"/>
          </a:p>
        </c:txPr>
        <c:crossAx val="50030002"/>
        <c:crosses val="autoZero"/>
        <c:auto val="1"/>
        <c:lblAlgn val="ctr"/>
        <c:lblOffset val="100"/>
      </c:catAx>
      <c:valAx>
        <c:axId val="50030002"/>
        <c:scaling>
          <c:orientation val="minMax"/>
        </c:scaling>
        <c:axPos val="l"/>
        <c:majorGridlines>
          <c:spPr>
            <a:ln w="9525">
              <a:solidFill>
                <a:srgbClr val="1A2E4A"/>
              </a:solidFill>
              <a:prstDash val="dash"/>
            </a:ln>
          </c:spPr>
        </c:majorGridlines>
        <c:numFmt formatCode="#,##0,,&quot;M&quot;" sourceLinked="0"/>
        <c:majorTickMark val="none"/>
        <c:tickLblPos val="nextTo"/>
        <c:spPr>
          <a:ln>
            <a:noFill/>
          </a:ln>
        </c:spPr>
        <c:txPr>
          <a:bodyPr/>
          <a:lstStyle/>
          <a:p>
            <a:pPr>
              <a:defRPr sz="800" baseline="0">
                <a:solidFill>
                  <a:srgbClr val="8EA3C4"/>
                </a:solidFill>
                <a:latin typeface="Segoe UI"/>
              </a:defRPr>
            </a:pPr>
            <a:endParaRPr lang="en-US"/>
          </a:p>
        </c:txPr>
        <c:crossAx val="50030001"/>
        <c:crosses val="autoZero"/>
        <c:crossBetween val="between"/>
      </c:valAx>
      <c:spPr>
        <a:noFill/>
        <a:ln>
          <a:noFill/>
        </a:ln>
      </c:spPr>
    </c:plotArea>
    <c:plotVisOnly val="1"/>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20000000000000001"/>
          <c:y val="0.059999999999999998"/>
          <c:w val="0.59999999999999998"/>
          <c:h val="0.83999999999999997"/>
        </c:manualLayout>
      </c:layout>
      <c:radarChart>
        <c:radarStyle val="filled"/>
        <c:ser>
          <c:idx val="0"/>
          <c:order val="0"/>
          <c:tx>
            <c:strRef>
              <c:f>Tablero!$T$193</c:f>
              <c:strCache>
                <c:ptCount val="1"/>
                <c:pt idx="0">
                  <c:v/>
                </c:pt>
              </c:strCache>
            </c:strRef>
          </c:tx>
          <c:spPr>
            <a:solidFill>
              <a:srgbClr val="A5B4FC">
                <a:alpha val="30000"/>
              </a:srgbClr>
            </a:solidFill>
            <a:ln w="19050">
              <a:solidFill>
                <a:srgbClr val="C7D2FE"/>
              </a:solidFill>
              <a:prstDash val="dash"/>
            </a:ln>
          </c:spPr>
          <c:cat>
            <c:strRef>
              <c:f>Tablero!$B$194:$B$198</c:f>
              <c:strCache>
                <c:ptCount val="5"/>
                <c:pt idx="0">
                  <c:v>Bruto</c:v>
                </c:pt>
                <c:pt idx="1">
                  <c:v>Operativo</c:v>
                </c:pt>
                <c:pt idx="2">
                  <c:v>EBITDA</c:v>
                </c:pt>
                <c:pt idx="3">
                  <c:v>Neto</c:v>
                </c:pt>
                <c:pt idx="4">
                  <c:v>Flujo operativo</c:v>
                </c:pt>
              </c:strCache>
            </c:strRef>
          </c:cat>
          <c:val>
            <c:numRef>
              <c:f>Tablero!$AF$194:$AF$198</c:f>
              <c:numCache>
                <c:formatCode>General</c:formatCode>
                <c:ptCount val="5"/>
                <c:pt idx="0">
                  <c:v>0</c:v>
                </c:pt>
                <c:pt idx="1">
                  <c:v>0</c:v>
                </c:pt>
                <c:pt idx="2">
                  <c:v>0</c:v>
                </c:pt>
                <c:pt idx="3">
                  <c:v>0</c:v>
                </c:pt>
                <c:pt idx="4">
                  <c:v>0</c:v>
                </c:pt>
              </c:numCache>
            </c:numRef>
          </c:val>
        </c:ser>
        <c:ser>
          <c:idx val="1"/>
          <c:order val="1"/>
          <c:tx>
            <c:strRef>
              <c:f>Tablero!$N$193</c:f>
              <c:strCache>
                <c:ptCount val="1"/>
                <c:pt idx="0">
                  <c:v/>
                </c:pt>
              </c:strCache>
            </c:strRef>
          </c:tx>
          <c:spPr>
            <a:solidFill>
              <a:srgbClr val="22D3EE">
                <a:alpha val="40000"/>
              </a:srgbClr>
            </a:solidFill>
            <a:ln w="25400">
              <a:solidFill>
                <a:srgbClr val="22D3EE"/>
              </a:solidFill>
            </a:ln>
          </c:spPr>
          <c:cat>
            <c:strRef>
              <c:f>Tablero!$B$194:$B$198</c:f>
              <c:strCache>
                <c:ptCount val="5"/>
                <c:pt idx="0">
                  <c:v>Bruto</c:v>
                </c:pt>
                <c:pt idx="1">
                  <c:v>Operativo</c:v>
                </c:pt>
                <c:pt idx="2">
                  <c:v>EBITDA</c:v>
                </c:pt>
                <c:pt idx="3">
                  <c:v>Neto</c:v>
                </c:pt>
                <c:pt idx="4">
                  <c:v>Flujo operativo</c:v>
                </c:pt>
              </c:strCache>
            </c:strRef>
          </c:cat>
          <c:val>
            <c:numRef>
              <c:f>Tablero!$Z$194:$Z$198</c:f>
              <c:numCache>
                <c:formatCode>General</c:formatCode>
                <c:ptCount val="5"/>
                <c:pt idx="0">
                  <c:v>0</c:v>
                </c:pt>
                <c:pt idx="1">
                  <c:v>0</c:v>
                </c:pt>
                <c:pt idx="2">
                  <c:v>0</c:v>
                </c:pt>
                <c:pt idx="3">
                  <c:v>0</c:v>
                </c:pt>
                <c:pt idx="4">
                  <c:v>0</c:v>
                </c:pt>
              </c:numCache>
            </c:numRef>
          </c:val>
        </c:ser>
        <c:axId val="50040001"/>
        <c:axId val="50040002"/>
      </c:radarChart>
      <c:catAx>
        <c:axId val="50040001"/>
        <c:scaling>
          <c:orientation val="minMax"/>
        </c:scaling>
        <c:axPos val="b"/>
        <c:majorGridlines/>
        <c:tickLblPos val="nextTo"/>
        <c:spPr>
          <a:ln>
            <a:solidFill>
              <a:srgbClr val="1A2E4A"/>
            </a:solidFill>
          </a:ln>
        </c:spPr>
        <c:txPr>
          <a:bodyPr/>
          <a:lstStyle/>
          <a:p>
            <a:pPr>
              <a:defRPr sz="800" baseline="0">
                <a:solidFill>
                  <a:srgbClr val="8EA3C4"/>
                </a:solidFill>
                <a:latin typeface="Segoe UI"/>
              </a:defRPr>
            </a:pPr>
            <a:endParaRPr lang="en-US"/>
          </a:p>
        </c:txPr>
        <c:crossAx val="50040002"/>
        <c:crosses val="autoZero"/>
        <c:auto val="1"/>
        <c:lblAlgn val="ctr"/>
        <c:lblOffset val="100"/>
      </c:catAx>
      <c:valAx>
        <c:axId val="50040002"/>
        <c:scaling>
          <c:orientation val="minMax"/>
        </c:scaling>
        <c:axPos val="l"/>
        <c:majorGridlines>
          <c:spPr>
            <a:ln w="9525">
              <a:solidFill>
                <a:srgbClr val="1A2E4A"/>
              </a:solidFill>
            </a:ln>
          </c:spPr>
        </c:majorGridlines>
        <c:numFmt formatCode=";;;" sourceLinked="0"/>
        <c:majorTickMark val="none"/>
        <c:tickLblPos val="nextTo"/>
        <c:spPr>
          <a:ln>
            <a:noFill/>
          </a:ln>
        </c:spPr>
        <c:txPr>
          <a:bodyPr/>
          <a:lstStyle/>
          <a:p>
            <a:pPr>
              <a:defRPr sz="700" baseline="0">
                <a:solidFill>
                  <a:srgbClr val="5D7295"/>
                </a:solidFill>
                <a:latin typeface="Segoe UI"/>
              </a:defRPr>
            </a:pPr>
            <a:endParaRPr lang="en-US"/>
          </a:p>
        </c:txPr>
        <c:crossAx val="50040001"/>
        <c:crosses val="autoZero"/>
        <c:crossBetween val="between"/>
      </c:valAx>
      <c:spPr>
        <a:noFill/>
        <a:ln>
          <a:noFill/>
        </a:ln>
      </c:spPr>
    </c:plotArea>
    <c:plotVisOnly val="1"/>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
          <c:y val="0"/>
          <c:w val="1"/>
          <c:h val="1"/>
        </c:manualLayout>
      </c:layout>
      <c:barChart>
        <c:barDir val="bar"/>
        <c:grouping val="stacked"/>
        <c:ser>
          <c:idx val="0"/>
          <c:order val="0"/>
          <c:spPr>
            <a:gradFill>
              <a:gsLst>
                <a:gs pos="0">
                  <a:srgbClr val="1D4ED8"/>
                </a:gs>
                <a:gs pos="100000">
                  <a:srgbClr val="22D3EE"/>
                </a:gs>
              </a:gsLst>
              <a:lin ang="5400000" scaled="0"/>
            </a:gradFill>
            <a:ln>
              <a:noFill/>
            </a:ln>
          </c:spPr>
          <c:cat>
            <c:strRef>
              <c:f>Tablero!$B$203:$B$206</c:f>
              <c:strCache>
                <c:ptCount val="4"/>
                <c:pt idx="0">
                  <c:v>Ingresos</c:v>
                </c:pt>
                <c:pt idx="1">
                  <c:v>EBITDA ajustado</c:v>
                </c:pt>
                <c:pt idx="2">
                  <c:v>Flujo operativo</c:v>
                </c:pt>
                <c:pt idx="3">
                  <c:v>Capex</c:v>
                </c:pt>
              </c:strCache>
            </c:strRef>
          </c:cat>
          <c:val>
            <c:numRef>
              <c:f>Tablero!$AF$203:$AF$206</c:f>
              <c:numCache>
                <c:formatCode>General</c:formatCode>
                <c:ptCount val="4"/>
                <c:pt idx="0">
                  <c:v>0</c:v>
                </c:pt>
                <c:pt idx="1">
                  <c:v>0</c:v>
                </c:pt>
                <c:pt idx="2">
                  <c:v>0</c:v>
                </c:pt>
                <c:pt idx="3">
                  <c:v>0</c:v>
                </c:pt>
              </c:numCache>
            </c:numRef>
          </c:val>
        </c:ser>
        <c:ser>
          <c:idx val="1"/>
          <c:order val="1"/>
          <c:spPr>
            <a:solidFill>
              <a:srgbClr val="1C3150"/>
            </a:solidFill>
            <a:ln>
              <a:noFill/>
            </a:ln>
          </c:spPr>
          <c:cat>
            <c:strRef>
              <c:f>Tablero!$B$203:$B$206</c:f>
              <c:strCache>
                <c:ptCount val="4"/>
                <c:pt idx="0">
                  <c:v>Ingresos</c:v>
                </c:pt>
                <c:pt idx="1">
                  <c:v>EBITDA ajustado</c:v>
                </c:pt>
                <c:pt idx="2">
                  <c:v>Flujo operativo</c:v>
                </c:pt>
                <c:pt idx="3">
                  <c:v>Capex</c:v>
                </c:pt>
              </c:strCache>
            </c:strRef>
          </c:cat>
          <c:val>
            <c:numRef>
              <c:f>Tablero!$AL$203:$AL$206</c:f>
              <c:numCache>
                <c:formatCode>General</c:formatCode>
                <c:ptCount val="4"/>
                <c:pt idx="0">
                  <c:v>0</c:v>
                </c:pt>
                <c:pt idx="1">
                  <c:v>0</c:v>
                </c:pt>
                <c:pt idx="2">
                  <c:v>0</c:v>
                </c:pt>
                <c:pt idx="3">
                  <c:v>0</c:v>
                </c:pt>
              </c:numCache>
            </c:numRef>
          </c:val>
        </c:ser>
        <c:gapWidth val="420"/>
        <c:overlap val="100"/>
        <c:axId val="50050001"/>
        <c:axId val="50050002"/>
      </c:barChart>
      <c:catAx>
        <c:axId val="50050001"/>
        <c:scaling>
          <c:orientation val="maxMin"/>
        </c:scaling>
        <c:delete val="1"/>
        <c:axPos val="l"/>
        <c:majorTickMark val="none"/>
        <c:tickLblPos val="nextTo"/>
        <c:spPr>
          <a:ln>
            <a:noFill/>
          </a:ln>
        </c:spPr>
        <c:crossAx val="50050002"/>
        <c:auto val="1"/>
        <c:lblAlgn val="ctr"/>
        <c:lblOffset val="100"/>
      </c:catAx>
      <c:valAx>
        <c:axId val="50050002"/>
        <c:scaling>
          <c:orientation val="minMax"/>
          <c:max val="2"/>
          <c:min val="0"/>
        </c:scaling>
        <c:delete val="1"/>
        <c:axPos val="t"/>
        <c:numFmt formatCode="General" sourceLinked="1"/>
        <c:majorTickMark val="none"/>
        <c:tickLblPos val="nextTo"/>
        <c:spPr>
          <a:ln>
            <a:noFill/>
          </a:ln>
        </c:spPr>
        <c:crossAx val="50050001"/>
        <c:crosses val="autoZero"/>
        <c:crossBetween val="between"/>
      </c:valAx>
      <c:spPr>
        <a:noFill/>
        <a:ln>
          <a:noFill/>
        </a:ln>
      </c:spPr>
    </c:plotArea>
    <c:plotVisOnly val="1"/>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plotArea>
      <c:layout/>
      <c:doughnutChart>
        <c:varyColors val="1"/>
        <c:ser>
          <c:idx val="0"/>
          <c:order val="0"/>
          <c:dPt>
            <c:idx val="0"/>
            <c:spPr>
              <a:solidFill>
                <a:srgbClr val="22D3EE"/>
              </a:solidFill>
              <a:ln w="19050">
                <a:solidFill>
                  <a:srgbClr val="0E1F38"/>
                </a:solidFill>
              </a:ln>
            </c:spPr>
          </c:dPt>
          <c:dPt>
            <c:idx val="1"/>
            <c:spPr>
              <a:solidFill>
                <a:srgbClr val="3B82F6"/>
              </a:solidFill>
              <a:ln w="19050">
                <a:solidFill>
                  <a:srgbClr val="0E1F38"/>
                </a:solidFill>
              </a:ln>
            </c:spPr>
          </c:dPt>
          <c:dPt>
            <c:idx val="2"/>
            <c:spPr>
              <a:solidFill>
                <a:srgbClr val="1E3A8A"/>
              </a:solidFill>
              <a:ln w="19050">
                <a:solidFill>
                  <a:srgbClr val="0E1F38"/>
                </a:solidFill>
              </a:ln>
            </c:spPr>
          </c:dPt>
          <c:dPt>
            <c:idx val="3"/>
            <c:spPr>
              <a:solidFill>
                <a:srgbClr val="67E8F9"/>
              </a:solidFill>
              <a:ln w="19050">
                <a:solidFill>
                  <a:srgbClr val="0E1F38"/>
                </a:solidFill>
              </a:ln>
            </c:spPr>
          </c:dPt>
          <c:dPt>
            <c:idx val="4"/>
            <c:spPr>
              <a:solidFill>
                <a:srgbClr val="94A3B8"/>
              </a:solidFill>
              <a:ln w="19050">
                <a:solidFill>
                  <a:srgbClr val="0E1F38"/>
                </a:solidFill>
              </a:ln>
            </c:spPr>
          </c:dPt>
          <c:dPt>
            <c:idx val="5"/>
            <c:spPr>
              <a:solidFill>
                <a:srgbClr val="475569"/>
              </a:solidFill>
              <a:ln w="19050">
                <a:solidFill>
                  <a:srgbClr val="0E1F38"/>
                </a:solidFill>
              </a:ln>
            </c:spPr>
          </c:dPt>
          <c:cat>
            <c:strRef>
              <c:f>Tablero!$B$210:$B$215</c:f>
              <c:strCache>
                <c:ptCount val="6"/>
                <c:pt idx="0">
                  <c:v>Costos de producción</c:v>
                </c:pt>
                <c:pt idx="1">
                  <c:v>Comercialización</c:v>
                </c:pt>
                <c:pt idx="2">
                  <c:v>Administración</c:v>
                </c:pt>
                <c:pt idx="3">
                  <c:v>Exploración</c:v>
                </c:pt>
                <c:pt idx="4">
                  <c:v>Otros y deterioros</c:v>
                </c:pt>
                <c:pt idx="5">
                  <c:v>Resultado operativo</c:v>
                </c:pt>
              </c:strCache>
            </c:strRef>
          </c:cat>
          <c:val>
            <c:numRef>
              <c:f>Tablero!$N$210:$N$215</c:f>
              <c:numCache>
                <c:formatCode>General</c:formatCode>
                <c:ptCount val="6"/>
                <c:pt idx="0">
                  <c:v>0</c:v>
                </c:pt>
                <c:pt idx="1">
                  <c:v>0</c:v>
                </c:pt>
                <c:pt idx="2">
                  <c:v>0</c:v>
                </c:pt>
                <c:pt idx="3">
                  <c:v>0</c:v>
                </c:pt>
                <c:pt idx="4">
                  <c:v>0</c:v>
                </c:pt>
                <c:pt idx="5">
                  <c:v>0</c:v>
                </c:pt>
              </c:numCache>
            </c:numRef>
          </c:val>
        </c:ser>
        <c:firstSliceAng val="0"/>
        <c:holeSize val="66"/>
      </c:doughnutChart>
    </c:plotArea>
    <c:plotVisOnly val="1"/>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
          <c:y val="0"/>
          <c:w val="1"/>
          <c:h val="1"/>
        </c:manualLayout>
      </c:layout>
      <c:barChart>
        <c:barDir val="bar"/>
        <c:grouping val="stacked"/>
        <c:ser>
          <c:idx val="0"/>
          <c:order val="0"/>
          <c:dPt>
            <c:idx val="0"/>
            <c:spPr>
              <a:gradFill>
                <a:gsLst>
                  <a:gs pos="0">
                    <a:srgbClr val="1D4ED8"/>
                  </a:gs>
                  <a:gs pos="100000">
                    <a:srgbClr val="22D3EE"/>
                  </a:gs>
                </a:gsLst>
                <a:lin ang="5400000" scaled="0"/>
              </a:gradFill>
              <a:ln>
                <a:noFill/>
              </a:ln>
            </c:spPr>
          </c:dPt>
          <c:dPt>
            <c:idx val="1"/>
            <c:spPr>
              <a:gradFill>
                <a:gsLst>
                  <a:gs pos="0">
                    <a:srgbClr val="1E3A8A"/>
                  </a:gs>
                  <a:gs pos="100000">
                    <a:srgbClr val="60A5FA"/>
                  </a:gs>
                </a:gsLst>
                <a:lin ang="5400000" scaled="0"/>
              </a:gradFill>
              <a:ln>
                <a:noFill/>
              </a:ln>
            </c:spPr>
          </c:dPt>
          <c:cat>
            <c:strRef>
              <c:f>Tablero!$B$221:$B$222</c:f>
              <c:strCache>
                <c:ptCount val="2"/>
                <c:pt idx="0">
                  <c:v>Flujo operativo</c:v>
                </c:pt>
                <c:pt idx="1">
                  <c:v>Capex pagado</c:v>
                </c:pt>
              </c:strCache>
            </c:strRef>
          </c:cat>
          <c:val>
            <c:numRef>
              <c:f>Tablero!$T$221:$T$222</c:f>
              <c:numCache>
                <c:formatCode>General</c:formatCode>
                <c:ptCount val="2"/>
                <c:pt idx="0">
                  <c:v>0</c:v>
                </c:pt>
                <c:pt idx="1">
                  <c:v>0</c:v>
                </c:pt>
              </c:numCache>
            </c:numRef>
          </c:val>
        </c:ser>
        <c:ser>
          <c:idx val="1"/>
          <c:order val="1"/>
          <c:spPr>
            <a:solidFill>
              <a:srgbClr val="1C3150"/>
            </a:solidFill>
            <a:ln>
              <a:noFill/>
            </a:ln>
          </c:spPr>
          <c:cat>
            <c:strRef>
              <c:f>Tablero!$B$221:$B$222</c:f>
              <c:strCache>
                <c:ptCount val="2"/>
                <c:pt idx="0">
                  <c:v>Flujo operativo</c:v>
                </c:pt>
                <c:pt idx="1">
                  <c:v>Capex pagado</c:v>
                </c:pt>
              </c:strCache>
            </c:strRef>
          </c:cat>
          <c:val>
            <c:numRef>
              <c:f>Tablero!$Z$221:$Z$222</c:f>
              <c:numCache>
                <c:formatCode>General</c:formatCode>
                <c:ptCount val="2"/>
                <c:pt idx="0">
                  <c:v>0</c:v>
                </c:pt>
                <c:pt idx="1">
                  <c:v>0</c:v>
                </c:pt>
              </c:numCache>
            </c:numRef>
          </c:val>
        </c:ser>
        <c:gapWidth val="480"/>
        <c:overlap val="100"/>
        <c:axId val="50070001"/>
        <c:axId val="50070002"/>
      </c:barChart>
      <c:catAx>
        <c:axId val="50070001"/>
        <c:scaling>
          <c:orientation val="maxMin"/>
        </c:scaling>
        <c:delete val="1"/>
        <c:axPos val="l"/>
        <c:majorTickMark val="none"/>
        <c:tickLblPos val="nextTo"/>
        <c:spPr>
          <a:ln>
            <a:noFill/>
          </a:ln>
        </c:spPr>
        <c:crossAx val="50070002"/>
        <c:auto val="1"/>
        <c:lblAlgn val="ctr"/>
        <c:lblOffset val="100"/>
      </c:catAx>
      <c:valAx>
        <c:axId val="50070002"/>
        <c:scaling>
          <c:orientation val="minMax"/>
          <c:max val="1"/>
          <c:min val="0"/>
        </c:scaling>
        <c:delete val="1"/>
        <c:axPos val="t"/>
        <c:numFmt formatCode="General" sourceLinked="1"/>
        <c:majorTickMark val="none"/>
        <c:tickLblPos val="nextTo"/>
        <c:spPr>
          <a:ln>
            <a:noFill/>
          </a:ln>
        </c:spPr>
        <c:crossAx val="50070001"/>
        <c:crosses val="autoZero"/>
        <c:crossBetween val="between"/>
      </c:valAx>
      <c:spPr>
        <a:noFill/>
        <a:ln>
          <a:noFill/>
        </a:ln>
      </c:spPr>
    </c:plotArea>
    <c:plotVisOnly val="1"/>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plotArea>
      <c:layout/>
      <c:doughnutChart>
        <c:varyColors val="1"/>
        <c:ser>
          <c:idx val="0"/>
          <c:order val="0"/>
          <c:dPt>
            <c:idx val="0"/>
            <c:spPr>
              <a:solidFill>
                <a:srgbClr val="22D3EE"/>
              </a:solidFill>
              <a:ln w="25400">
                <a:solidFill>
                  <a:srgbClr val="0E1F38"/>
                </a:solidFill>
              </a:ln>
            </c:spPr>
          </c:dPt>
          <c:dPt>
            <c:idx val="1"/>
            <c:spPr>
              <a:solidFill>
                <a:srgbClr val="3B82F6"/>
              </a:solidFill>
              <a:ln w="25400">
                <a:solidFill>
                  <a:srgbClr val="0E1F38"/>
                </a:solidFill>
              </a:ln>
            </c:spPr>
          </c:dPt>
          <c:dPt>
            <c:idx val="2"/>
            <c:spPr>
              <a:solidFill>
                <a:srgbClr val="1E3A8A"/>
              </a:solidFill>
              <a:ln w="25400">
                <a:solidFill>
                  <a:srgbClr val="0E1F38"/>
                </a:solidFill>
              </a:ln>
            </c:spPr>
          </c:dPt>
          <c:dPt>
            <c:idx val="3"/>
            <c:spPr>
              <a:solidFill>
                <a:srgbClr val="67E8F9"/>
              </a:solidFill>
              <a:ln w="25400">
                <a:solidFill>
                  <a:srgbClr val="0E1F38"/>
                </a:solidFill>
              </a:ln>
            </c:spPr>
          </c:dPt>
          <c:dPt>
            <c:idx val="4"/>
            <c:spPr>
              <a:solidFill>
                <a:srgbClr val="94A3B8"/>
              </a:solidFill>
              <a:ln w="25400">
                <a:solidFill>
                  <a:srgbClr val="0E1F38"/>
                </a:solidFill>
              </a:ln>
            </c:spPr>
          </c:dPt>
          <c:dPt>
            <c:idx val="5"/>
            <c:spPr>
              <a:solidFill>
                <a:srgbClr val="475569"/>
              </a:solidFill>
              <a:ln w="25400">
                <a:solidFill>
                  <a:srgbClr val="0E1F38"/>
                </a:solidFill>
              </a:ln>
            </c:spPr>
          </c:dPt>
          <c:cat>
            <c:strRef>
              <c:f>Tablero!$B$247:$B$252</c:f>
              <c:strCache>
                <c:ptCount val="6"/>
                <c:pt idx="0">
                  <c:v/>
                </c:pt>
                <c:pt idx="1">
                  <c:v/>
                </c:pt>
                <c:pt idx="2">
                  <c:v/>
                </c:pt>
                <c:pt idx="3">
                  <c:v/>
                </c:pt>
                <c:pt idx="4">
                  <c:v/>
                </c:pt>
                <c:pt idx="5">
                  <c:v>Resto</c:v>
                </c:pt>
              </c:strCache>
            </c:strRef>
          </c:cat>
          <c:val>
            <c:numRef>
              <c:f>Tablero!$N$247:$N$252</c:f>
              <c:numCache>
                <c:formatCode>General</c:formatCode>
                <c:ptCount val="6"/>
                <c:pt idx="0">
                  <c:v>0</c:v>
                </c:pt>
                <c:pt idx="1">
                  <c:v>0</c:v>
                </c:pt>
                <c:pt idx="2">
                  <c:v>0</c:v>
                </c:pt>
                <c:pt idx="3">
                  <c:v>0</c:v>
                </c:pt>
                <c:pt idx="4">
                  <c:v>0</c:v>
                </c:pt>
                <c:pt idx="5">
                  <c:v>0</c:v>
                </c:pt>
              </c:numCache>
            </c:numRef>
          </c:val>
        </c:ser>
        <c:firstSliceAng val="20"/>
        <c:holeSize val="64"/>
      </c:doughnutChart>
    </c:plotArea>
    <c:plotVisOnly val="1"/>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080000000000000002"/>
          <c:y val="0.059999999999999998"/>
          <c:w val="0.90000000000000002"/>
          <c:h val="0.76000000000000001"/>
        </c:manualLayout>
      </c:layout>
      <c:lineChart>
        <c:grouping val="standard"/>
        <c:ser>
          <c:idx val="0"/>
          <c:order val="0"/>
          <c:tx>
            <c:v>EBITDA</c:v>
          </c:tx>
          <c:spPr>
            <a:ln w="31750">
              <a:solidFill>
                <a:srgbClr val="22D3EE"/>
              </a:solidFill>
            </a:ln>
          </c:spPr>
          <c:marker>
            <c:symbol val="circle"/>
            <c:size val="5"/>
            <c:spPr>
              <a:solidFill>
                <a:srgbClr val="0B182C"/>
              </a:solidFill>
              <a:ln w="19050">
                <a:solidFill>
                  <a:srgbClr val="22D3EE"/>
                </a:solidFill>
              </a:ln>
            </c:spPr>
          </c:marker>
          <c:cat>
            <c:strRef>
              <c:f>Tablero!$B$178:$B$189</c:f>
              <c:strCache>
                <c:ptCount val="12"/>
                <c:pt idx="0">
                  <c:v/>
                </c:pt>
                <c:pt idx="1">
                  <c:v/>
                </c:pt>
                <c:pt idx="2">
                  <c:v/>
                </c:pt>
                <c:pt idx="3">
                  <c:v/>
                </c:pt>
                <c:pt idx="4">
                  <c:v/>
                </c:pt>
                <c:pt idx="5">
                  <c:v/>
                </c:pt>
                <c:pt idx="6">
                  <c:v/>
                </c:pt>
                <c:pt idx="7">
                  <c:v/>
                </c:pt>
                <c:pt idx="8">
                  <c:v/>
                </c:pt>
                <c:pt idx="9">
                  <c:v/>
                </c:pt>
                <c:pt idx="10">
                  <c:v/>
                </c:pt>
                <c:pt idx="11">
                  <c:v/>
                </c:pt>
              </c:strCache>
            </c:strRef>
          </c:cat>
          <c:val>
            <c:numRef>
              <c:f>Tablero!$T$178:$T$189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1"/>
        </c:ser>
        <c:ser>
          <c:idx val="1"/>
          <c:order val="1"/>
          <c:tx>
            <c:v>Flujo operativo</c:v>
          </c:tx>
          <c:spPr>
            <a:ln w="25400">
              <a:solidFill>
                <a:srgbClr val="818CF8"/>
              </a:solidFill>
              <a:prstDash val="dash"/>
            </a:ln>
          </c:spPr>
          <c:marker>
            <c:symbol val="none"/>
          </c:marker>
          <c:cat>
            <c:strRef>
              <c:f>Tablero!$B$178:$B$189</c:f>
              <c:strCache>
                <c:ptCount val="12"/>
                <c:pt idx="0">
                  <c:v/>
                </c:pt>
                <c:pt idx="1">
                  <c:v/>
                </c:pt>
                <c:pt idx="2">
                  <c:v/>
                </c:pt>
                <c:pt idx="3">
                  <c:v/>
                </c:pt>
                <c:pt idx="4">
                  <c:v/>
                </c:pt>
                <c:pt idx="5">
                  <c:v/>
                </c:pt>
                <c:pt idx="6">
                  <c:v/>
                </c:pt>
                <c:pt idx="7">
                  <c:v/>
                </c:pt>
                <c:pt idx="8">
                  <c:v/>
                </c:pt>
                <c:pt idx="9">
                  <c:v/>
                </c:pt>
                <c:pt idx="10">
                  <c:v/>
                </c:pt>
                <c:pt idx="11">
                  <c:v/>
                </c:pt>
              </c:strCache>
            </c:strRef>
          </c:cat>
          <c:val>
            <c:numRef>
              <c:f>Tablero!$AL$178:$AL$189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1"/>
        </c:ser>
        <c:marker val="1"/>
        <c:axId val="50090001"/>
        <c:axId val="50090002"/>
      </c:lineChart>
      <c:catAx>
        <c:axId val="50090001"/>
        <c:scaling>
          <c:orientation val="minMax"/>
        </c:scaling>
        <c:axPos val="b"/>
        <c:majorTickMark val="none"/>
        <c:tickLblPos val="low"/>
        <c:spPr>
          <a:ln>
            <a:noFill/>
          </a:ln>
        </c:spPr>
        <c:txPr>
          <a:bodyPr/>
          <a:lstStyle/>
          <a:p>
            <a:pPr>
              <a:defRPr sz="800" baseline="0">
                <a:solidFill>
                  <a:srgbClr val="8EA3C4"/>
                </a:solidFill>
                <a:latin typeface="Segoe UI"/>
              </a:defRPr>
            </a:pPr>
            <a:endParaRPr lang="en-US"/>
          </a:p>
        </c:txPr>
        <c:crossAx val="50090002"/>
        <c:crosses val="autoZero"/>
        <c:auto val="1"/>
        <c:lblAlgn val="ctr"/>
        <c:lblOffset val="100"/>
      </c:catAx>
      <c:valAx>
        <c:axId val="50090002"/>
        <c:scaling>
          <c:orientation val="minMax"/>
        </c:scaling>
        <c:axPos val="l"/>
        <c:majorGridlines>
          <c:spPr>
            <a:ln w="9525">
              <a:solidFill>
                <a:srgbClr val="1A2E4A"/>
              </a:solidFill>
              <a:prstDash val="dash"/>
            </a:ln>
          </c:spPr>
        </c:majorGridlines>
        <c:numFmt formatCode="#,##0,,&quot;M&quot;" sourceLinked="0"/>
        <c:majorTickMark val="none"/>
        <c:tickLblPos val="nextTo"/>
        <c:spPr>
          <a:ln>
            <a:noFill/>
          </a:ln>
        </c:spPr>
        <c:txPr>
          <a:bodyPr/>
          <a:lstStyle/>
          <a:p>
            <a:pPr>
              <a:defRPr sz="800" baseline="0">
                <a:solidFill>
                  <a:srgbClr val="8EA3C4"/>
                </a:solidFill>
                <a:latin typeface="Segoe UI"/>
              </a:defRPr>
            </a:pPr>
            <a:endParaRPr lang="en-US"/>
          </a:p>
        </c:txPr>
        <c:crossAx val="50090001"/>
        <c:crosses val="autoZero"/>
        <c:crossBetween val="between"/>
      </c:valAx>
      <c:spPr>
        <a:noFill/>
        <a:ln>
          <a:noFill/>
        </a:ln>
      </c:spPr>
    </c:plotArea>
    <c:plotVisOnly val="1"/>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040000000000000001"/>
          <c:y val="0.12"/>
          <c:w val="0.92000000000000004"/>
          <c:h val="0.73999999999999999"/>
        </c:manualLayout>
      </c:layout>
      <c:barChart>
        <c:barDir val="col"/>
        <c:grouping val="clustered"/>
        <c:ser>
          <c:idx val="0"/>
          <c:order val="0"/>
          <c:tx>
            <c:v>EBITDA</c:v>
          </c:tx>
          <c:spPr>
            <a:gradFill>
              <a:gsLst>
                <a:gs pos="0">
                  <a:srgbClr val="22D3EE"/>
                </a:gs>
                <a:gs pos="100000">
                  <a:srgbClr val="1D4ED8"/>
                </a:gs>
              </a:gsLst>
              <a:lin ang="5400000" scaled="0"/>
            </a:gradFill>
            <a:ln>
              <a:noFill/>
            </a:ln>
          </c:spPr>
          <c:dLbls>
            <c:numFmt formatCode="#,##0,,&quot;M&quot;" sourceLinked="0"/>
            <c:txPr>
              <a:bodyPr/>
              <a:lstStyle/>
              <a:p>
                <a:pPr>
                  <a:defRPr sz="800" b="1" baseline="0">
                    <a:solidFill>
                      <a:srgbClr val="EAF2FF"/>
                    </a:solidFill>
                    <a:latin typeface="Segoe UI"/>
                  </a:defRPr>
                </a:pPr>
                <a:endParaRPr lang="en-US"/>
              </a:p>
            </c:txPr>
            <c:showVal val="1"/>
          </c:dLbls>
          <c:cat>
            <c:strRef>
              <c:f>Tablero!$B$257:$B$259</c:f>
              <c:strCache>
                <c:ptCount val="3"/>
                <c:pt idx="0">
                  <c:v/>
                </c:pt>
                <c:pt idx="1">
                  <c:v/>
                </c:pt>
                <c:pt idx="2">
                  <c:v/>
                </c:pt>
              </c:strCache>
            </c:strRef>
          </c:cat>
          <c:val>
            <c:numRef>
              <c:f>Tablero!$N$257:$N$259</c:f>
              <c:numCache>
                <c:formatCode>General</c:formatCode>
                <c:ptCount val="3"/>
                <c:pt idx="0">
                  <c:v>0</c:v>
                </c:pt>
                <c:pt idx="1">
                  <c:v>0</c:v>
                </c:pt>
                <c:pt idx="2">
                  <c:v>0</c:v>
                </c:pt>
              </c:numCache>
            </c:numRef>
          </c:val>
        </c:ser>
        <c:ser>
          <c:idx val="1"/>
          <c:order val="1"/>
          <c:tx>
            <c:v>Capex</c:v>
          </c:tx>
          <c:spPr>
            <a:solidFill>
              <a:srgbClr val="3B82F6">
                <a:alpha val="15000"/>
              </a:srgbClr>
            </a:solidFill>
            <a:ln w="15875">
              <a:solidFill>
                <a:srgbClr val="93C5FD"/>
              </a:solidFill>
            </a:ln>
          </c:spPr>
          <c:dLbls>
            <c:numFmt formatCode="#,##0,,&quot;M&quot;" sourceLinked="0"/>
            <c:txPr>
              <a:bodyPr/>
              <a:lstStyle/>
              <a:p>
                <a:pPr>
                  <a:defRPr sz="800" baseline="0">
                    <a:solidFill>
                      <a:srgbClr val="93C5FD"/>
                    </a:solidFill>
                    <a:latin typeface="Segoe UI"/>
                  </a:defRPr>
                </a:pPr>
                <a:endParaRPr lang="en-US"/>
              </a:p>
            </c:txPr>
            <c:dLblPos val="inEnd"/>
            <c:showVal val="1"/>
          </c:dLbls>
          <c:cat>
            <c:strRef>
              <c:f>Tablero!$B$257:$B$259</c:f>
              <c:strCache>
                <c:ptCount val="3"/>
                <c:pt idx="0">
                  <c:v/>
                </c:pt>
                <c:pt idx="1">
                  <c:v/>
                </c:pt>
                <c:pt idx="2">
                  <c:v/>
                </c:pt>
              </c:strCache>
            </c:strRef>
          </c:cat>
          <c:val>
            <c:numRef>
              <c:f>Tablero!$T$257:$T$259</c:f>
              <c:numCache>
                <c:formatCode>General</c:formatCode>
                <c:ptCount val="3"/>
                <c:pt idx="0">
                  <c:v>0</c:v>
                </c:pt>
                <c:pt idx="1">
                  <c:v>0</c:v>
                </c:pt>
                <c:pt idx="2">
                  <c:v>0</c:v>
                </c:pt>
              </c:numCache>
            </c:numRef>
          </c:val>
        </c:ser>
        <c:gapWidth val="90"/>
        <c:overlap val="-12"/>
        <c:axId val="50100001"/>
        <c:axId val="50100002"/>
      </c:barChart>
      <c:catAx>
        <c:axId val="50100001"/>
        <c:scaling>
          <c:orientation val="minMax"/>
        </c:scaling>
        <c:axPos val="b"/>
        <c:majorTickMark val="none"/>
        <c:tickLblPos val="low"/>
        <c:spPr>
          <a:ln>
            <a:solidFill>
              <a:srgbClr val="1A2E4A"/>
            </a:solidFill>
          </a:ln>
        </c:spPr>
        <c:txPr>
          <a:bodyPr/>
          <a:lstStyle/>
          <a:p>
            <a:pPr>
              <a:defRPr sz="900" b="1" baseline="0">
                <a:solidFill>
                  <a:srgbClr val="EAF2FF"/>
                </a:solidFill>
                <a:latin typeface="Segoe UI"/>
              </a:defRPr>
            </a:pPr>
            <a:endParaRPr lang="en-US"/>
          </a:p>
        </c:txPr>
        <c:crossAx val="50100002"/>
        <c:crosses val="autoZero"/>
        <c:auto val="1"/>
        <c:lblAlgn val="ctr"/>
        <c:lblOffset val="100"/>
      </c:catAx>
      <c:valAx>
        <c:axId val="50100002"/>
        <c:scaling>
          <c:orientation val="minMax"/>
        </c:scaling>
        <c:delete val="1"/>
        <c:axPos val="l"/>
        <c:numFmt formatCode="#,##0,,&quot;M&quot;" sourceLinked="0"/>
        <c:majorTickMark val="none"/>
        <c:tickLblPos val="nextTo"/>
        <c:spPr>
          <a:ln>
            <a:noFill/>
          </a:ln>
        </c:spPr>
        <c:txPr>
          <a:bodyPr/>
          <a:lstStyle/>
          <a:p>
            <a:pPr>
              <a:defRPr sz="800" baseline="0">
                <a:solidFill>
                  <a:srgbClr val="8EA3C4"/>
                </a:solidFill>
                <a:latin typeface="Segoe UI"/>
              </a:defRPr>
            </a:pPr>
            <a:endParaRPr lang="en-US"/>
          </a:p>
        </c:txPr>
        <c:crossAx val="50100001"/>
        <c:crosses val="autoZero"/>
        <c:crossBetween val="between"/>
      </c:valAx>
      <c:spPr>
        <a:noFill/>
        <a:ln>
          <a:noFill/>
        </a:ln>
      </c:spPr>
    </c:plotArea>
    <c:plotVisOnly val="1"/>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
          <c:y val="0"/>
          <c:w val="1"/>
          <c:h val="1"/>
        </c:manualLayout>
      </c:layout>
      <c:scatterChart>
        <c:scatterStyle val="lineMarker"/>
        <c:ser>
          <c:idx val="0"/>
          <c:order val="0"/>
          <c:spPr>
            <a:ln w="28575">
              <a:noFill/>
            </a:ln>
          </c:spPr>
          <c:marker>
            <c:symbol val="circle"/>
            <c:size val="7"/>
            <c:spPr>
              <a:solidFill>
                <a:srgbClr val="22D3EE">
                  <a:alpha val="65000"/>
                </a:srgbClr>
              </a:solidFill>
              <a:ln w="15875">
                <a:solidFill>
                  <a:srgbClr val="22D3EE"/>
                </a:solidFill>
              </a:ln>
            </c:spPr>
          </c:marker>
          <c:dLbls>
            <c:dLbl>
              <c:idx val="0"/>
              <c:layout/>
              <c:tx>
                <c:strRef>
                  <c:f>'Tablero'!$BJ$318</c:f>
                  <c:strCache>
                    <c:ptCount val="1"/>
                    <c:pt idx="0">
                      <c:v/>
                    </c:pt>
                  </c:strCache>
                </c:strRef>
              </c:tx>
              <c:showVal val="1"/>
            </c:dLbl>
            <c:dLbl>
              <c:idx val="1"/>
              <c:layout/>
              <c:tx>
                <c:strRef>
                  <c:f>'Tablero'!$BJ$319</c:f>
                  <c:strCache>
                    <c:ptCount val="1"/>
                    <c:pt idx="0">
                      <c:v/>
                    </c:pt>
                  </c:strCache>
                </c:strRef>
              </c:tx>
              <c:showVal val="1"/>
            </c:dLbl>
            <c:dLbl>
              <c:idx val="2"/>
              <c:layout/>
              <c:tx>
                <c:strRef>
                  <c:f>'Tablero'!$BJ$320</c:f>
                  <c:strCache>
                    <c:ptCount val="1"/>
                    <c:pt idx="0">
                      <c:v/>
                    </c:pt>
                  </c:strCache>
                </c:strRef>
              </c:tx>
              <c:showVal val="1"/>
            </c:dLbl>
            <c:dLbl>
              <c:idx val="3"/>
              <c:layout/>
              <c:tx>
                <c:strRef>
                  <c:f>'Tablero'!$BJ$321</c:f>
                  <c:strCache>
                    <c:ptCount val="1"/>
                    <c:pt idx="0">
                      <c:v/>
                    </c:pt>
                  </c:strCache>
                </c:strRef>
              </c:tx>
              <c:showVal val="1"/>
            </c:dLbl>
            <c:dLbl>
              <c:idx val="4"/>
              <c:layout/>
              <c:tx>
                <c:strRef>
                  <c:f>'Tablero'!$BJ$322</c:f>
                  <c:strCache>
                    <c:ptCount val="1"/>
                    <c:pt idx="0">
                      <c:v/>
                    </c:pt>
                  </c:strCache>
                </c:strRef>
              </c:tx>
              <c:showVal val="1"/>
            </c:dLbl>
            <c:dLbl>
              <c:idx val="5"/>
              <c:layout/>
              <c:tx>
                <c:strRef>
                  <c:f>'Tablero'!$BJ$323</c:f>
                  <c:strCache>
                    <c:ptCount val="1"/>
                    <c:pt idx="0">
                      <c:v/>
                    </c:pt>
                  </c:strCache>
                </c:strRef>
              </c:tx>
              <c:showVal val="1"/>
            </c:dLbl>
            <c:dLbl>
              <c:idx val="6"/>
              <c:layout/>
              <c:tx>
                <c:strRef>
                  <c:f>'Tablero'!$BJ$324</c:f>
                  <c:strCache>
                    <c:ptCount val="1"/>
                    <c:pt idx="0">
                      <c:v/>
                    </c:pt>
                  </c:strCache>
                </c:strRef>
              </c:tx>
              <c:showVal val="1"/>
            </c:dLbl>
            <c:dLbl>
              <c:idx val="7"/>
              <c:layout/>
              <c:tx>
                <c:strRef>
                  <c:f>'Tablero'!$BJ$325</c:f>
                  <c:strCache>
                    <c:ptCount val="1"/>
                    <c:pt idx="0">
                      <c:v/>
                    </c:pt>
                  </c:strCache>
                </c:strRef>
              </c:tx>
              <c:showVal val="1"/>
            </c:dLbl>
            <c:dLbl>
              <c:idx val="8"/>
              <c:layout/>
              <c:tx>
                <c:strRef>
                  <c:f>'Tablero'!$BJ$326</c:f>
                  <c:strCache>
                    <c:ptCount val="1"/>
                    <c:pt idx="0">
                      <c:v/>
                    </c:pt>
                  </c:strCache>
                </c:strRef>
              </c:tx>
              <c:showVal val="1"/>
            </c:dLbl>
            <c:dLbl>
              <c:idx val="9"/>
              <c:layout/>
              <c:tx>
                <c:strRef>
                  <c:f>'Tablero'!$BJ$327</c:f>
                  <c:strCache>
                    <c:ptCount val="1"/>
                    <c:pt idx="0">
                      <c:v/>
                    </c:pt>
                  </c:strCache>
                </c:strRef>
              </c:tx>
              <c:showVal val="1"/>
            </c:dLbl>
            <c:dLbl>
              <c:idx val="10"/>
              <c:layout/>
              <c:tx>
                <c:strRef>
                  <c:f>'Tablero'!$BJ$328</c:f>
                  <c:strCache>
                    <c:ptCount val="1"/>
                    <c:pt idx="0">
                      <c:v/>
                    </c:pt>
                  </c:strCache>
                </c:strRef>
              </c:tx>
              <c:showVal val="1"/>
            </c:dLbl>
            <c:dLbl>
              <c:idx val="11"/>
              <c:layout/>
              <c:tx>
                <c:strRef>
                  <c:f>'Tablero'!$BJ$329</c:f>
                  <c:strCache>
                    <c:ptCount val="1"/>
                    <c:pt idx="0">
                      <c:v/>
                    </c:pt>
                  </c:strCache>
                </c:strRef>
              </c:tx>
              <c:showVal val="1"/>
            </c:dLbl>
            <c:dLbl>
              <c:idx val="12"/>
              <c:layout/>
              <c:tx>
                <c:strRef>
                  <c:f>'Tablero'!$BJ$330</c:f>
                  <c:strCache>
                    <c:ptCount val="1"/>
                    <c:pt idx="0">
                      <c:v/>
                    </c:pt>
                  </c:strCache>
                </c:strRef>
              </c:tx>
              <c:showVal val="1"/>
            </c:dLbl>
            <c:dLbl>
              <c:idx val="13"/>
              <c:layout/>
              <c:tx>
                <c:strRef>
                  <c:f>'Tablero'!$BJ$331</c:f>
                  <c:strCache>
                    <c:ptCount val="1"/>
                    <c:pt idx="0">
                      <c:v/>
                    </c:pt>
                  </c:strCache>
                </c:strRef>
              </c:tx>
              <c:showVal val="1"/>
            </c:dLbl>
            <c:txPr>
              <a:bodyPr/>
              <a:lstStyle/>
              <a:p>
                <a:pPr>
                  <a:defRPr sz="800" b="1" baseline="0">
                    <a:solidFill>
                      <a:srgbClr val="E2E8F0"/>
                    </a:solidFill>
                    <a:latin typeface="Segoe UI"/>
                  </a:defRPr>
                </a:pPr>
                <a:endParaRPr lang="en-US"/>
              </a:p>
            </c:txPr>
            <c:showVal val="1"/>
          </c:dLbls>
          <c:xVal>
            <c:numRef>
              <c:f>Tablero!$N$318:$N$331</c:f>
              <c:numCache>
                <c:formatCode>General</c:formatCode>
                <c:ptCount val="14"/>
                <c:pt idx="0">
                  <c:v>167.7</c:v>
                </c:pt>
                <c:pt idx="1">
                  <c:v>169.1</c:v>
                </c:pt>
                <c:pt idx="2">
                  <c:v>166</c:v>
                </c:pt>
                <c:pt idx="3">
                  <c:v>166.6</c:v>
                </c:pt>
                <c:pt idx="4">
                  <c:v>137.1</c:v>
                </c:pt>
                <c:pt idx="5">
                  <c:v>144.8</c:v>
                </c:pt>
                <c:pt idx="6">
                  <c:v>187.5</c:v>
                </c:pt>
                <c:pt idx="7">
                  <c:v>173.3</c:v>
                </c:pt>
                <c:pt idx="8">
                  <c:v>167</c:v>
                </c:pt>
                <c:pt idx="9">
                  <c:v>156.4</c:v>
                </c:pt>
                <c:pt idx="10">
                  <c:v>142</c:v>
                </c:pt>
                <c:pt idx="11">
                  <c:v>148.4</c:v>
                </c:pt>
                <c:pt idx="12">
                  <c:v>151.1</c:v>
                </c:pt>
                <c:pt idx="13">
                  <c:v>148.7</c:v>
                </c:pt>
              </c:numCache>
            </c:numRef>
          </c:xVal>
          <c:yVal>
            <c:numRef>
              <c:f>Tablero!$BP$318:$BP$331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er>
        <c:ser>
          <c:idx val="1"/>
          <c:order val="1"/>
          <c:spPr>
            <a:ln w="28575">
              <a:noFill/>
            </a:ln>
          </c:spPr>
          <c:marker>
            <c:symbol val="circle"/>
            <c:size val="12"/>
            <c:spPr>
              <a:solidFill>
                <a:srgbClr val="22D3EE">
                  <a:alpha val="65000"/>
                </a:srgbClr>
              </a:solidFill>
              <a:ln w="15875">
                <a:solidFill>
                  <a:srgbClr val="22D3EE"/>
                </a:solidFill>
              </a:ln>
            </c:spPr>
          </c:marker>
          <c:dLbls>
            <c:dLbl>
              <c:idx val="0"/>
              <c:layout/>
              <c:tx>
                <c:strRef>
                  <c:f>'Tablero'!$BJ$318</c:f>
                  <c:strCache>
                    <c:ptCount val="1"/>
                    <c:pt idx="0">
                      <c:v/>
                    </c:pt>
                  </c:strCache>
                </c:strRef>
              </c:tx>
              <c:showVal val="1"/>
            </c:dLbl>
            <c:dLbl>
              <c:idx val="1"/>
              <c:layout/>
              <c:tx>
                <c:strRef>
                  <c:f>'Tablero'!$BJ$319</c:f>
                  <c:strCache>
                    <c:ptCount val="1"/>
                    <c:pt idx="0">
                      <c:v/>
                    </c:pt>
                  </c:strCache>
                </c:strRef>
              </c:tx>
              <c:showVal val="1"/>
            </c:dLbl>
            <c:dLbl>
              <c:idx val="2"/>
              <c:layout/>
              <c:tx>
                <c:strRef>
                  <c:f>'Tablero'!$BJ$320</c:f>
                  <c:strCache>
                    <c:ptCount val="1"/>
                    <c:pt idx="0">
                      <c:v/>
                    </c:pt>
                  </c:strCache>
                </c:strRef>
              </c:tx>
              <c:showVal val="1"/>
            </c:dLbl>
            <c:dLbl>
              <c:idx val="3"/>
              <c:layout/>
              <c:tx>
                <c:strRef>
                  <c:f>'Tablero'!$BJ$321</c:f>
                  <c:strCache>
                    <c:ptCount val="1"/>
                    <c:pt idx="0">
                      <c:v/>
                    </c:pt>
                  </c:strCache>
                </c:strRef>
              </c:tx>
              <c:showVal val="1"/>
            </c:dLbl>
            <c:dLbl>
              <c:idx val="4"/>
              <c:layout/>
              <c:tx>
                <c:strRef>
                  <c:f>'Tablero'!$BJ$322</c:f>
                  <c:strCache>
                    <c:ptCount val="1"/>
                    <c:pt idx="0">
                      <c:v/>
                    </c:pt>
                  </c:strCache>
                </c:strRef>
              </c:tx>
              <c:showVal val="1"/>
            </c:dLbl>
            <c:dLbl>
              <c:idx val="5"/>
              <c:layout/>
              <c:tx>
                <c:strRef>
                  <c:f>'Tablero'!$BJ$323</c:f>
                  <c:strCache>
                    <c:ptCount val="1"/>
                    <c:pt idx="0">
                      <c:v/>
                    </c:pt>
                  </c:strCache>
                </c:strRef>
              </c:tx>
              <c:showVal val="1"/>
            </c:dLbl>
            <c:dLbl>
              <c:idx val="6"/>
              <c:layout/>
              <c:tx>
                <c:strRef>
                  <c:f>'Tablero'!$BJ$324</c:f>
                  <c:strCache>
                    <c:ptCount val="1"/>
                    <c:pt idx="0">
                      <c:v/>
                    </c:pt>
                  </c:strCache>
                </c:strRef>
              </c:tx>
              <c:showVal val="1"/>
            </c:dLbl>
            <c:dLbl>
              <c:idx val="7"/>
              <c:layout/>
              <c:tx>
                <c:strRef>
                  <c:f>'Tablero'!$BJ$325</c:f>
                  <c:strCache>
                    <c:ptCount val="1"/>
                    <c:pt idx="0">
                      <c:v/>
                    </c:pt>
                  </c:strCache>
                </c:strRef>
              </c:tx>
              <c:showVal val="1"/>
            </c:dLbl>
            <c:dLbl>
              <c:idx val="8"/>
              <c:layout/>
              <c:tx>
                <c:strRef>
                  <c:f>'Tablero'!$BJ$326</c:f>
                  <c:strCache>
                    <c:ptCount val="1"/>
                    <c:pt idx="0">
                      <c:v/>
                    </c:pt>
                  </c:strCache>
                </c:strRef>
              </c:tx>
              <c:showVal val="1"/>
            </c:dLbl>
            <c:dLbl>
              <c:idx val="9"/>
              <c:layout/>
              <c:tx>
                <c:strRef>
                  <c:f>'Tablero'!$BJ$327</c:f>
                  <c:strCache>
                    <c:ptCount val="1"/>
                    <c:pt idx="0">
                      <c:v/>
                    </c:pt>
                  </c:strCache>
                </c:strRef>
              </c:tx>
              <c:showVal val="1"/>
            </c:dLbl>
            <c:dLbl>
              <c:idx val="10"/>
              <c:layout/>
              <c:tx>
                <c:strRef>
                  <c:f>'Tablero'!$BJ$328</c:f>
                  <c:strCache>
                    <c:ptCount val="1"/>
                    <c:pt idx="0">
                      <c:v/>
                    </c:pt>
                  </c:strCache>
                </c:strRef>
              </c:tx>
              <c:showVal val="1"/>
            </c:dLbl>
            <c:dLbl>
              <c:idx val="11"/>
              <c:layout/>
              <c:tx>
                <c:strRef>
                  <c:f>'Tablero'!$BJ$329</c:f>
                  <c:strCache>
                    <c:ptCount val="1"/>
                    <c:pt idx="0">
                      <c:v/>
                    </c:pt>
                  </c:strCache>
                </c:strRef>
              </c:tx>
              <c:showVal val="1"/>
            </c:dLbl>
            <c:dLbl>
              <c:idx val="12"/>
              <c:layout/>
              <c:tx>
                <c:strRef>
                  <c:f>'Tablero'!$BJ$330</c:f>
                  <c:strCache>
                    <c:ptCount val="1"/>
                    <c:pt idx="0">
                      <c:v/>
                    </c:pt>
                  </c:strCache>
                </c:strRef>
              </c:tx>
              <c:showVal val="1"/>
            </c:dLbl>
            <c:dLbl>
              <c:idx val="13"/>
              <c:layout/>
              <c:tx>
                <c:strRef>
                  <c:f>'Tablero'!$BJ$331</c:f>
                  <c:strCache>
                    <c:ptCount val="1"/>
                    <c:pt idx="0">
                      <c:v/>
                    </c:pt>
                  </c:strCache>
                </c:strRef>
              </c:tx>
              <c:showVal val="1"/>
            </c:dLbl>
            <c:txPr>
              <a:bodyPr/>
              <a:lstStyle/>
              <a:p>
                <a:pPr>
                  <a:defRPr sz="800" b="1" baseline="0">
                    <a:solidFill>
                      <a:srgbClr val="E2E8F0"/>
                    </a:solidFill>
                    <a:latin typeface="Segoe UI"/>
                  </a:defRPr>
                </a:pPr>
                <a:endParaRPr lang="en-US"/>
              </a:p>
            </c:txPr>
            <c:showVal val="1"/>
          </c:dLbls>
          <c:xVal>
            <c:numRef>
              <c:f>Tablero!$N$318:$N$331</c:f>
              <c:numCache>
                <c:formatCode>General</c:formatCode>
                <c:ptCount val="14"/>
                <c:pt idx="0">
                  <c:v>167.7</c:v>
                </c:pt>
                <c:pt idx="1">
                  <c:v>169.1</c:v>
                </c:pt>
                <c:pt idx="2">
                  <c:v>166</c:v>
                </c:pt>
                <c:pt idx="3">
                  <c:v>166.6</c:v>
                </c:pt>
                <c:pt idx="4">
                  <c:v>137.1</c:v>
                </c:pt>
                <c:pt idx="5">
                  <c:v>144.8</c:v>
                </c:pt>
                <c:pt idx="6">
                  <c:v>187.5</c:v>
                </c:pt>
                <c:pt idx="7">
                  <c:v>173.3</c:v>
                </c:pt>
                <c:pt idx="8">
                  <c:v>167</c:v>
                </c:pt>
                <c:pt idx="9">
                  <c:v>156.4</c:v>
                </c:pt>
                <c:pt idx="10">
                  <c:v>142</c:v>
                </c:pt>
                <c:pt idx="11">
                  <c:v>148.4</c:v>
                </c:pt>
                <c:pt idx="12">
                  <c:v>151.1</c:v>
                </c:pt>
                <c:pt idx="13">
                  <c:v>148.7</c:v>
                </c:pt>
              </c:numCache>
            </c:numRef>
          </c:xVal>
          <c:yVal>
            <c:numRef>
              <c:f>Tablero!$BV$318:$BV$331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er>
        <c:ser>
          <c:idx val="2"/>
          <c:order val="2"/>
          <c:spPr>
            <a:ln w="28575">
              <a:noFill/>
            </a:ln>
          </c:spPr>
          <c:marker>
            <c:symbol val="circle"/>
            <c:size val="18"/>
            <c:spPr>
              <a:solidFill>
                <a:srgbClr val="22D3EE">
                  <a:alpha val="65000"/>
                </a:srgbClr>
              </a:solidFill>
              <a:ln w="15875">
                <a:solidFill>
                  <a:srgbClr val="22D3EE"/>
                </a:solidFill>
              </a:ln>
            </c:spPr>
          </c:marker>
          <c:dLbls>
            <c:dLbl>
              <c:idx val="0"/>
              <c:layout/>
              <c:tx>
                <c:strRef>
                  <c:f>'Tablero'!$BJ$318</c:f>
                  <c:strCache>
                    <c:ptCount val="1"/>
                    <c:pt idx="0">
                      <c:v/>
                    </c:pt>
                  </c:strCache>
                </c:strRef>
              </c:tx>
              <c:showVal val="1"/>
            </c:dLbl>
            <c:dLbl>
              <c:idx val="1"/>
              <c:layout/>
              <c:tx>
                <c:strRef>
                  <c:f>'Tablero'!$BJ$319</c:f>
                  <c:strCache>
                    <c:ptCount val="1"/>
                    <c:pt idx="0">
                      <c:v/>
                    </c:pt>
                  </c:strCache>
                </c:strRef>
              </c:tx>
              <c:showVal val="1"/>
            </c:dLbl>
            <c:dLbl>
              <c:idx val="2"/>
              <c:layout/>
              <c:tx>
                <c:strRef>
                  <c:f>'Tablero'!$BJ$320</c:f>
                  <c:strCache>
                    <c:ptCount val="1"/>
                    <c:pt idx="0">
                      <c:v/>
                    </c:pt>
                  </c:strCache>
                </c:strRef>
              </c:tx>
              <c:showVal val="1"/>
            </c:dLbl>
            <c:dLbl>
              <c:idx val="3"/>
              <c:layout/>
              <c:tx>
                <c:strRef>
                  <c:f>'Tablero'!$BJ$321</c:f>
                  <c:strCache>
                    <c:ptCount val="1"/>
                    <c:pt idx="0">
                      <c:v/>
                    </c:pt>
                  </c:strCache>
                </c:strRef>
              </c:tx>
              <c:showVal val="1"/>
            </c:dLbl>
            <c:dLbl>
              <c:idx val="4"/>
              <c:layout/>
              <c:tx>
                <c:strRef>
                  <c:f>'Tablero'!$BJ$322</c:f>
                  <c:strCache>
                    <c:ptCount val="1"/>
                    <c:pt idx="0">
                      <c:v/>
                    </c:pt>
                  </c:strCache>
                </c:strRef>
              </c:tx>
              <c:showVal val="1"/>
            </c:dLbl>
            <c:dLbl>
              <c:idx val="5"/>
              <c:layout/>
              <c:tx>
                <c:strRef>
                  <c:f>'Tablero'!$BJ$323</c:f>
                  <c:strCache>
                    <c:ptCount val="1"/>
                    <c:pt idx="0">
                      <c:v/>
                    </c:pt>
                  </c:strCache>
                </c:strRef>
              </c:tx>
              <c:showVal val="1"/>
            </c:dLbl>
            <c:dLbl>
              <c:idx val="6"/>
              <c:layout/>
              <c:tx>
                <c:strRef>
                  <c:f>'Tablero'!$BJ$324</c:f>
                  <c:strCache>
                    <c:ptCount val="1"/>
                    <c:pt idx="0">
                      <c:v/>
                    </c:pt>
                  </c:strCache>
                </c:strRef>
              </c:tx>
              <c:showVal val="1"/>
            </c:dLbl>
            <c:dLbl>
              <c:idx val="7"/>
              <c:layout/>
              <c:tx>
                <c:strRef>
                  <c:f>'Tablero'!$BJ$325</c:f>
                  <c:strCache>
                    <c:ptCount val="1"/>
                    <c:pt idx="0">
                      <c:v/>
                    </c:pt>
                  </c:strCache>
                </c:strRef>
              </c:tx>
              <c:showVal val="1"/>
            </c:dLbl>
            <c:dLbl>
              <c:idx val="8"/>
              <c:layout/>
              <c:tx>
                <c:strRef>
                  <c:f>'Tablero'!$BJ$326</c:f>
                  <c:strCache>
                    <c:ptCount val="1"/>
                    <c:pt idx="0">
                      <c:v/>
                    </c:pt>
                  </c:strCache>
                </c:strRef>
              </c:tx>
              <c:showVal val="1"/>
            </c:dLbl>
            <c:dLbl>
              <c:idx val="9"/>
              <c:layout/>
              <c:tx>
                <c:strRef>
                  <c:f>'Tablero'!$BJ$327</c:f>
                  <c:strCache>
                    <c:ptCount val="1"/>
                    <c:pt idx="0">
                      <c:v/>
                    </c:pt>
                  </c:strCache>
                </c:strRef>
              </c:tx>
              <c:showVal val="1"/>
            </c:dLbl>
            <c:dLbl>
              <c:idx val="10"/>
              <c:layout/>
              <c:tx>
                <c:strRef>
                  <c:f>'Tablero'!$BJ$328</c:f>
                  <c:strCache>
                    <c:ptCount val="1"/>
                    <c:pt idx="0">
                      <c:v/>
                    </c:pt>
                  </c:strCache>
                </c:strRef>
              </c:tx>
              <c:showVal val="1"/>
            </c:dLbl>
            <c:dLbl>
              <c:idx val="11"/>
              <c:layout/>
              <c:tx>
                <c:strRef>
                  <c:f>'Tablero'!$BJ$329</c:f>
                  <c:strCache>
                    <c:ptCount val="1"/>
                    <c:pt idx="0">
                      <c:v/>
                    </c:pt>
                  </c:strCache>
                </c:strRef>
              </c:tx>
              <c:showVal val="1"/>
            </c:dLbl>
            <c:dLbl>
              <c:idx val="12"/>
              <c:layout/>
              <c:tx>
                <c:strRef>
                  <c:f>'Tablero'!$BJ$330</c:f>
                  <c:strCache>
                    <c:ptCount val="1"/>
                    <c:pt idx="0">
                      <c:v/>
                    </c:pt>
                  </c:strCache>
                </c:strRef>
              </c:tx>
              <c:showVal val="1"/>
            </c:dLbl>
            <c:dLbl>
              <c:idx val="13"/>
              <c:layout/>
              <c:tx>
                <c:strRef>
                  <c:f>'Tablero'!$BJ$331</c:f>
                  <c:strCache>
                    <c:ptCount val="1"/>
                    <c:pt idx="0">
                      <c:v/>
                    </c:pt>
                  </c:strCache>
                </c:strRef>
              </c:tx>
              <c:showVal val="1"/>
            </c:dLbl>
            <c:txPr>
              <a:bodyPr/>
              <a:lstStyle/>
              <a:p>
                <a:pPr>
                  <a:defRPr sz="800" b="1" baseline="0">
                    <a:solidFill>
                      <a:srgbClr val="E2E8F0"/>
                    </a:solidFill>
                    <a:latin typeface="Segoe UI"/>
                  </a:defRPr>
                </a:pPr>
                <a:endParaRPr lang="en-US"/>
              </a:p>
            </c:txPr>
            <c:showVal val="1"/>
          </c:dLbls>
          <c:xVal>
            <c:numRef>
              <c:f>Tablero!$N$318:$N$331</c:f>
              <c:numCache>
                <c:formatCode>General</c:formatCode>
                <c:ptCount val="14"/>
                <c:pt idx="0">
                  <c:v>167.7</c:v>
                </c:pt>
                <c:pt idx="1">
                  <c:v>169.1</c:v>
                </c:pt>
                <c:pt idx="2">
                  <c:v>166</c:v>
                </c:pt>
                <c:pt idx="3">
                  <c:v>166.6</c:v>
                </c:pt>
                <c:pt idx="4">
                  <c:v>137.1</c:v>
                </c:pt>
                <c:pt idx="5">
                  <c:v>144.8</c:v>
                </c:pt>
                <c:pt idx="6">
                  <c:v>187.5</c:v>
                </c:pt>
                <c:pt idx="7">
                  <c:v>173.3</c:v>
                </c:pt>
                <c:pt idx="8">
                  <c:v>167</c:v>
                </c:pt>
                <c:pt idx="9">
                  <c:v>156.4</c:v>
                </c:pt>
                <c:pt idx="10">
                  <c:v>142</c:v>
                </c:pt>
                <c:pt idx="11">
                  <c:v>148.4</c:v>
                </c:pt>
                <c:pt idx="12">
                  <c:v>151.1</c:v>
                </c:pt>
                <c:pt idx="13">
                  <c:v>148.7</c:v>
                </c:pt>
              </c:numCache>
            </c:numRef>
          </c:xVal>
          <c:yVal>
            <c:numRef>
              <c:f>Tablero!$CB$318:$CB$331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er>
        <c:ser>
          <c:idx val="3"/>
          <c:order val="3"/>
          <c:spPr>
            <a:ln w="28575">
              <a:noFill/>
            </a:ln>
          </c:spPr>
          <c:marker>
            <c:symbol val="circle"/>
            <c:size val="25"/>
            <c:spPr>
              <a:solidFill>
                <a:srgbClr val="22D3EE">
                  <a:alpha val="65000"/>
                </a:srgbClr>
              </a:solidFill>
              <a:ln w="15875">
                <a:solidFill>
                  <a:srgbClr val="22D3EE"/>
                </a:solidFill>
              </a:ln>
            </c:spPr>
          </c:marker>
          <c:dLbls>
            <c:dLbl>
              <c:idx val="0"/>
              <c:layout/>
              <c:tx>
                <c:strRef>
                  <c:f>'Tablero'!$BJ$318</c:f>
                  <c:strCache>
                    <c:ptCount val="1"/>
                    <c:pt idx="0">
                      <c:v/>
                    </c:pt>
                  </c:strCache>
                </c:strRef>
              </c:tx>
              <c:showVal val="1"/>
            </c:dLbl>
            <c:dLbl>
              <c:idx val="1"/>
              <c:layout/>
              <c:tx>
                <c:strRef>
                  <c:f>'Tablero'!$BJ$319</c:f>
                  <c:strCache>
                    <c:ptCount val="1"/>
                    <c:pt idx="0">
                      <c:v/>
                    </c:pt>
                  </c:strCache>
                </c:strRef>
              </c:tx>
              <c:showVal val="1"/>
            </c:dLbl>
            <c:dLbl>
              <c:idx val="2"/>
              <c:layout/>
              <c:tx>
                <c:strRef>
                  <c:f>'Tablero'!$BJ$320</c:f>
                  <c:strCache>
                    <c:ptCount val="1"/>
                    <c:pt idx="0">
                      <c:v/>
                    </c:pt>
                  </c:strCache>
                </c:strRef>
              </c:tx>
              <c:showVal val="1"/>
            </c:dLbl>
            <c:dLbl>
              <c:idx val="3"/>
              <c:layout/>
              <c:tx>
                <c:strRef>
                  <c:f>'Tablero'!$BJ$321</c:f>
                  <c:strCache>
                    <c:ptCount val="1"/>
                    <c:pt idx="0">
                      <c:v/>
                    </c:pt>
                  </c:strCache>
                </c:strRef>
              </c:tx>
              <c:showVal val="1"/>
            </c:dLbl>
            <c:dLbl>
              <c:idx val="4"/>
              <c:layout/>
              <c:tx>
                <c:strRef>
                  <c:f>'Tablero'!$BJ$322</c:f>
                  <c:strCache>
                    <c:ptCount val="1"/>
                    <c:pt idx="0">
                      <c:v/>
                    </c:pt>
                  </c:strCache>
                </c:strRef>
              </c:tx>
              <c:showVal val="1"/>
            </c:dLbl>
            <c:dLbl>
              <c:idx val="5"/>
              <c:layout/>
              <c:tx>
                <c:strRef>
                  <c:f>'Tablero'!$BJ$323</c:f>
                  <c:strCache>
                    <c:ptCount val="1"/>
                    <c:pt idx="0">
                      <c:v/>
                    </c:pt>
                  </c:strCache>
                </c:strRef>
              </c:tx>
              <c:showVal val="1"/>
            </c:dLbl>
            <c:dLbl>
              <c:idx val="6"/>
              <c:layout/>
              <c:tx>
                <c:strRef>
                  <c:f>'Tablero'!$BJ$324</c:f>
                  <c:strCache>
                    <c:ptCount val="1"/>
                    <c:pt idx="0">
                      <c:v/>
                    </c:pt>
                  </c:strCache>
                </c:strRef>
              </c:tx>
              <c:showVal val="1"/>
            </c:dLbl>
            <c:dLbl>
              <c:idx val="7"/>
              <c:layout/>
              <c:tx>
                <c:strRef>
                  <c:f>'Tablero'!$BJ$325</c:f>
                  <c:strCache>
                    <c:ptCount val="1"/>
                    <c:pt idx="0">
                      <c:v/>
                    </c:pt>
                  </c:strCache>
                </c:strRef>
              </c:tx>
              <c:showVal val="1"/>
            </c:dLbl>
            <c:dLbl>
              <c:idx val="8"/>
              <c:layout/>
              <c:tx>
                <c:strRef>
                  <c:f>'Tablero'!$BJ$326</c:f>
                  <c:strCache>
                    <c:ptCount val="1"/>
                    <c:pt idx="0">
                      <c:v/>
                    </c:pt>
                  </c:strCache>
                </c:strRef>
              </c:tx>
              <c:showVal val="1"/>
            </c:dLbl>
            <c:dLbl>
              <c:idx val="9"/>
              <c:layout/>
              <c:tx>
                <c:strRef>
                  <c:f>'Tablero'!$BJ$327</c:f>
                  <c:strCache>
                    <c:ptCount val="1"/>
                    <c:pt idx="0">
                      <c:v/>
                    </c:pt>
                  </c:strCache>
                </c:strRef>
              </c:tx>
              <c:showVal val="1"/>
            </c:dLbl>
            <c:dLbl>
              <c:idx val="10"/>
              <c:layout/>
              <c:tx>
                <c:strRef>
                  <c:f>'Tablero'!$BJ$328</c:f>
                  <c:strCache>
                    <c:ptCount val="1"/>
                    <c:pt idx="0">
                      <c:v/>
                    </c:pt>
                  </c:strCache>
                </c:strRef>
              </c:tx>
              <c:showVal val="1"/>
            </c:dLbl>
            <c:dLbl>
              <c:idx val="11"/>
              <c:layout/>
              <c:tx>
                <c:strRef>
                  <c:f>'Tablero'!$BJ$329</c:f>
                  <c:strCache>
                    <c:ptCount val="1"/>
                    <c:pt idx="0">
                      <c:v/>
                    </c:pt>
                  </c:strCache>
                </c:strRef>
              </c:tx>
              <c:showVal val="1"/>
            </c:dLbl>
            <c:dLbl>
              <c:idx val="12"/>
              <c:layout/>
              <c:tx>
                <c:strRef>
                  <c:f>'Tablero'!$BJ$330</c:f>
                  <c:strCache>
                    <c:ptCount val="1"/>
                    <c:pt idx="0">
                      <c:v/>
                    </c:pt>
                  </c:strCache>
                </c:strRef>
              </c:tx>
              <c:showVal val="1"/>
            </c:dLbl>
            <c:dLbl>
              <c:idx val="13"/>
              <c:layout/>
              <c:tx>
                <c:strRef>
                  <c:f>'Tablero'!$BJ$331</c:f>
                  <c:strCache>
                    <c:ptCount val="1"/>
                    <c:pt idx="0">
                      <c:v/>
                    </c:pt>
                  </c:strCache>
                </c:strRef>
              </c:tx>
              <c:showVal val="1"/>
            </c:dLbl>
            <c:txPr>
              <a:bodyPr/>
              <a:lstStyle/>
              <a:p>
                <a:pPr>
                  <a:defRPr sz="800" b="1" baseline="0">
                    <a:solidFill>
                      <a:srgbClr val="E2E8F0"/>
                    </a:solidFill>
                    <a:latin typeface="Segoe UI"/>
                  </a:defRPr>
                </a:pPr>
                <a:endParaRPr lang="en-US"/>
              </a:p>
            </c:txPr>
            <c:showVal val="1"/>
          </c:dLbls>
          <c:xVal>
            <c:numRef>
              <c:f>Tablero!$N$318:$N$331</c:f>
              <c:numCache>
                <c:formatCode>General</c:formatCode>
                <c:ptCount val="14"/>
                <c:pt idx="0">
                  <c:v>167.7</c:v>
                </c:pt>
                <c:pt idx="1">
                  <c:v>169.1</c:v>
                </c:pt>
                <c:pt idx="2">
                  <c:v>166</c:v>
                </c:pt>
                <c:pt idx="3">
                  <c:v>166.6</c:v>
                </c:pt>
                <c:pt idx="4">
                  <c:v>137.1</c:v>
                </c:pt>
                <c:pt idx="5">
                  <c:v>144.8</c:v>
                </c:pt>
                <c:pt idx="6">
                  <c:v>187.5</c:v>
                </c:pt>
                <c:pt idx="7">
                  <c:v>173.3</c:v>
                </c:pt>
                <c:pt idx="8">
                  <c:v>167</c:v>
                </c:pt>
                <c:pt idx="9">
                  <c:v>156.4</c:v>
                </c:pt>
                <c:pt idx="10">
                  <c:v>142</c:v>
                </c:pt>
                <c:pt idx="11">
                  <c:v>148.4</c:v>
                </c:pt>
                <c:pt idx="12">
                  <c:v>151.1</c:v>
                </c:pt>
                <c:pt idx="13">
                  <c:v>148.7</c:v>
                </c:pt>
              </c:numCache>
            </c:numRef>
          </c:xVal>
          <c:yVal>
            <c:numRef>
              <c:f>Tablero!$CH$318:$CH$331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er>
        <c:ser>
          <c:idx val="4"/>
          <c:order val="4"/>
          <c:spPr>
            <a:ln w="28575">
              <a:noFill/>
            </a:ln>
          </c:spPr>
          <c:marker>
            <c:symbol val="circle"/>
            <c:size val="33"/>
            <c:spPr>
              <a:solidFill>
                <a:srgbClr val="22D3EE">
                  <a:alpha val="65000"/>
                </a:srgbClr>
              </a:solidFill>
              <a:ln w="15875">
                <a:solidFill>
                  <a:srgbClr val="22D3EE"/>
                </a:solidFill>
              </a:ln>
            </c:spPr>
          </c:marker>
          <c:dLbls>
            <c:dLbl>
              <c:idx val="0"/>
              <c:layout/>
              <c:tx>
                <c:strRef>
                  <c:f>'Tablero'!$BJ$318</c:f>
                  <c:strCache>
                    <c:ptCount val="1"/>
                    <c:pt idx="0">
                      <c:v/>
                    </c:pt>
                  </c:strCache>
                </c:strRef>
              </c:tx>
              <c:showVal val="1"/>
            </c:dLbl>
            <c:dLbl>
              <c:idx val="1"/>
              <c:layout/>
              <c:tx>
                <c:strRef>
                  <c:f>'Tablero'!$BJ$319</c:f>
                  <c:strCache>
                    <c:ptCount val="1"/>
                    <c:pt idx="0">
                      <c:v/>
                    </c:pt>
                  </c:strCache>
                </c:strRef>
              </c:tx>
              <c:showVal val="1"/>
            </c:dLbl>
            <c:dLbl>
              <c:idx val="2"/>
              <c:layout/>
              <c:tx>
                <c:strRef>
                  <c:f>'Tablero'!$BJ$320</c:f>
                  <c:strCache>
                    <c:ptCount val="1"/>
                    <c:pt idx="0">
                      <c:v/>
                    </c:pt>
                  </c:strCache>
                </c:strRef>
              </c:tx>
              <c:showVal val="1"/>
            </c:dLbl>
            <c:dLbl>
              <c:idx val="3"/>
              <c:layout/>
              <c:tx>
                <c:strRef>
                  <c:f>'Tablero'!$BJ$321</c:f>
                  <c:strCache>
                    <c:ptCount val="1"/>
                    <c:pt idx="0">
                      <c:v/>
                    </c:pt>
                  </c:strCache>
                </c:strRef>
              </c:tx>
              <c:showVal val="1"/>
            </c:dLbl>
            <c:dLbl>
              <c:idx val="4"/>
              <c:layout/>
              <c:tx>
                <c:strRef>
                  <c:f>'Tablero'!$BJ$322</c:f>
                  <c:strCache>
                    <c:ptCount val="1"/>
                    <c:pt idx="0">
                      <c:v/>
                    </c:pt>
                  </c:strCache>
                </c:strRef>
              </c:tx>
              <c:showVal val="1"/>
            </c:dLbl>
            <c:dLbl>
              <c:idx val="5"/>
              <c:layout/>
              <c:tx>
                <c:strRef>
                  <c:f>'Tablero'!$BJ$323</c:f>
                  <c:strCache>
                    <c:ptCount val="1"/>
                    <c:pt idx="0">
                      <c:v/>
                    </c:pt>
                  </c:strCache>
                </c:strRef>
              </c:tx>
              <c:showVal val="1"/>
            </c:dLbl>
            <c:dLbl>
              <c:idx val="6"/>
              <c:layout/>
              <c:tx>
                <c:strRef>
                  <c:f>'Tablero'!$BJ$324</c:f>
                  <c:strCache>
                    <c:ptCount val="1"/>
                    <c:pt idx="0">
                      <c:v/>
                    </c:pt>
                  </c:strCache>
                </c:strRef>
              </c:tx>
              <c:showVal val="1"/>
            </c:dLbl>
            <c:dLbl>
              <c:idx val="7"/>
              <c:layout/>
              <c:tx>
                <c:strRef>
                  <c:f>'Tablero'!$BJ$325</c:f>
                  <c:strCache>
                    <c:ptCount val="1"/>
                    <c:pt idx="0">
                      <c:v/>
                    </c:pt>
                  </c:strCache>
                </c:strRef>
              </c:tx>
              <c:showVal val="1"/>
            </c:dLbl>
            <c:dLbl>
              <c:idx val="8"/>
              <c:layout/>
              <c:tx>
                <c:strRef>
                  <c:f>'Tablero'!$BJ$326</c:f>
                  <c:strCache>
                    <c:ptCount val="1"/>
                    <c:pt idx="0">
                      <c:v/>
                    </c:pt>
                  </c:strCache>
                </c:strRef>
              </c:tx>
              <c:showVal val="1"/>
            </c:dLbl>
            <c:dLbl>
              <c:idx val="9"/>
              <c:layout/>
              <c:tx>
                <c:strRef>
                  <c:f>'Tablero'!$BJ$327</c:f>
                  <c:strCache>
                    <c:ptCount val="1"/>
                    <c:pt idx="0">
                      <c:v/>
                    </c:pt>
                  </c:strCache>
                </c:strRef>
              </c:tx>
              <c:showVal val="1"/>
            </c:dLbl>
            <c:dLbl>
              <c:idx val="10"/>
              <c:layout/>
              <c:tx>
                <c:strRef>
                  <c:f>'Tablero'!$BJ$328</c:f>
                  <c:strCache>
                    <c:ptCount val="1"/>
                    <c:pt idx="0">
                      <c:v/>
                    </c:pt>
                  </c:strCache>
                </c:strRef>
              </c:tx>
              <c:showVal val="1"/>
            </c:dLbl>
            <c:dLbl>
              <c:idx val="11"/>
              <c:layout/>
              <c:tx>
                <c:strRef>
                  <c:f>'Tablero'!$BJ$329</c:f>
                  <c:strCache>
                    <c:ptCount val="1"/>
                    <c:pt idx="0">
                      <c:v/>
                    </c:pt>
                  </c:strCache>
                </c:strRef>
              </c:tx>
              <c:showVal val="1"/>
            </c:dLbl>
            <c:dLbl>
              <c:idx val="12"/>
              <c:layout/>
              <c:tx>
                <c:strRef>
                  <c:f>'Tablero'!$BJ$330</c:f>
                  <c:strCache>
                    <c:ptCount val="1"/>
                    <c:pt idx="0">
                      <c:v/>
                    </c:pt>
                  </c:strCache>
                </c:strRef>
              </c:tx>
              <c:showVal val="1"/>
            </c:dLbl>
            <c:dLbl>
              <c:idx val="13"/>
              <c:layout/>
              <c:tx>
                <c:strRef>
                  <c:f>'Tablero'!$BJ$331</c:f>
                  <c:strCache>
                    <c:ptCount val="1"/>
                    <c:pt idx="0">
                      <c:v/>
                    </c:pt>
                  </c:strCache>
                </c:strRef>
              </c:tx>
              <c:showVal val="1"/>
            </c:dLbl>
            <c:txPr>
              <a:bodyPr/>
              <a:lstStyle/>
              <a:p>
                <a:pPr>
                  <a:defRPr sz="800" b="1" baseline="0">
                    <a:solidFill>
                      <a:srgbClr val="E2E8F0"/>
                    </a:solidFill>
                    <a:latin typeface="Segoe UI"/>
                  </a:defRPr>
                </a:pPr>
                <a:endParaRPr lang="en-US"/>
              </a:p>
            </c:txPr>
            <c:showVal val="1"/>
          </c:dLbls>
          <c:xVal>
            <c:numRef>
              <c:f>Tablero!$N$318:$N$331</c:f>
              <c:numCache>
                <c:formatCode>General</c:formatCode>
                <c:ptCount val="14"/>
                <c:pt idx="0">
                  <c:v>167.7</c:v>
                </c:pt>
                <c:pt idx="1">
                  <c:v>169.1</c:v>
                </c:pt>
                <c:pt idx="2">
                  <c:v>166</c:v>
                </c:pt>
                <c:pt idx="3">
                  <c:v>166.6</c:v>
                </c:pt>
                <c:pt idx="4">
                  <c:v>137.1</c:v>
                </c:pt>
                <c:pt idx="5">
                  <c:v>144.8</c:v>
                </c:pt>
                <c:pt idx="6">
                  <c:v>187.5</c:v>
                </c:pt>
                <c:pt idx="7">
                  <c:v>173.3</c:v>
                </c:pt>
                <c:pt idx="8">
                  <c:v>167</c:v>
                </c:pt>
                <c:pt idx="9">
                  <c:v>156.4</c:v>
                </c:pt>
                <c:pt idx="10">
                  <c:v>142</c:v>
                </c:pt>
                <c:pt idx="11">
                  <c:v>148.4</c:v>
                </c:pt>
                <c:pt idx="12">
                  <c:v>151.1</c:v>
                </c:pt>
                <c:pt idx="13">
                  <c:v>148.7</c:v>
                </c:pt>
              </c:numCache>
            </c:numRef>
          </c:xVal>
          <c:yVal>
            <c:numRef>
              <c:f>Tablero!$CN$318:$CN$331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er>
        <c:ser>
          <c:idx val="5"/>
          <c:order val="5"/>
          <c:spPr>
            <a:ln w="28575">
              <a:noFill/>
            </a:ln>
          </c:spPr>
          <c:marker>
            <c:symbol val="circle"/>
            <c:size val="7"/>
            <c:spPr>
              <a:solidFill>
                <a:srgbClr val="FBBF24">
                  <a:alpha val="65000"/>
                </a:srgbClr>
              </a:solidFill>
              <a:ln w="15875">
                <a:solidFill>
                  <a:srgbClr val="FBBF24"/>
                </a:solidFill>
              </a:ln>
            </c:spPr>
          </c:marker>
          <c:dLbls>
            <c:dLbl>
              <c:idx val="0"/>
              <c:layout/>
              <c:tx>
                <c:strRef>
                  <c:f>'Tablero'!$BJ$318</c:f>
                  <c:strCache>
                    <c:ptCount val="1"/>
                    <c:pt idx="0">
                      <c:v/>
                    </c:pt>
                  </c:strCache>
                </c:strRef>
              </c:tx>
              <c:showVal val="1"/>
            </c:dLbl>
            <c:dLbl>
              <c:idx val="1"/>
              <c:layout/>
              <c:tx>
                <c:strRef>
                  <c:f>'Tablero'!$BJ$319</c:f>
                  <c:strCache>
                    <c:ptCount val="1"/>
                    <c:pt idx="0">
                      <c:v/>
                    </c:pt>
                  </c:strCache>
                </c:strRef>
              </c:tx>
              <c:showVal val="1"/>
            </c:dLbl>
            <c:dLbl>
              <c:idx val="2"/>
              <c:layout/>
              <c:tx>
                <c:strRef>
                  <c:f>'Tablero'!$BJ$320</c:f>
                  <c:strCache>
                    <c:ptCount val="1"/>
                    <c:pt idx="0">
                      <c:v/>
                    </c:pt>
                  </c:strCache>
                </c:strRef>
              </c:tx>
              <c:showVal val="1"/>
            </c:dLbl>
            <c:dLbl>
              <c:idx val="3"/>
              <c:layout/>
              <c:tx>
                <c:strRef>
                  <c:f>'Tablero'!$BJ$321</c:f>
                  <c:strCache>
                    <c:ptCount val="1"/>
                    <c:pt idx="0">
                      <c:v/>
                    </c:pt>
                  </c:strCache>
                </c:strRef>
              </c:tx>
              <c:showVal val="1"/>
            </c:dLbl>
            <c:dLbl>
              <c:idx val="4"/>
              <c:layout/>
              <c:tx>
                <c:strRef>
                  <c:f>'Tablero'!$BJ$322</c:f>
                  <c:strCache>
                    <c:ptCount val="1"/>
                    <c:pt idx="0">
                      <c:v/>
                    </c:pt>
                  </c:strCache>
                </c:strRef>
              </c:tx>
              <c:showVal val="1"/>
            </c:dLbl>
            <c:dLbl>
              <c:idx val="5"/>
              <c:layout/>
              <c:tx>
                <c:strRef>
                  <c:f>'Tablero'!$BJ$323</c:f>
                  <c:strCache>
                    <c:ptCount val="1"/>
                    <c:pt idx="0">
                      <c:v/>
                    </c:pt>
                  </c:strCache>
                </c:strRef>
              </c:tx>
              <c:showVal val="1"/>
            </c:dLbl>
            <c:dLbl>
              <c:idx val="6"/>
              <c:layout/>
              <c:tx>
                <c:strRef>
                  <c:f>'Tablero'!$BJ$324</c:f>
                  <c:strCache>
                    <c:ptCount val="1"/>
                    <c:pt idx="0">
                      <c:v/>
                    </c:pt>
                  </c:strCache>
                </c:strRef>
              </c:tx>
              <c:showVal val="1"/>
            </c:dLbl>
            <c:dLbl>
              <c:idx val="7"/>
              <c:layout/>
              <c:tx>
                <c:strRef>
                  <c:f>'Tablero'!$BJ$325</c:f>
                  <c:strCache>
                    <c:ptCount val="1"/>
                    <c:pt idx="0">
                      <c:v/>
                    </c:pt>
                  </c:strCache>
                </c:strRef>
              </c:tx>
              <c:showVal val="1"/>
            </c:dLbl>
            <c:dLbl>
              <c:idx val="8"/>
              <c:layout/>
              <c:tx>
                <c:strRef>
                  <c:f>'Tablero'!$BJ$326</c:f>
                  <c:strCache>
                    <c:ptCount val="1"/>
                    <c:pt idx="0">
                      <c:v/>
                    </c:pt>
                  </c:strCache>
                </c:strRef>
              </c:tx>
              <c:showVal val="1"/>
            </c:dLbl>
            <c:dLbl>
              <c:idx val="9"/>
              <c:layout/>
              <c:tx>
                <c:strRef>
                  <c:f>'Tablero'!$BJ$327</c:f>
                  <c:strCache>
                    <c:ptCount val="1"/>
                    <c:pt idx="0">
                      <c:v/>
                    </c:pt>
                  </c:strCache>
                </c:strRef>
              </c:tx>
              <c:showVal val="1"/>
            </c:dLbl>
            <c:dLbl>
              <c:idx val="10"/>
              <c:layout/>
              <c:tx>
                <c:strRef>
                  <c:f>'Tablero'!$BJ$328</c:f>
                  <c:strCache>
                    <c:ptCount val="1"/>
                    <c:pt idx="0">
                      <c:v/>
                    </c:pt>
                  </c:strCache>
                </c:strRef>
              </c:tx>
              <c:showVal val="1"/>
            </c:dLbl>
            <c:dLbl>
              <c:idx val="11"/>
              <c:layout/>
              <c:tx>
                <c:strRef>
                  <c:f>'Tablero'!$BJ$329</c:f>
                  <c:strCache>
                    <c:ptCount val="1"/>
                    <c:pt idx="0">
                      <c:v/>
                    </c:pt>
                  </c:strCache>
                </c:strRef>
              </c:tx>
              <c:showVal val="1"/>
            </c:dLbl>
            <c:dLbl>
              <c:idx val="12"/>
              <c:layout/>
              <c:tx>
                <c:strRef>
                  <c:f>'Tablero'!$BJ$330</c:f>
                  <c:strCache>
                    <c:ptCount val="1"/>
                    <c:pt idx="0">
                      <c:v/>
                    </c:pt>
                  </c:strCache>
                </c:strRef>
              </c:tx>
              <c:showVal val="1"/>
            </c:dLbl>
            <c:dLbl>
              <c:idx val="13"/>
              <c:layout/>
              <c:tx>
                <c:strRef>
                  <c:f>'Tablero'!$BJ$331</c:f>
                  <c:strCache>
                    <c:ptCount val="1"/>
                    <c:pt idx="0">
                      <c:v/>
                    </c:pt>
                  </c:strCache>
                </c:strRef>
              </c:tx>
              <c:showVal val="1"/>
            </c:dLbl>
            <c:txPr>
              <a:bodyPr/>
              <a:lstStyle/>
              <a:p>
                <a:pPr>
                  <a:defRPr sz="800" b="1" baseline="0">
                    <a:solidFill>
                      <a:srgbClr val="E2E8F0"/>
                    </a:solidFill>
                    <a:latin typeface="Segoe UI"/>
                  </a:defRPr>
                </a:pPr>
                <a:endParaRPr lang="en-US"/>
              </a:p>
            </c:txPr>
            <c:showVal val="1"/>
          </c:dLbls>
          <c:xVal>
            <c:numRef>
              <c:f>Tablero!$N$318:$N$331</c:f>
              <c:numCache>
                <c:formatCode>General</c:formatCode>
                <c:ptCount val="14"/>
                <c:pt idx="0">
                  <c:v>167.7</c:v>
                </c:pt>
                <c:pt idx="1">
                  <c:v>169.1</c:v>
                </c:pt>
                <c:pt idx="2">
                  <c:v>166</c:v>
                </c:pt>
                <c:pt idx="3">
                  <c:v>166.6</c:v>
                </c:pt>
                <c:pt idx="4">
                  <c:v>137.1</c:v>
                </c:pt>
                <c:pt idx="5">
                  <c:v>144.8</c:v>
                </c:pt>
                <c:pt idx="6">
                  <c:v>187.5</c:v>
                </c:pt>
                <c:pt idx="7">
                  <c:v>173.3</c:v>
                </c:pt>
                <c:pt idx="8">
                  <c:v>167</c:v>
                </c:pt>
                <c:pt idx="9">
                  <c:v>156.4</c:v>
                </c:pt>
                <c:pt idx="10">
                  <c:v>142</c:v>
                </c:pt>
                <c:pt idx="11">
                  <c:v>148.4</c:v>
                </c:pt>
                <c:pt idx="12">
                  <c:v>151.1</c:v>
                </c:pt>
                <c:pt idx="13">
                  <c:v>148.7</c:v>
                </c:pt>
              </c:numCache>
            </c:numRef>
          </c:xVal>
          <c:yVal>
            <c:numRef>
              <c:f>Tablero!$CT$318:$CT$331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er>
        <c:ser>
          <c:idx val="6"/>
          <c:order val="6"/>
          <c:spPr>
            <a:ln w="28575">
              <a:noFill/>
            </a:ln>
          </c:spPr>
          <c:marker>
            <c:symbol val="circle"/>
            <c:size val="12"/>
            <c:spPr>
              <a:solidFill>
                <a:srgbClr val="FBBF24">
                  <a:alpha val="65000"/>
                </a:srgbClr>
              </a:solidFill>
              <a:ln w="15875">
                <a:solidFill>
                  <a:srgbClr val="FBBF24"/>
                </a:solidFill>
              </a:ln>
            </c:spPr>
          </c:marker>
          <c:dLbls>
            <c:dLbl>
              <c:idx val="0"/>
              <c:layout/>
              <c:tx>
                <c:strRef>
                  <c:f>'Tablero'!$BJ$318</c:f>
                  <c:strCache>
                    <c:ptCount val="1"/>
                    <c:pt idx="0">
                      <c:v/>
                    </c:pt>
                  </c:strCache>
                </c:strRef>
              </c:tx>
              <c:showVal val="1"/>
            </c:dLbl>
            <c:dLbl>
              <c:idx val="1"/>
              <c:layout/>
              <c:tx>
                <c:strRef>
                  <c:f>'Tablero'!$BJ$319</c:f>
                  <c:strCache>
                    <c:ptCount val="1"/>
                    <c:pt idx="0">
                      <c:v/>
                    </c:pt>
                  </c:strCache>
                </c:strRef>
              </c:tx>
              <c:showVal val="1"/>
            </c:dLbl>
            <c:dLbl>
              <c:idx val="2"/>
              <c:layout/>
              <c:tx>
                <c:strRef>
                  <c:f>'Tablero'!$BJ$320</c:f>
                  <c:strCache>
                    <c:ptCount val="1"/>
                    <c:pt idx="0">
                      <c:v/>
                    </c:pt>
                  </c:strCache>
                </c:strRef>
              </c:tx>
              <c:showVal val="1"/>
            </c:dLbl>
            <c:dLbl>
              <c:idx val="3"/>
              <c:layout/>
              <c:tx>
                <c:strRef>
                  <c:f>'Tablero'!$BJ$321</c:f>
                  <c:strCache>
                    <c:ptCount val="1"/>
                    <c:pt idx="0">
                      <c:v/>
                    </c:pt>
                  </c:strCache>
                </c:strRef>
              </c:tx>
              <c:showVal val="1"/>
            </c:dLbl>
            <c:dLbl>
              <c:idx val="4"/>
              <c:layout/>
              <c:tx>
                <c:strRef>
                  <c:f>'Tablero'!$BJ$322</c:f>
                  <c:strCache>
                    <c:ptCount val="1"/>
                    <c:pt idx="0">
                      <c:v/>
                    </c:pt>
                  </c:strCache>
                </c:strRef>
              </c:tx>
              <c:showVal val="1"/>
            </c:dLbl>
            <c:dLbl>
              <c:idx val="5"/>
              <c:layout/>
              <c:tx>
                <c:strRef>
                  <c:f>'Tablero'!$BJ$323</c:f>
                  <c:strCache>
                    <c:ptCount val="1"/>
                    <c:pt idx="0">
                      <c:v/>
                    </c:pt>
                  </c:strCache>
                </c:strRef>
              </c:tx>
              <c:showVal val="1"/>
            </c:dLbl>
            <c:dLbl>
              <c:idx val="6"/>
              <c:layout/>
              <c:tx>
                <c:strRef>
                  <c:f>'Tablero'!$BJ$324</c:f>
                  <c:strCache>
                    <c:ptCount val="1"/>
                    <c:pt idx="0">
                      <c:v/>
                    </c:pt>
                  </c:strCache>
                </c:strRef>
              </c:tx>
              <c:showVal val="1"/>
            </c:dLbl>
            <c:dLbl>
              <c:idx val="7"/>
              <c:layout/>
              <c:tx>
                <c:strRef>
                  <c:f>'Tablero'!$BJ$325</c:f>
                  <c:strCache>
                    <c:ptCount val="1"/>
                    <c:pt idx="0">
                      <c:v/>
                    </c:pt>
                  </c:strCache>
                </c:strRef>
              </c:tx>
              <c:showVal val="1"/>
            </c:dLbl>
            <c:dLbl>
              <c:idx val="8"/>
              <c:layout/>
              <c:tx>
                <c:strRef>
                  <c:f>'Tablero'!$BJ$326</c:f>
                  <c:strCache>
                    <c:ptCount val="1"/>
                    <c:pt idx="0">
                      <c:v/>
                    </c:pt>
                  </c:strCache>
                </c:strRef>
              </c:tx>
              <c:showVal val="1"/>
            </c:dLbl>
            <c:dLbl>
              <c:idx val="9"/>
              <c:layout/>
              <c:tx>
                <c:strRef>
                  <c:f>'Tablero'!$BJ$327</c:f>
                  <c:strCache>
                    <c:ptCount val="1"/>
                    <c:pt idx="0">
                      <c:v/>
                    </c:pt>
                  </c:strCache>
                </c:strRef>
              </c:tx>
              <c:showVal val="1"/>
            </c:dLbl>
            <c:dLbl>
              <c:idx val="10"/>
              <c:layout/>
              <c:tx>
                <c:strRef>
                  <c:f>'Tablero'!$BJ$328</c:f>
                  <c:strCache>
                    <c:ptCount val="1"/>
                    <c:pt idx="0">
                      <c:v/>
                    </c:pt>
                  </c:strCache>
                </c:strRef>
              </c:tx>
              <c:showVal val="1"/>
            </c:dLbl>
            <c:dLbl>
              <c:idx val="11"/>
              <c:layout/>
              <c:tx>
                <c:strRef>
                  <c:f>'Tablero'!$BJ$329</c:f>
                  <c:strCache>
                    <c:ptCount val="1"/>
                    <c:pt idx="0">
                      <c:v/>
                    </c:pt>
                  </c:strCache>
                </c:strRef>
              </c:tx>
              <c:showVal val="1"/>
            </c:dLbl>
            <c:dLbl>
              <c:idx val="12"/>
              <c:layout/>
              <c:tx>
                <c:strRef>
                  <c:f>'Tablero'!$BJ$330</c:f>
                  <c:strCache>
                    <c:ptCount val="1"/>
                    <c:pt idx="0">
                      <c:v/>
                    </c:pt>
                  </c:strCache>
                </c:strRef>
              </c:tx>
              <c:showVal val="1"/>
            </c:dLbl>
            <c:dLbl>
              <c:idx val="13"/>
              <c:layout/>
              <c:tx>
                <c:strRef>
                  <c:f>'Tablero'!$BJ$331</c:f>
                  <c:strCache>
                    <c:ptCount val="1"/>
                    <c:pt idx="0">
                      <c:v/>
                    </c:pt>
                  </c:strCache>
                </c:strRef>
              </c:tx>
              <c:showVal val="1"/>
            </c:dLbl>
            <c:txPr>
              <a:bodyPr/>
              <a:lstStyle/>
              <a:p>
                <a:pPr>
                  <a:defRPr sz="800" b="1" baseline="0">
                    <a:solidFill>
                      <a:srgbClr val="E2E8F0"/>
                    </a:solidFill>
                    <a:latin typeface="Segoe UI"/>
                  </a:defRPr>
                </a:pPr>
                <a:endParaRPr lang="en-US"/>
              </a:p>
            </c:txPr>
            <c:showVal val="1"/>
          </c:dLbls>
          <c:xVal>
            <c:numRef>
              <c:f>Tablero!$N$318:$N$331</c:f>
              <c:numCache>
                <c:formatCode>General</c:formatCode>
                <c:ptCount val="14"/>
                <c:pt idx="0">
                  <c:v>167.7</c:v>
                </c:pt>
                <c:pt idx="1">
                  <c:v>169.1</c:v>
                </c:pt>
                <c:pt idx="2">
                  <c:v>166</c:v>
                </c:pt>
                <c:pt idx="3">
                  <c:v>166.6</c:v>
                </c:pt>
                <c:pt idx="4">
                  <c:v>137.1</c:v>
                </c:pt>
                <c:pt idx="5">
                  <c:v>144.8</c:v>
                </c:pt>
                <c:pt idx="6">
                  <c:v>187.5</c:v>
                </c:pt>
                <c:pt idx="7">
                  <c:v>173.3</c:v>
                </c:pt>
                <c:pt idx="8">
                  <c:v>167</c:v>
                </c:pt>
                <c:pt idx="9">
                  <c:v>156.4</c:v>
                </c:pt>
                <c:pt idx="10">
                  <c:v>142</c:v>
                </c:pt>
                <c:pt idx="11">
                  <c:v>148.4</c:v>
                </c:pt>
                <c:pt idx="12">
                  <c:v>151.1</c:v>
                </c:pt>
                <c:pt idx="13">
                  <c:v>148.7</c:v>
                </c:pt>
              </c:numCache>
            </c:numRef>
          </c:xVal>
          <c:yVal>
            <c:numRef>
              <c:f>Tablero!$CZ$318:$CZ$331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er>
        <c:ser>
          <c:idx val="7"/>
          <c:order val="7"/>
          <c:spPr>
            <a:ln w="28575">
              <a:noFill/>
            </a:ln>
          </c:spPr>
          <c:marker>
            <c:symbol val="circle"/>
            <c:size val="18"/>
            <c:spPr>
              <a:solidFill>
                <a:srgbClr val="FBBF24">
                  <a:alpha val="65000"/>
                </a:srgbClr>
              </a:solidFill>
              <a:ln w="15875">
                <a:solidFill>
                  <a:srgbClr val="FBBF24"/>
                </a:solidFill>
              </a:ln>
            </c:spPr>
          </c:marker>
          <c:dLbls>
            <c:dLbl>
              <c:idx val="0"/>
              <c:layout/>
              <c:tx>
                <c:strRef>
                  <c:f>'Tablero'!$BJ$318</c:f>
                  <c:strCache>
                    <c:ptCount val="1"/>
                    <c:pt idx="0">
                      <c:v/>
                    </c:pt>
                  </c:strCache>
                </c:strRef>
              </c:tx>
              <c:showVal val="1"/>
            </c:dLbl>
            <c:dLbl>
              <c:idx val="1"/>
              <c:layout/>
              <c:tx>
                <c:strRef>
                  <c:f>'Tablero'!$BJ$319</c:f>
                  <c:strCache>
                    <c:ptCount val="1"/>
                    <c:pt idx="0">
                      <c:v/>
                    </c:pt>
                  </c:strCache>
                </c:strRef>
              </c:tx>
              <c:showVal val="1"/>
            </c:dLbl>
            <c:dLbl>
              <c:idx val="2"/>
              <c:layout/>
              <c:tx>
                <c:strRef>
                  <c:f>'Tablero'!$BJ$320</c:f>
                  <c:strCache>
                    <c:ptCount val="1"/>
                    <c:pt idx="0">
                      <c:v/>
                    </c:pt>
                  </c:strCache>
                </c:strRef>
              </c:tx>
              <c:showVal val="1"/>
            </c:dLbl>
            <c:dLbl>
              <c:idx val="3"/>
              <c:layout/>
              <c:tx>
                <c:strRef>
                  <c:f>'Tablero'!$BJ$321</c:f>
                  <c:strCache>
                    <c:ptCount val="1"/>
                    <c:pt idx="0">
                      <c:v/>
                    </c:pt>
                  </c:strCache>
                </c:strRef>
              </c:tx>
              <c:showVal val="1"/>
            </c:dLbl>
            <c:dLbl>
              <c:idx val="4"/>
              <c:layout/>
              <c:tx>
                <c:strRef>
                  <c:f>'Tablero'!$BJ$322</c:f>
                  <c:strCache>
                    <c:ptCount val="1"/>
                    <c:pt idx="0">
                      <c:v/>
                    </c:pt>
                  </c:strCache>
                </c:strRef>
              </c:tx>
              <c:showVal val="1"/>
            </c:dLbl>
            <c:dLbl>
              <c:idx val="5"/>
              <c:layout/>
              <c:tx>
                <c:strRef>
                  <c:f>'Tablero'!$BJ$323</c:f>
                  <c:strCache>
                    <c:ptCount val="1"/>
                    <c:pt idx="0">
                      <c:v/>
                    </c:pt>
                  </c:strCache>
                </c:strRef>
              </c:tx>
              <c:showVal val="1"/>
            </c:dLbl>
            <c:dLbl>
              <c:idx val="6"/>
              <c:layout/>
              <c:tx>
                <c:strRef>
                  <c:f>'Tablero'!$BJ$324</c:f>
                  <c:strCache>
                    <c:ptCount val="1"/>
                    <c:pt idx="0">
                      <c:v/>
                    </c:pt>
                  </c:strCache>
                </c:strRef>
              </c:tx>
              <c:showVal val="1"/>
            </c:dLbl>
            <c:dLbl>
              <c:idx val="7"/>
              <c:layout/>
              <c:tx>
                <c:strRef>
                  <c:f>'Tablero'!$BJ$325</c:f>
                  <c:strCache>
                    <c:ptCount val="1"/>
                    <c:pt idx="0">
                      <c:v/>
                    </c:pt>
                  </c:strCache>
                </c:strRef>
              </c:tx>
              <c:showVal val="1"/>
            </c:dLbl>
            <c:dLbl>
              <c:idx val="8"/>
              <c:layout/>
              <c:tx>
                <c:strRef>
                  <c:f>'Tablero'!$BJ$326</c:f>
                  <c:strCache>
                    <c:ptCount val="1"/>
                    <c:pt idx="0">
                      <c:v/>
                    </c:pt>
                  </c:strCache>
                </c:strRef>
              </c:tx>
              <c:showVal val="1"/>
            </c:dLbl>
            <c:dLbl>
              <c:idx val="9"/>
              <c:layout/>
              <c:tx>
                <c:strRef>
                  <c:f>'Tablero'!$BJ$327</c:f>
                  <c:strCache>
                    <c:ptCount val="1"/>
                    <c:pt idx="0">
                      <c:v/>
                    </c:pt>
                  </c:strCache>
                </c:strRef>
              </c:tx>
              <c:showVal val="1"/>
            </c:dLbl>
            <c:dLbl>
              <c:idx val="10"/>
              <c:layout/>
              <c:tx>
                <c:strRef>
                  <c:f>'Tablero'!$BJ$328</c:f>
                  <c:strCache>
                    <c:ptCount val="1"/>
                    <c:pt idx="0">
                      <c:v/>
                    </c:pt>
                  </c:strCache>
                </c:strRef>
              </c:tx>
              <c:showVal val="1"/>
            </c:dLbl>
            <c:dLbl>
              <c:idx val="11"/>
              <c:layout/>
              <c:tx>
                <c:strRef>
                  <c:f>'Tablero'!$BJ$329</c:f>
                  <c:strCache>
                    <c:ptCount val="1"/>
                    <c:pt idx="0">
                      <c:v/>
                    </c:pt>
                  </c:strCache>
                </c:strRef>
              </c:tx>
              <c:showVal val="1"/>
            </c:dLbl>
            <c:dLbl>
              <c:idx val="12"/>
              <c:layout/>
              <c:tx>
                <c:strRef>
                  <c:f>'Tablero'!$BJ$330</c:f>
                  <c:strCache>
                    <c:ptCount val="1"/>
                    <c:pt idx="0">
                      <c:v/>
                    </c:pt>
                  </c:strCache>
                </c:strRef>
              </c:tx>
              <c:showVal val="1"/>
            </c:dLbl>
            <c:dLbl>
              <c:idx val="13"/>
              <c:layout/>
              <c:tx>
                <c:strRef>
                  <c:f>'Tablero'!$BJ$331</c:f>
                  <c:strCache>
                    <c:ptCount val="1"/>
                    <c:pt idx="0">
                      <c:v/>
                    </c:pt>
                  </c:strCache>
                </c:strRef>
              </c:tx>
              <c:showVal val="1"/>
            </c:dLbl>
            <c:txPr>
              <a:bodyPr/>
              <a:lstStyle/>
              <a:p>
                <a:pPr>
                  <a:defRPr sz="800" b="1" baseline="0">
                    <a:solidFill>
                      <a:srgbClr val="E2E8F0"/>
                    </a:solidFill>
                    <a:latin typeface="Segoe UI"/>
                  </a:defRPr>
                </a:pPr>
                <a:endParaRPr lang="en-US"/>
              </a:p>
            </c:txPr>
            <c:showVal val="1"/>
          </c:dLbls>
          <c:xVal>
            <c:numRef>
              <c:f>Tablero!$N$318:$N$331</c:f>
              <c:numCache>
                <c:formatCode>General</c:formatCode>
                <c:ptCount val="14"/>
                <c:pt idx="0">
                  <c:v>167.7</c:v>
                </c:pt>
                <c:pt idx="1">
                  <c:v>169.1</c:v>
                </c:pt>
                <c:pt idx="2">
                  <c:v>166</c:v>
                </c:pt>
                <c:pt idx="3">
                  <c:v>166.6</c:v>
                </c:pt>
                <c:pt idx="4">
                  <c:v>137.1</c:v>
                </c:pt>
                <c:pt idx="5">
                  <c:v>144.8</c:v>
                </c:pt>
                <c:pt idx="6">
                  <c:v>187.5</c:v>
                </c:pt>
                <c:pt idx="7">
                  <c:v>173.3</c:v>
                </c:pt>
                <c:pt idx="8">
                  <c:v>167</c:v>
                </c:pt>
                <c:pt idx="9">
                  <c:v>156.4</c:v>
                </c:pt>
                <c:pt idx="10">
                  <c:v>142</c:v>
                </c:pt>
                <c:pt idx="11">
                  <c:v>148.4</c:v>
                </c:pt>
                <c:pt idx="12">
                  <c:v>151.1</c:v>
                </c:pt>
                <c:pt idx="13">
                  <c:v>148.7</c:v>
                </c:pt>
              </c:numCache>
            </c:numRef>
          </c:xVal>
          <c:yVal>
            <c:numRef>
              <c:f>Tablero!$DF$318:$DF$331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er>
        <c:ser>
          <c:idx val="8"/>
          <c:order val="8"/>
          <c:spPr>
            <a:ln w="28575">
              <a:noFill/>
            </a:ln>
          </c:spPr>
          <c:marker>
            <c:symbol val="circle"/>
            <c:size val="25"/>
            <c:spPr>
              <a:solidFill>
                <a:srgbClr val="FBBF24">
                  <a:alpha val="65000"/>
                </a:srgbClr>
              </a:solidFill>
              <a:ln w="15875">
                <a:solidFill>
                  <a:srgbClr val="FBBF24"/>
                </a:solidFill>
              </a:ln>
            </c:spPr>
          </c:marker>
          <c:dLbls>
            <c:dLbl>
              <c:idx val="0"/>
              <c:layout/>
              <c:tx>
                <c:strRef>
                  <c:f>'Tablero'!$BJ$318</c:f>
                  <c:strCache>
                    <c:ptCount val="1"/>
                    <c:pt idx="0">
                      <c:v/>
                    </c:pt>
                  </c:strCache>
                </c:strRef>
              </c:tx>
              <c:showVal val="1"/>
            </c:dLbl>
            <c:dLbl>
              <c:idx val="1"/>
              <c:layout/>
              <c:tx>
                <c:strRef>
                  <c:f>'Tablero'!$BJ$319</c:f>
                  <c:strCache>
                    <c:ptCount val="1"/>
                    <c:pt idx="0">
                      <c:v/>
                    </c:pt>
                  </c:strCache>
                </c:strRef>
              </c:tx>
              <c:showVal val="1"/>
            </c:dLbl>
            <c:dLbl>
              <c:idx val="2"/>
              <c:layout/>
              <c:tx>
                <c:strRef>
                  <c:f>'Tablero'!$BJ$320</c:f>
                  <c:strCache>
                    <c:ptCount val="1"/>
                    <c:pt idx="0">
                      <c:v/>
                    </c:pt>
                  </c:strCache>
                </c:strRef>
              </c:tx>
              <c:showVal val="1"/>
            </c:dLbl>
            <c:dLbl>
              <c:idx val="3"/>
              <c:layout/>
              <c:tx>
                <c:strRef>
                  <c:f>'Tablero'!$BJ$321</c:f>
                  <c:strCache>
                    <c:ptCount val="1"/>
                    <c:pt idx="0">
                      <c:v/>
                    </c:pt>
                  </c:strCache>
                </c:strRef>
              </c:tx>
              <c:showVal val="1"/>
            </c:dLbl>
            <c:dLbl>
              <c:idx val="4"/>
              <c:layout/>
              <c:tx>
                <c:strRef>
                  <c:f>'Tablero'!$BJ$322</c:f>
                  <c:strCache>
                    <c:ptCount val="1"/>
                    <c:pt idx="0">
                      <c:v/>
                    </c:pt>
                  </c:strCache>
                </c:strRef>
              </c:tx>
              <c:showVal val="1"/>
            </c:dLbl>
            <c:dLbl>
              <c:idx val="5"/>
              <c:layout/>
              <c:tx>
                <c:strRef>
                  <c:f>'Tablero'!$BJ$323</c:f>
                  <c:strCache>
                    <c:ptCount val="1"/>
                    <c:pt idx="0">
                      <c:v/>
                    </c:pt>
                  </c:strCache>
                </c:strRef>
              </c:tx>
              <c:showVal val="1"/>
            </c:dLbl>
            <c:dLbl>
              <c:idx val="6"/>
              <c:layout/>
              <c:tx>
                <c:strRef>
                  <c:f>'Tablero'!$BJ$324</c:f>
                  <c:strCache>
                    <c:ptCount val="1"/>
                    <c:pt idx="0">
                      <c:v/>
                    </c:pt>
                  </c:strCache>
                </c:strRef>
              </c:tx>
              <c:showVal val="1"/>
            </c:dLbl>
            <c:dLbl>
              <c:idx val="7"/>
              <c:layout/>
              <c:tx>
                <c:strRef>
                  <c:f>'Tablero'!$BJ$325</c:f>
                  <c:strCache>
                    <c:ptCount val="1"/>
                    <c:pt idx="0">
                      <c:v/>
                    </c:pt>
                  </c:strCache>
                </c:strRef>
              </c:tx>
              <c:showVal val="1"/>
            </c:dLbl>
            <c:dLbl>
              <c:idx val="8"/>
              <c:layout/>
              <c:tx>
                <c:strRef>
                  <c:f>'Tablero'!$BJ$326</c:f>
                  <c:strCache>
                    <c:ptCount val="1"/>
                    <c:pt idx="0">
                      <c:v/>
                    </c:pt>
                  </c:strCache>
                </c:strRef>
              </c:tx>
              <c:showVal val="1"/>
            </c:dLbl>
            <c:dLbl>
              <c:idx val="9"/>
              <c:layout/>
              <c:tx>
                <c:strRef>
                  <c:f>'Tablero'!$BJ$327</c:f>
                  <c:strCache>
                    <c:ptCount val="1"/>
                    <c:pt idx="0">
                      <c:v/>
                    </c:pt>
                  </c:strCache>
                </c:strRef>
              </c:tx>
              <c:showVal val="1"/>
            </c:dLbl>
            <c:dLbl>
              <c:idx val="10"/>
              <c:layout/>
              <c:tx>
                <c:strRef>
                  <c:f>'Tablero'!$BJ$328</c:f>
                  <c:strCache>
                    <c:ptCount val="1"/>
                    <c:pt idx="0">
                      <c:v/>
                    </c:pt>
                  </c:strCache>
                </c:strRef>
              </c:tx>
              <c:showVal val="1"/>
            </c:dLbl>
            <c:dLbl>
              <c:idx val="11"/>
              <c:layout/>
              <c:tx>
                <c:strRef>
                  <c:f>'Tablero'!$BJ$329</c:f>
                  <c:strCache>
                    <c:ptCount val="1"/>
                    <c:pt idx="0">
                      <c:v/>
                    </c:pt>
                  </c:strCache>
                </c:strRef>
              </c:tx>
              <c:showVal val="1"/>
            </c:dLbl>
            <c:dLbl>
              <c:idx val="12"/>
              <c:layout/>
              <c:tx>
                <c:strRef>
                  <c:f>'Tablero'!$BJ$330</c:f>
                  <c:strCache>
                    <c:ptCount val="1"/>
                    <c:pt idx="0">
                      <c:v/>
                    </c:pt>
                  </c:strCache>
                </c:strRef>
              </c:tx>
              <c:showVal val="1"/>
            </c:dLbl>
            <c:dLbl>
              <c:idx val="13"/>
              <c:layout/>
              <c:tx>
                <c:strRef>
                  <c:f>'Tablero'!$BJ$331</c:f>
                  <c:strCache>
                    <c:ptCount val="1"/>
                    <c:pt idx="0">
                      <c:v/>
                    </c:pt>
                  </c:strCache>
                </c:strRef>
              </c:tx>
              <c:showVal val="1"/>
            </c:dLbl>
            <c:txPr>
              <a:bodyPr/>
              <a:lstStyle/>
              <a:p>
                <a:pPr>
                  <a:defRPr sz="800" b="1" baseline="0">
                    <a:solidFill>
                      <a:srgbClr val="E2E8F0"/>
                    </a:solidFill>
                    <a:latin typeface="Segoe UI"/>
                  </a:defRPr>
                </a:pPr>
                <a:endParaRPr lang="en-US"/>
              </a:p>
            </c:txPr>
            <c:showVal val="1"/>
          </c:dLbls>
          <c:xVal>
            <c:numRef>
              <c:f>Tablero!$N$318:$N$331</c:f>
              <c:numCache>
                <c:formatCode>General</c:formatCode>
                <c:ptCount val="14"/>
                <c:pt idx="0">
                  <c:v>167.7</c:v>
                </c:pt>
                <c:pt idx="1">
                  <c:v>169.1</c:v>
                </c:pt>
                <c:pt idx="2">
                  <c:v>166</c:v>
                </c:pt>
                <c:pt idx="3">
                  <c:v>166.6</c:v>
                </c:pt>
                <c:pt idx="4">
                  <c:v>137.1</c:v>
                </c:pt>
                <c:pt idx="5">
                  <c:v>144.8</c:v>
                </c:pt>
                <c:pt idx="6">
                  <c:v>187.5</c:v>
                </c:pt>
                <c:pt idx="7">
                  <c:v>173.3</c:v>
                </c:pt>
                <c:pt idx="8">
                  <c:v>167</c:v>
                </c:pt>
                <c:pt idx="9">
                  <c:v>156.4</c:v>
                </c:pt>
                <c:pt idx="10">
                  <c:v>142</c:v>
                </c:pt>
                <c:pt idx="11">
                  <c:v>148.4</c:v>
                </c:pt>
                <c:pt idx="12">
                  <c:v>151.1</c:v>
                </c:pt>
                <c:pt idx="13">
                  <c:v>148.7</c:v>
                </c:pt>
              </c:numCache>
            </c:numRef>
          </c:xVal>
          <c:yVal>
            <c:numRef>
              <c:f>Tablero!$DL$318:$DL$331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er>
        <c:ser>
          <c:idx val="9"/>
          <c:order val="9"/>
          <c:spPr>
            <a:ln w="28575">
              <a:noFill/>
            </a:ln>
          </c:spPr>
          <c:marker>
            <c:symbol val="circle"/>
            <c:size val="33"/>
            <c:spPr>
              <a:solidFill>
                <a:srgbClr val="FBBF24">
                  <a:alpha val="65000"/>
                </a:srgbClr>
              </a:solidFill>
              <a:ln w="15875">
                <a:solidFill>
                  <a:srgbClr val="FBBF24"/>
                </a:solidFill>
              </a:ln>
            </c:spPr>
          </c:marker>
          <c:dLbls>
            <c:dLbl>
              <c:idx val="0"/>
              <c:layout/>
              <c:tx>
                <c:strRef>
                  <c:f>'Tablero'!$BJ$318</c:f>
                  <c:strCache>
                    <c:ptCount val="1"/>
                    <c:pt idx="0">
                      <c:v/>
                    </c:pt>
                  </c:strCache>
                </c:strRef>
              </c:tx>
              <c:showVal val="1"/>
            </c:dLbl>
            <c:dLbl>
              <c:idx val="1"/>
              <c:layout/>
              <c:tx>
                <c:strRef>
                  <c:f>'Tablero'!$BJ$319</c:f>
                  <c:strCache>
                    <c:ptCount val="1"/>
                    <c:pt idx="0">
                      <c:v/>
                    </c:pt>
                  </c:strCache>
                </c:strRef>
              </c:tx>
              <c:showVal val="1"/>
            </c:dLbl>
            <c:dLbl>
              <c:idx val="2"/>
              <c:layout/>
              <c:tx>
                <c:strRef>
                  <c:f>'Tablero'!$BJ$320</c:f>
                  <c:strCache>
                    <c:ptCount val="1"/>
                    <c:pt idx="0">
                      <c:v/>
                    </c:pt>
                  </c:strCache>
                </c:strRef>
              </c:tx>
              <c:showVal val="1"/>
            </c:dLbl>
            <c:dLbl>
              <c:idx val="3"/>
              <c:layout/>
              <c:tx>
                <c:strRef>
                  <c:f>'Tablero'!$BJ$321</c:f>
                  <c:strCache>
                    <c:ptCount val="1"/>
                    <c:pt idx="0">
                      <c:v/>
                    </c:pt>
                  </c:strCache>
                </c:strRef>
              </c:tx>
              <c:showVal val="1"/>
            </c:dLbl>
            <c:dLbl>
              <c:idx val="4"/>
              <c:layout/>
              <c:tx>
                <c:strRef>
                  <c:f>'Tablero'!$BJ$322</c:f>
                  <c:strCache>
                    <c:ptCount val="1"/>
                    <c:pt idx="0">
                      <c:v/>
                    </c:pt>
                  </c:strCache>
                </c:strRef>
              </c:tx>
              <c:showVal val="1"/>
            </c:dLbl>
            <c:dLbl>
              <c:idx val="5"/>
              <c:layout/>
              <c:tx>
                <c:strRef>
                  <c:f>'Tablero'!$BJ$323</c:f>
                  <c:strCache>
                    <c:ptCount val="1"/>
                    <c:pt idx="0">
                      <c:v/>
                    </c:pt>
                  </c:strCache>
                </c:strRef>
              </c:tx>
              <c:showVal val="1"/>
            </c:dLbl>
            <c:dLbl>
              <c:idx val="6"/>
              <c:layout/>
              <c:tx>
                <c:strRef>
                  <c:f>'Tablero'!$BJ$324</c:f>
                  <c:strCache>
                    <c:ptCount val="1"/>
                    <c:pt idx="0">
                      <c:v/>
                    </c:pt>
                  </c:strCache>
                </c:strRef>
              </c:tx>
              <c:showVal val="1"/>
            </c:dLbl>
            <c:dLbl>
              <c:idx val="7"/>
              <c:layout/>
              <c:tx>
                <c:strRef>
                  <c:f>'Tablero'!$BJ$325</c:f>
                  <c:strCache>
                    <c:ptCount val="1"/>
                    <c:pt idx="0">
                      <c:v/>
                    </c:pt>
                  </c:strCache>
                </c:strRef>
              </c:tx>
              <c:showVal val="1"/>
            </c:dLbl>
            <c:dLbl>
              <c:idx val="8"/>
              <c:layout/>
              <c:tx>
                <c:strRef>
                  <c:f>'Tablero'!$BJ$326</c:f>
                  <c:strCache>
                    <c:ptCount val="1"/>
                    <c:pt idx="0">
                      <c:v/>
                    </c:pt>
                  </c:strCache>
                </c:strRef>
              </c:tx>
              <c:showVal val="1"/>
            </c:dLbl>
            <c:dLbl>
              <c:idx val="9"/>
              <c:layout/>
              <c:tx>
                <c:strRef>
                  <c:f>'Tablero'!$BJ$327</c:f>
                  <c:strCache>
                    <c:ptCount val="1"/>
                    <c:pt idx="0">
                      <c:v/>
                    </c:pt>
                  </c:strCache>
                </c:strRef>
              </c:tx>
              <c:showVal val="1"/>
            </c:dLbl>
            <c:dLbl>
              <c:idx val="10"/>
              <c:layout/>
              <c:tx>
                <c:strRef>
                  <c:f>'Tablero'!$BJ$328</c:f>
                  <c:strCache>
                    <c:ptCount val="1"/>
                    <c:pt idx="0">
                      <c:v/>
                    </c:pt>
                  </c:strCache>
                </c:strRef>
              </c:tx>
              <c:showVal val="1"/>
            </c:dLbl>
            <c:dLbl>
              <c:idx val="11"/>
              <c:layout/>
              <c:tx>
                <c:strRef>
                  <c:f>'Tablero'!$BJ$329</c:f>
                  <c:strCache>
                    <c:ptCount val="1"/>
                    <c:pt idx="0">
                      <c:v/>
                    </c:pt>
                  </c:strCache>
                </c:strRef>
              </c:tx>
              <c:showVal val="1"/>
            </c:dLbl>
            <c:dLbl>
              <c:idx val="12"/>
              <c:layout/>
              <c:tx>
                <c:strRef>
                  <c:f>'Tablero'!$BJ$330</c:f>
                  <c:strCache>
                    <c:ptCount val="1"/>
                    <c:pt idx="0">
                      <c:v/>
                    </c:pt>
                  </c:strCache>
                </c:strRef>
              </c:tx>
              <c:showVal val="1"/>
            </c:dLbl>
            <c:dLbl>
              <c:idx val="13"/>
              <c:layout/>
              <c:tx>
                <c:strRef>
                  <c:f>'Tablero'!$BJ$331</c:f>
                  <c:strCache>
                    <c:ptCount val="1"/>
                    <c:pt idx="0">
                      <c:v/>
                    </c:pt>
                  </c:strCache>
                </c:strRef>
              </c:tx>
              <c:showVal val="1"/>
            </c:dLbl>
            <c:txPr>
              <a:bodyPr/>
              <a:lstStyle/>
              <a:p>
                <a:pPr>
                  <a:defRPr sz="800" b="1" baseline="0">
                    <a:solidFill>
                      <a:srgbClr val="E2E8F0"/>
                    </a:solidFill>
                    <a:latin typeface="Segoe UI"/>
                  </a:defRPr>
                </a:pPr>
                <a:endParaRPr lang="en-US"/>
              </a:p>
            </c:txPr>
            <c:showVal val="1"/>
          </c:dLbls>
          <c:xVal>
            <c:numRef>
              <c:f>Tablero!$N$318:$N$331</c:f>
              <c:numCache>
                <c:formatCode>General</c:formatCode>
                <c:ptCount val="14"/>
                <c:pt idx="0">
                  <c:v>167.7</c:v>
                </c:pt>
                <c:pt idx="1">
                  <c:v>169.1</c:v>
                </c:pt>
                <c:pt idx="2">
                  <c:v>166</c:v>
                </c:pt>
                <c:pt idx="3">
                  <c:v>166.6</c:v>
                </c:pt>
                <c:pt idx="4">
                  <c:v>137.1</c:v>
                </c:pt>
                <c:pt idx="5">
                  <c:v>144.8</c:v>
                </c:pt>
                <c:pt idx="6">
                  <c:v>187.5</c:v>
                </c:pt>
                <c:pt idx="7">
                  <c:v>173.3</c:v>
                </c:pt>
                <c:pt idx="8">
                  <c:v>167</c:v>
                </c:pt>
                <c:pt idx="9">
                  <c:v>156.4</c:v>
                </c:pt>
                <c:pt idx="10">
                  <c:v>142</c:v>
                </c:pt>
                <c:pt idx="11">
                  <c:v>148.4</c:v>
                </c:pt>
                <c:pt idx="12">
                  <c:v>151.1</c:v>
                </c:pt>
                <c:pt idx="13">
                  <c:v>148.7</c:v>
                </c:pt>
              </c:numCache>
            </c:numRef>
          </c:xVal>
          <c:yVal>
            <c:numRef>
              <c:f>Tablero!$DR$318:$DR$331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er>
        <c:axId val="50110001"/>
        <c:axId val="50110002"/>
      </c:scatterChart>
      <c:valAx>
        <c:axId val="50110001"/>
        <c:scaling>
          <c:orientation val="minMax"/>
          <c:max val="209.3"/>
          <c:min val="115.3"/>
        </c:scaling>
        <c:delete val="1"/>
        <c:axPos val="b"/>
        <c:numFmt formatCode="General" sourceLinked="1"/>
        <c:majorTickMark val="none"/>
        <c:tickLblPos val="nextTo"/>
        <c:spPr>
          <a:ln>
            <a:noFill/>
          </a:ln>
        </c:spPr>
        <c:crossAx val="50110002"/>
        <c:crosses val="autoZero"/>
        <c:crossBetween val="midCat"/>
      </c:valAx>
      <c:valAx>
        <c:axId val="50110002"/>
        <c:scaling>
          <c:orientation val="minMax"/>
          <c:max val="-191.1"/>
          <c:min val="-300.4"/>
        </c:scaling>
        <c:delete val="1"/>
        <c:axPos val="l"/>
        <c:numFmt formatCode="General" sourceLinked="1"/>
        <c:majorTickMark val="none"/>
        <c:tickLblPos val="nextTo"/>
        <c:spPr>
          <a:ln>
            <a:noFill/>
          </a:ln>
        </c:spPr>
        <c:crossAx val="50110001"/>
        <c:crosses val="autoZero"/>
        <c:crossBetween val="midCat"/>
      </c:valAx>
      <c:spPr>
        <a:noFill/>
        <a:ln>
          <a:noFill/>
        </a:ln>
      </c:spPr>
    </c:plotArea>
    <c:plotVisOnly val="1"/>
  </c:chart>
  <c:spPr>
    <a:noFill/>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059999999999999998"/>
          <c:y val="0.080000000000000002"/>
          <c:w val="0.85999999999999999"/>
          <c:h val="0.78000000000000003"/>
        </c:manualLayout>
      </c:layout>
      <c:barChart>
        <c:barDir val="col"/>
        <c:grouping val="clustered"/>
        <c:ser>
          <c:idx val="0"/>
          <c:order val="0"/>
          <c:tx>
            <c:v>Producción</c:v>
          </c:tx>
          <c:spPr>
            <a:solidFill>
              <a:srgbClr val="27405F"/>
            </a:solidFill>
            <a:ln>
              <a:noFill/>
            </a:ln>
          </c:spPr>
          <c:cat>
            <c:strRef>
              <c:f>Tablero!$B$270:$B$281</c:f>
              <c:strCache>
                <c:ptCount val="12"/>
                <c:pt idx="0">
                  <c:v/>
                </c:pt>
                <c:pt idx="1">
                  <c:v/>
                </c:pt>
                <c:pt idx="2">
                  <c:v/>
                </c:pt>
                <c:pt idx="3">
                  <c:v/>
                </c:pt>
                <c:pt idx="4">
                  <c:v/>
                </c:pt>
                <c:pt idx="5">
                  <c:v/>
                </c:pt>
                <c:pt idx="6">
                  <c:v/>
                </c:pt>
                <c:pt idx="7">
                  <c:v/>
                </c:pt>
                <c:pt idx="8">
                  <c:v/>
                </c:pt>
                <c:pt idx="9">
                  <c:v/>
                </c:pt>
                <c:pt idx="10">
                  <c:v/>
                </c:pt>
                <c:pt idx="11">
                  <c:v/>
                </c:pt>
              </c:strCache>
            </c:strRef>
          </c:cat>
          <c:val>
            <c:numRef>
              <c:f>Tablero!$N$270:$N$281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Petróleo shale</c:v>
          </c:tx>
          <c:spPr>
            <a:solidFill>
              <a:srgbClr val="22D3EE"/>
            </a:solidFill>
            <a:ln>
              <a:noFill/>
            </a:ln>
          </c:spPr>
          <c:cat>
            <c:strRef>
              <c:f>Tablero!$B$270:$B$281</c:f>
              <c:strCache>
                <c:ptCount val="12"/>
                <c:pt idx="0">
                  <c:v/>
                </c:pt>
                <c:pt idx="1">
                  <c:v/>
                </c:pt>
                <c:pt idx="2">
                  <c:v/>
                </c:pt>
                <c:pt idx="3">
                  <c:v/>
                </c:pt>
                <c:pt idx="4">
                  <c:v/>
                </c:pt>
                <c:pt idx="5">
                  <c:v/>
                </c:pt>
                <c:pt idx="6">
                  <c:v/>
                </c:pt>
                <c:pt idx="7">
                  <c:v/>
                </c:pt>
                <c:pt idx="8">
                  <c:v/>
                </c:pt>
                <c:pt idx="9">
                  <c:v/>
                </c:pt>
                <c:pt idx="10">
                  <c:v/>
                </c:pt>
                <c:pt idx="11">
                  <c:v/>
                </c:pt>
              </c:strCache>
            </c:strRef>
          </c:cat>
          <c:val>
            <c:numRef>
              <c:f>Tablero!$T$270:$T$281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70"/>
        <c:overlap val="100"/>
        <c:axId val="50120001"/>
        <c:axId val="50120002"/>
      </c:barChart>
      <c:lineChart>
        <c:grouping val="standard"/>
        <c:ser>
          <c:idx val="2"/>
          <c:order val="2"/>
          <c:tx>
            <c:v>Precio del crudo</c:v>
          </c:tx>
          <c:spPr>
            <a:ln w="31750">
              <a:solidFill>
                <a:srgbClr val="FBBF24"/>
              </a:solidFill>
            </a:ln>
          </c:spPr>
          <c:marker>
            <c:symbol val="circle"/>
            <c:size val="5"/>
            <c:spPr>
              <a:solidFill>
                <a:srgbClr val="0B182C"/>
              </a:solidFill>
              <a:ln w="19050">
                <a:solidFill>
                  <a:srgbClr val="FBBF24"/>
                </a:solidFill>
              </a:ln>
            </c:spPr>
          </c:marker>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dLbl>
              <c:idx val="9"/>
              <c:delete val="1"/>
            </c:dLbl>
            <c:dLbl>
              <c:idx val="10"/>
              <c:delete val="1"/>
            </c:dLbl>
            <c:numFmt formatCode="0" sourceLinked="0"/>
            <c:txPr>
              <a:bodyPr/>
              <a:lstStyle/>
              <a:p>
                <a:pPr>
                  <a:defRPr sz="700" baseline="0">
                    <a:solidFill>
                      <a:srgbClr val="FBBF24"/>
                    </a:solidFill>
                    <a:latin typeface="Segoe UI"/>
                  </a:defRPr>
                </a:pPr>
                <a:endParaRPr lang="en-US"/>
              </a:p>
            </c:txPr>
            <c:dLblPos val="t"/>
            <c:showVal val="1"/>
          </c:dLbls>
          <c:cat>
            <c:strRef>
              <c:f>Tablero!$B$270:$B$281</c:f>
              <c:strCache>
                <c:ptCount val="12"/>
                <c:pt idx="0">
                  <c:v/>
                </c:pt>
                <c:pt idx="1">
                  <c:v/>
                </c:pt>
                <c:pt idx="2">
                  <c:v/>
                </c:pt>
                <c:pt idx="3">
                  <c:v/>
                </c:pt>
                <c:pt idx="4">
                  <c:v/>
                </c:pt>
                <c:pt idx="5">
                  <c:v/>
                </c:pt>
                <c:pt idx="6">
                  <c:v/>
                </c:pt>
                <c:pt idx="7">
                  <c:v/>
                </c:pt>
                <c:pt idx="8">
                  <c:v/>
                </c:pt>
                <c:pt idx="9">
                  <c:v/>
                </c:pt>
                <c:pt idx="10">
                  <c:v/>
                </c:pt>
                <c:pt idx="11">
                  <c:v/>
                </c:pt>
              </c:strCache>
            </c:strRef>
          </c:cat>
          <c:val>
            <c:numRef>
              <c:f>Tablero!$Z$270:$Z$281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1"/>
        </c:ser>
        <c:marker val="1"/>
        <c:axId val="60120001"/>
        <c:axId val="60120002"/>
      </c:lineChart>
      <c:catAx>
        <c:axId val="50120001"/>
        <c:scaling>
          <c:orientation val="minMax"/>
        </c:scaling>
        <c:axPos val="b"/>
        <c:majorTickMark val="none"/>
        <c:tickLblPos val="low"/>
        <c:spPr>
          <a:ln>
            <a:noFill/>
          </a:ln>
        </c:spPr>
        <c:txPr>
          <a:bodyPr/>
          <a:lstStyle/>
          <a:p>
            <a:pPr>
              <a:defRPr sz="800" baseline="0">
                <a:solidFill>
                  <a:srgbClr val="8EA3C4"/>
                </a:solidFill>
                <a:latin typeface="Segoe UI"/>
              </a:defRPr>
            </a:pPr>
            <a:endParaRPr lang="en-US"/>
          </a:p>
        </c:txPr>
        <c:crossAx val="50120002"/>
        <c:crosses val="autoZero"/>
        <c:auto val="1"/>
        <c:lblAlgn val="ctr"/>
        <c:lblOffset val="100"/>
      </c:catAx>
      <c:valAx>
        <c:axId val="50120002"/>
        <c:scaling>
          <c:orientation val="minMax"/>
          <c:min val="0"/>
        </c:scaling>
        <c:axPos val="l"/>
        <c:majorGridlines>
          <c:spPr>
            <a:ln w="9525">
              <a:solidFill>
                <a:srgbClr val="1A2E4A"/>
              </a:solidFill>
              <a:prstDash val="dash"/>
            </a:ln>
          </c:spPr>
        </c:majorGridlines>
        <c:numFmt formatCode="0" sourceLinked="0"/>
        <c:majorTickMark val="none"/>
        <c:tickLblPos val="nextTo"/>
        <c:spPr>
          <a:ln>
            <a:noFill/>
          </a:ln>
        </c:spPr>
        <c:txPr>
          <a:bodyPr/>
          <a:lstStyle/>
          <a:p>
            <a:pPr>
              <a:defRPr sz="800" baseline="0">
                <a:solidFill>
                  <a:srgbClr val="8EA3C4"/>
                </a:solidFill>
                <a:latin typeface="Segoe UI"/>
              </a:defRPr>
            </a:pPr>
            <a:endParaRPr lang="en-US"/>
          </a:p>
        </c:txPr>
        <c:crossAx val="50120001"/>
        <c:crosses val="autoZero"/>
        <c:crossBetween val="between"/>
      </c:valAx>
      <c:valAx>
        <c:axId val="60120002"/>
        <c:scaling>
          <c:orientation val="minMax"/>
          <c:min val="0"/>
        </c:scaling>
        <c:axPos val="r"/>
        <c:numFmt formatCode="0" sourceLinked="0"/>
        <c:majorTickMark val="none"/>
        <c:tickLblPos val="nextTo"/>
        <c:spPr>
          <a:ln>
            <a:noFill/>
          </a:ln>
        </c:spPr>
        <c:txPr>
          <a:bodyPr/>
          <a:lstStyle/>
          <a:p>
            <a:pPr>
              <a:defRPr sz="800" baseline="0">
                <a:solidFill>
                  <a:srgbClr val="FBBF24"/>
                </a:solidFill>
                <a:latin typeface="Segoe UI"/>
              </a:defRPr>
            </a:pPr>
            <a:endParaRPr lang="en-US"/>
          </a:p>
        </c:txPr>
        <c:crossAx val="60120001"/>
        <c:crosses val="max"/>
        <c:crossBetween val="between"/>
      </c:valAx>
      <c:catAx>
        <c:axId val="60120001"/>
        <c:scaling>
          <c:orientation val="minMax"/>
        </c:scaling>
        <c:delete val="1"/>
        <c:axPos val="b"/>
        <c:tickLblPos val="none"/>
        <c:crossAx val="60120002"/>
        <c:crosses val="autoZero"/>
        <c:auto val="1"/>
        <c:lblAlgn val="ctr"/>
        <c:lblOffset val="100"/>
      </c:catAx>
      <c:spPr>
        <a:noFill/>
        <a:ln>
          <a:noFill/>
        </a:ln>
      </c:spPr>
    </c:plotArea>
    <c:plotVisOnly val="1"/>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0.070000000000000007"/>
          <c:y val="0.059999999999999998"/>
          <c:w val="0.91000000000000003"/>
          <c:h val="0.80000000000000004"/>
        </c:manualLayout>
      </c:layout>
      <c:barChart>
        <c:barDir val="col"/>
        <c:grouping val="clustered"/>
        <c:ser>
          <c:idx val="0"/>
          <c:order val="0"/>
          <c:tx>
            <c:v>Retorno anormal</c:v>
          </c:tx>
          <c:spPr>
            <a:solidFill>
              <a:srgbClr val="27405F"/>
            </a:solidFill>
            <a:ln>
              <a:noFill/>
            </a:ln>
          </c:spPr>
          <c:invertIfNegative val="1"/>
          <c:dPt>
            <c:idx val="11"/>
            <c:spPr>
              <a:solidFill>
                <a:srgbClr val="FBBF24"/>
              </a:solidFill>
              <a:ln>
                <a:noFill/>
              </a:ln>
            </c:spPr>
          </c:dPt>
          <c:dLbls>
            <c:dLbl>
              <c:idx val="0"/>
              <c:delete val="1"/>
            </c:dLbl>
            <c:dLbl>
              <c:idx val="1"/>
              <c:delete val="1"/>
            </c:dLbl>
            <c:dLbl>
              <c:idx val="2"/>
              <c:delete val="1"/>
            </c:dLbl>
            <c:dLbl>
              <c:idx val="3"/>
              <c:delete val="1"/>
            </c:dLbl>
            <c:dLbl>
              <c:idx val="4"/>
              <c:delete val="1"/>
            </c:dLbl>
            <c:dLbl>
              <c:idx val="5"/>
              <c:delete val="1"/>
            </c:dLbl>
            <c:dLbl>
              <c:idx val="6"/>
              <c:delete val="1"/>
            </c:dLbl>
            <c:dLbl>
              <c:idx val="7"/>
              <c:delete val="1"/>
            </c:dLbl>
            <c:dLbl>
              <c:idx val="8"/>
              <c:delete val="1"/>
            </c:dLbl>
            <c:dLbl>
              <c:idx val="9"/>
              <c:delete val="1"/>
            </c:dLbl>
            <c:dLbl>
              <c:idx val="10"/>
              <c:delete val="1"/>
            </c:dLbl>
            <c:numFmt formatCode="&quot;+&quot;0.0%;&quot;−&quot;0.0%" sourceLinked="0"/>
            <c:txPr>
              <a:bodyPr/>
              <a:lstStyle/>
              <a:p>
                <a:pPr>
                  <a:defRPr sz="800" b="1" baseline="0">
                    <a:solidFill>
                      <a:srgbClr val="EAF2FF"/>
                    </a:solidFill>
                    <a:latin typeface="Segoe UI"/>
                  </a:defRPr>
                </a:pPr>
                <a:endParaRPr lang="en-US"/>
              </a:p>
            </c:txPr>
            <c:showVal val="1"/>
          </c:dLbls>
          <c:cat>
            <c:strRef>
              <c:f>Tablero!$B$380:$B$391</c:f>
              <c:strCache>
                <c:ptCount val="12"/>
                <c:pt idx="0">
                  <c:v/>
                </c:pt>
                <c:pt idx="1">
                  <c:v/>
                </c:pt>
                <c:pt idx="2">
                  <c:v/>
                </c:pt>
                <c:pt idx="3">
                  <c:v/>
                </c:pt>
                <c:pt idx="4">
                  <c:v/>
                </c:pt>
                <c:pt idx="5">
                  <c:v/>
                </c:pt>
                <c:pt idx="6">
                  <c:v/>
                </c:pt>
                <c:pt idx="7">
                  <c:v/>
                </c:pt>
                <c:pt idx="8">
                  <c:v/>
                </c:pt>
                <c:pt idx="9">
                  <c:v/>
                </c:pt>
                <c:pt idx="10">
                  <c:v/>
                </c:pt>
                <c:pt idx="11">
                  <c:v/>
                </c:pt>
              </c:strCache>
            </c:strRef>
          </c:cat>
          <c:val>
            <c:numRef>
              <c:f>Tablero!$N$380:$N$391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7C5A1E"/>
                  </a:solidFill>
                </c14:spPr>
              </c14:invertSolidFillFmt>
            </c:ext>
          </c:extLst>
        </c:ser>
        <c:gapWidth val="60"/>
        <c:axId val="50130001"/>
        <c:axId val="50130002"/>
      </c:barChart>
      <c:lineChart>
        <c:grouping val="standard"/>
        <c:ser>
          <c:idx val="1"/>
          <c:order val="1"/>
          <c:tx>
            <c:v>Anormal acumulado 0–3</c:v>
          </c:tx>
          <c:spPr>
            <a:ln>
              <a:noFill/>
            </a:ln>
          </c:spPr>
          <c:marker>
            <c:symbol val="diamond"/>
            <c:size val="7"/>
            <c:spPr>
              <a:solidFill>
                <a:srgbClr val="818CF8"/>
              </a:solidFill>
              <a:ln>
                <a:noFill/>
              </a:ln>
            </c:spPr>
          </c:marker>
          <c:cat>
            <c:strRef>
              <c:f>Tablero!$B$380:$B$391</c:f>
              <c:strCache>
                <c:ptCount val="12"/>
                <c:pt idx="0">
                  <c:v/>
                </c:pt>
                <c:pt idx="1">
                  <c:v/>
                </c:pt>
                <c:pt idx="2">
                  <c:v/>
                </c:pt>
                <c:pt idx="3">
                  <c:v/>
                </c:pt>
                <c:pt idx="4">
                  <c:v/>
                </c:pt>
                <c:pt idx="5">
                  <c:v/>
                </c:pt>
                <c:pt idx="6">
                  <c:v/>
                </c:pt>
                <c:pt idx="7">
                  <c:v/>
                </c:pt>
                <c:pt idx="8">
                  <c:v/>
                </c:pt>
                <c:pt idx="9">
                  <c:v/>
                </c:pt>
                <c:pt idx="10">
                  <c:v/>
                </c:pt>
                <c:pt idx="11">
                  <c:v/>
                </c:pt>
              </c:strCache>
            </c:strRef>
          </c:cat>
          <c:val>
            <c:numRef>
              <c:f>Tablero!$T$380:$T$391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marker val="1"/>
        <c:axId val="50130001"/>
        <c:axId val="50130002"/>
      </c:lineChart>
      <c:catAx>
        <c:axId val="50130001"/>
        <c:scaling>
          <c:orientation val="minMax"/>
        </c:scaling>
        <c:axPos val="b"/>
        <c:majorTickMark val="none"/>
        <c:tickLblPos val="low"/>
        <c:spPr>
          <a:ln>
            <a:noFill/>
          </a:ln>
        </c:spPr>
        <c:txPr>
          <a:bodyPr/>
          <a:lstStyle/>
          <a:p>
            <a:pPr>
              <a:defRPr sz="800" baseline="0">
                <a:solidFill>
                  <a:srgbClr val="8EA3C4"/>
                </a:solidFill>
                <a:latin typeface="Segoe UI"/>
              </a:defRPr>
            </a:pPr>
            <a:endParaRPr lang="en-US"/>
          </a:p>
        </c:txPr>
        <c:crossAx val="50130002"/>
        <c:crosses val="autoZero"/>
        <c:auto val="1"/>
        <c:lblAlgn val="ctr"/>
        <c:lblOffset val="100"/>
      </c:catAx>
      <c:valAx>
        <c:axId val="50130002"/>
        <c:scaling>
          <c:orientation val="minMax"/>
        </c:scaling>
        <c:axPos val="l"/>
        <c:majorGridlines>
          <c:spPr>
            <a:ln w="9525">
              <a:solidFill>
                <a:srgbClr val="1A2E4A"/>
              </a:solidFill>
              <a:prstDash val="dash"/>
            </a:ln>
          </c:spPr>
        </c:majorGridlines>
        <c:numFmt formatCode="0%" sourceLinked="0"/>
        <c:majorTickMark val="none"/>
        <c:tickLblPos val="nextTo"/>
        <c:spPr>
          <a:ln>
            <a:noFill/>
          </a:ln>
        </c:spPr>
        <c:txPr>
          <a:bodyPr/>
          <a:lstStyle/>
          <a:p>
            <a:pPr>
              <a:defRPr sz="800" baseline="0">
                <a:solidFill>
                  <a:srgbClr val="8EA3C4"/>
                </a:solidFill>
                <a:latin typeface="Segoe UI"/>
              </a:defRPr>
            </a:pPr>
            <a:endParaRPr lang="en-US"/>
          </a:p>
        </c:txPr>
        <c:crossAx val="50130001"/>
        <c:crosses val="autoZero"/>
        <c:crossBetween val="between"/>
      </c:valAx>
      <c:spPr>
        <a:noFill/>
        <a:ln>
          <a:noFill/>
        </a:ln>
      </c:spPr>
    </c:plotArea>
    <c:plotVisOnly val="1"/>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0246B"/>
                </a:solidFill>
                <a:latin typeface="Calibri"/>
              </a:defRPr>
            </a:pPr>
            <a:r>
              <a:rPr lang="en-US" sz="1100" baseline="0">
                <a:solidFill>
                  <a:srgbClr val="00246B"/>
                </a:solidFill>
                <a:latin typeface="Calibri"/>
              </a:rPr>
              <a:t>EBITDA trimestral y margen</a:t>
            </a:r>
          </a:p>
        </c:rich>
      </c:tx>
      <c:layout/>
    </c:title>
    <c:plotArea>
      <c:layout/>
      <c:barChart>
        <c:barDir val="col"/>
        <c:grouping val="clustered"/>
        <c:ser>
          <c:idx val="0"/>
          <c:order val="0"/>
          <c:tx>
            <c:v>EBITDA</c:v>
          </c:tx>
          <c:spPr>
            <a:solidFill>
              <a:srgbClr val="0054EB"/>
            </a:solidFill>
          </c:spPr>
          <c:cat>
            <c:strRef>
              <c:f>Análisis!$B$4:$AA$4</c:f>
              <c:strCache>
                <c:ptCount val="26"/>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pt idx="18">
                  <c:v>2024Q3</c:v>
                </c:pt>
                <c:pt idx="19">
                  <c:v>2024Q4</c:v>
                </c:pt>
                <c:pt idx="20">
                  <c:v>2025Q1</c:v>
                </c:pt>
                <c:pt idx="21">
                  <c:v>2025Q2</c:v>
                </c:pt>
                <c:pt idx="22">
                  <c:v>2025Q3</c:v>
                </c:pt>
                <c:pt idx="23">
                  <c:v>2025Q4</c:v>
                </c:pt>
                <c:pt idx="24">
                  <c:v>2026Q1</c:v>
                </c:pt>
                <c:pt idx="25">
                  <c:v>2026Q2</c:v>
                </c:pt>
              </c:strCache>
            </c:strRef>
          </c:cat>
          <c:val>
            <c:numRef>
              <c:f>Análisis!$B$13:$AA$13</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axId val="50140001"/>
        <c:axId val="50140002"/>
      </c:barChart>
      <c:lineChart>
        <c:grouping val="standard"/>
        <c:ser>
          <c:idx val="1"/>
          <c:order val="1"/>
          <c:tx>
            <c:v>Margen EBITDA</c:v>
          </c:tx>
          <c:spPr>
            <a:ln w="22225">
              <a:solidFill>
                <a:srgbClr val="F0A830"/>
              </a:solidFill>
            </a:ln>
          </c:spPr>
          <c:marker>
            <c:symbol val="none"/>
          </c:marker>
          <c:cat>
            <c:strRef>
              <c:f>Análisis!$B$4:$AA$4</c:f>
              <c:strCache>
                <c:ptCount val="26"/>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pt idx="18">
                  <c:v>2024Q3</c:v>
                </c:pt>
                <c:pt idx="19">
                  <c:v>2024Q4</c:v>
                </c:pt>
                <c:pt idx="20">
                  <c:v>2025Q1</c:v>
                </c:pt>
                <c:pt idx="21">
                  <c:v>2025Q2</c:v>
                </c:pt>
                <c:pt idx="22">
                  <c:v>2025Q3</c:v>
                </c:pt>
                <c:pt idx="23">
                  <c:v>2025Q4</c:v>
                </c:pt>
                <c:pt idx="24">
                  <c:v>2026Q1</c:v>
                </c:pt>
                <c:pt idx="25">
                  <c:v>2026Q2</c:v>
                </c:pt>
              </c:strCache>
            </c:strRef>
          </c:cat>
          <c:val>
            <c:numRef>
              <c:f>Análisis!$B$8:$AA$8</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marker val="1"/>
        <c:axId val="60140001"/>
        <c:axId val="60140002"/>
      </c:lineChart>
      <c:catAx>
        <c:axId val="50140001"/>
        <c:scaling>
          <c:orientation val="minMax"/>
        </c:scaling>
        <c:axPos val="b"/>
        <c:tickLblPos val="nextTo"/>
        <c:txPr>
          <a:bodyPr rot="-2700000" vert="horz"/>
          <a:lstStyle/>
          <a:p>
            <a:pPr>
              <a:defRPr sz="800" baseline="0">
                <a:latin typeface="Calibri"/>
              </a:defRPr>
            </a:pPr>
            <a:endParaRPr lang="en-US"/>
          </a:p>
        </c:txPr>
        <c:crossAx val="50140002"/>
        <c:crosses val="autoZero"/>
        <c:auto val="1"/>
        <c:lblAlgn val="ctr"/>
        <c:lblOffset val="100"/>
      </c:catAx>
      <c:valAx>
        <c:axId val="50140002"/>
        <c:scaling>
          <c:orientation val="minMax"/>
        </c:scaling>
        <c:axPos val="l"/>
        <c:majorGridlines/>
        <c:numFmt formatCode="General" sourceLinked="1"/>
        <c:tickLblPos val="nextTo"/>
        <c:txPr>
          <a:bodyPr/>
          <a:lstStyle/>
          <a:p>
            <a:pPr>
              <a:defRPr sz="800" baseline="0">
                <a:latin typeface="Calibri"/>
              </a:defRPr>
            </a:pPr>
            <a:endParaRPr lang="en-US"/>
          </a:p>
        </c:txPr>
        <c:crossAx val="50140001"/>
        <c:crosses val="autoZero"/>
        <c:crossBetween val="between"/>
      </c:valAx>
      <c:valAx>
        <c:axId val="60140002"/>
        <c:scaling>
          <c:orientation val="minMax"/>
        </c:scaling>
        <c:axPos val="r"/>
        <c:numFmt formatCode="0%" sourceLinked="0"/>
        <c:tickLblPos val="nextTo"/>
        <c:txPr>
          <a:bodyPr/>
          <a:lstStyle/>
          <a:p>
            <a:pPr>
              <a:defRPr sz="800" baseline="0">
                <a:latin typeface="Calibri"/>
              </a:defRPr>
            </a:pPr>
            <a:endParaRPr lang="en-US"/>
          </a:p>
        </c:txPr>
        <c:crossAx val="60140001"/>
        <c:crosses val="max"/>
        <c:crossBetween val="between"/>
      </c:valAx>
      <c:catAx>
        <c:axId val="60140001"/>
        <c:scaling>
          <c:orientation val="minMax"/>
        </c:scaling>
        <c:delete val="1"/>
        <c:axPos val="b"/>
        <c:tickLblPos val="none"/>
        <c:crossAx val="60140002"/>
        <c:crosses val="autoZero"/>
        <c:auto val="1"/>
        <c:lblAlgn val="ctr"/>
        <c:lblOffset val="100"/>
      </c:catAx>
    </c:plotArea>
    <c:legend>
      <c:legendPos val="b"/>
      <c:layout/>
      <c:txPr>
        <a:bodyPr/>
        <a:lstStyle/>
        <a:p>
          <a:pPr>
            <a:defRPr sz="800" baseline="0">
              <a:latin typeface="Calibri"/>
            </a:defRPr>
          </a:pPr>
          <a:endParaRPr lang="en-US"/>
        </a:p>
      </c:txPr>
    </c:legend>
    <c:plotVisOnly val="1"/>
  </c:chart>
  <c:spPr>
    <a:ln>
      <a:no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0246B"/>
                </a:solidFill>
                <a:latin typeface="Calibri"/>
              </a:defRPr>
            </a:pPr>
            <a:r>
              <a:rPr lang="en-US" sz="1100" baseline="0">
                <a:solidFill>
                  <a:srgbClr val="00246B"/>
                </a:solidFill>
                <a:latin typeface="Calibri"/>
              </a:rPr>
              <a:t>Flujo de caja libre por trimestre</a:t>
            </a:r>
          </a:p>
        </c:rich>
      </c:tx>
      <c:layout/>
    </c:title>
    <c:plotArea>
      <c:layout/>
      <c:barChart>
        <c:barDir val="col"/>
        <c:grouping val="clustered"/>
        <c:ser>
          <c:idx val="0"/>
          <c:order val="0"/>
          <c:tx>
            <c:v>Flujo de caja libre</c:v>
          </c:tx>
          <c:spPr>
            <a:solidFill>
              <a:srgbClr val="3FB98A"/>
            </a:solidFill>
          </c:spPr>
          <c:invertIfNegative val="1"/>
          <c:cat>
            <c:strRef>
              <c:f>Análisis!$B$4:$AA$4</c:f>
              <c:strCache>
                <c:ptCount val="26"/>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pt idx="18">
                  <c:v>2024Q3</c:v>
                </c:pt>
                <c:pt idx="19">
                  <c:v>2024Q4</c:v>
                </c:pt>
                <c:pt idx="20">
                  <c:v>2025Q1</c:v>
                </c:pt>
                <c:pt idx="21">
                  <c:v>2025Q2</c:v>
                </c:pt>
                <c:pt idx="22">
                  <c:v>2025Q3</c:v>
                </c:pt>
                <c:pt idx="23">
                  <c:v>2025Q4</c:v>
                </c:pt>
                <c:pt idx="24">
                  <c:v>2026Q1</c:v>
                </c:pt>
                <c:pt idx="25">
                  <c:v>2026Q2</c:v>
                </c:pt>
              </c:strCache>
            </c:strRef>
          </c:cat>
          <c:val>
            <c:numRef>
              <c:f>Análisis!$B$15:$AA$15</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axId val="50150001"/>
        <c:axId val="50150002"/>
      </c:barChart>
      <c:catAx>
        <c:axId val="50150001"/>
        <c:scaling>
          <c:orientation val="minMax"/>
        </c:scaling>
        <c:axPos val="b"/>
        <c:tickLblPos val="nextTo"/>
        <c:txPr>
          <a:bodyPr rot="-2700000" vert="horz"/>
          <a:lstStyle/>
          <a:p>
            <a:pPr>
              <a:defRPr sz="800" baseline="0">
                <a:latin typeface="Calibri"/>
              </a:defRPr>
            </a:pPr>
            <a:endParaRPr lang="en-US"/>
          </a:p>
        </c:txPr>
        <c:crossAx val="50150002"/>
        <c:crosses val="autoZero"/>
        <c:auto val="1"/>
        <c:lblAlgn val="ctr"/>
        <c:lblOffset val="100"/>
      </c:catAx>
      <c:valAx>
        <c:axId val="50150002"/>
        <c:scaling>
          <c:orientation val="minMax"/>
        </c:scaling>
        <c:axPos val="l"/>
        <c:majorGridlines/>
        <c:numFmt formatCode="General" sourceLinked="1"/>
        <c:tickLblPos val="nextTo"/>
        <c:txPr>
          <a:bodyPr/>
          <a:lstStyle/>
          <a:p>
            <a:pPr>
              <a:defRPr sz="800" baseline="0">
                <a:latin typeface="Calibri"/>
              </a:defRPr>
            </a:pPr>
            <a:endParaRPr lang="en-US"/>
          </a:p>
        </c:txPr>
        <c:crossAx val="50150001"/>
        <c:crosses val="autoZero"/>
        <c:crossBetween val="between"/>
      </c:valAx>
    </c:plotArea>
    <c:legend>
      <c:legendPos val="b"/>
      <c:layout/>
      <c:txPr>
        <a:bodyPr/>
        <a:lstStyle/>
        <a:p>
          <a:pPr>
            <a:defRPr sz="800" baseline="0">
              <a:latin typeface="Calibri"/>
            </a:defRPr>
          </a:pPr>
          <a:endParaRPr lang="en-US"/>
        </a:p>
      </c:txPr>
    </c:legend>
    <c:plotVisOnly val="1"/>
  </c:chart>
  <c:spPr>
    <a:ln>
      <a:no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0246B"/>
                </a:solidFill>
                <a:latin typeface="Calibri"/>
              </a:defRPr>
            </a:pPr>
            <a:r>
              <a:rPr lang="en-US" sz="1100" baseline="0">
                <a:solidFill>
                  <a:srgbClr val="00246B"/>
                </a:solidFill>
                <a:latin typeface="Calibri"/>
              </a:rPr>
              <a:t>Apalancamiento</a:t>
            </a:r>
          </a:p>
        </c:rich>
      </c:tx>
      <c:layout/>
    </c:title>
    <c:plotArea>
      <c:layout/>
      <c:lineChart>
        <c:grouping val="standard"/>
        <c:ser>
          <c:idx val="0"/>
          <c:order val="0"/>
          <c:tx>
            <c:v>Deuda neta / EBITDA UDM</c:v>
          </c:tx>
          <c:spPr>
            <a:ln w="22225">
              <a:solidFill>
                <a:srgbClr val="C0442A"/>
              </a:solidFill>
            </a:ln>
          </c:spPr>
          <c:marker>
            <c:symbol val="none"/>
          </c:marker>
          <c:cat>
            <c:strRef>
              <c:f>Análisis!$B$4:$AA$4</c:f>
              <c:strCache>
                <c:ptCount val="26"/>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pt idx="18">
                  <c:v>2024Q3</c:v>
                </c:pt>
                <c:pt idx="19">
                  <c:v>2024Q4</c:v>
                </c:pt>
                <c:pt idx="20">
                  <c:v>2025Q1</c:v>
                </c:pt>
                <c:pt idx="21">
                  <c:v>2025Q2</c:v>
                </c:pt>
                <c:pt idx="22">
                  <c:v>2025Q3</c:v>
                </c:pt>
                <c:pt idx="23">
                  <c:v>2025Q4</c:v>
                </c:pt>
                <c:pt idx="24">
                  <c:v>2026Q1</c:v>
                </c:pt>
                <c:pt idx="25">
                  <c:v>2026Q2</c:v>
                </c:pt>
              </c:strCache>
            </c:strRef>
          </c:cat>
          <c:val>
            <c:numRef>
              <c:f>Análisis!$B$38:$AA$38</c:f>
              <c:numCache>
                <c:formatCode>General</c:formatCode>
                <c:ptCount val="26"/>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marker val="1"/>
        <c:axId val="50160001"/>
        <c:axId val="50160002"/>
      </c:lineChart>
      <c:catAx>
        <c:axId val="50160001"/>
        <c:scaling>
          <c:orientation val="minMax"/>
        </c:scaling>
        <c:axPos val="b"/>
        <c:tickLblPos val="nextTo"/>
        <c:txPr>
          <a:bodyPr rot="-2700000" vert="horz"/>
          <a:lstStyle/>
          <a:p>
            <a:pPr>
              <a:defRPr sz="800" baseline="0">
                <a:latin typeface="Calibri"/>
              </a:defRPr>
            </a:pPr>
            <a:endParaRPr lang="en-US"/>
          </a:p>
        </c:txPr>
        <c:crossAx val="50160002"/>
        <c:crosses val="autoZero"/>
        <c:auto val="1"/>
        <c:lblAlgn val="ctr"/>
        <c:lblOffset val="100"/>
      </c:catAx>
      <c:valAx>
        <c:axId val="50160002"/>
        <c:scaling>
          <c:orientation val="minMax"/>
        </c:scaling>
        <c:axPos val="l"/>
        <c:majorGridlines/>
        <c:numFmt formatCode="General" sourceLinked="1"/>
        <c:tickLblPos val="nextTo"/>
        <c:txPr>
          <a:bodyPr/>
          <a:lstStyle/>
          <a:p>
            <a:pPr>
              <a:defRPr sz="800" baseline="0">
                <a:latin typeface="Calibri"/>
              </a:defRPr>
            </a:pPr>
            <a:endParaRPr lang="en-US"/>
          </a:p>
        </c:txPr>
        <c:crossAx val="50160001"/>
        <c:crosses val="autoZero"/>
        <c:crossBetween val="between"/>
      </c:valAx>
    </c:plotArea>
    <c:legend>
      <c:legendPos val="b"/>
      <c:layout/>
      <c:txPr>
        <a:bodyPr/>
        <a:lstStyle/>
        <a:p>
          <a:pPr>
            <a:defRPr sz="800" baseline="0">
              <a:latin typeface="Calibri"/>
            </a:defRPr>
          </a:pPr>
          <a:endParaRPr lang="en-US"/>
        </a:p>
      </c:txPr>
    </c:legend>
    <c:plotVisOnly val="1"/>
  </c:chart>
  <c:spPr>
    <a:ln>
      <a:noFill/>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0246B"/>
                </a:solidFill>
                <a:latin typeface="Calibri"/>
              </a:defRPr>
            </a:pPr>
            <a:r>
              <a:rPr lang="en-US" sz="1100" baseline="0">
                <a:solidFill>
                  <a:srgbClr val="00246B"/>
                </a:solidFill>
                <a:latin typeface="Calibri"/>
              </a:rPr>
              <a:t>Múltiplo al que cotizó, trimestre a trimestre</a:t>
            </a:r>
          </a:p>
        </c:rich>
      </c:tx>
      <c:layout/>
    </c:title>
    <c:plotArea>
      <c:layout/>
      <c:lineChart>
        <c:grouping val="standard"/>
        <c:ser>
          <c:idx val="0"/>
          <c:order val="0"/>
          <c:tx>
            <c:v>EV / EBITDA UDM</c:v>
          </c:tx>
          <c:spPr>
            <a:ln w="22225">
              <a:solidFill>
                <a:srgbClr val="00246B"/>
              </a:solidFill>
            </a:ln>
          </c:spPr>
          <c:marker>
            <c:symbol val="none"/>
          </c:marker>
          <c:cat>
            <c:strRef>
              <c:f>Valuación!$B$28:$AA$28</c:f>
              <c:strCache>
                <c:ptCount val="26"/>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pt idx="18">
                  <c:v>2024Q3</c:v>
                </c:pt>
                <c:pt idx="19">
                  <c:v>2024Q4</c:v>
                </c:pt>
                <c:pt idx="20">
                  <c:v>2025Q1</c:v>
                </c:pt>
                <c:pt idx="21">
                  <c:v>2025Q2</c:v>
                </c:pt>
                <c:pt idx="22">
                  <c:v>2025Q3</c:v>
                </c:pt>
                <c:pt idx="23">
                  <c:v>2025Q4</c:v>
                </c:pt>
                <c:pt idx="24">
                  <c:v>2026Q1</c:v>
                </c:pt>
                <c:pt idx="25">
                  <c:v>2026Q2</c:v>
                </c:pt>
              </c:strCache>
            </c:strRef>
          </c:cat>
          <c:val>
            <c:numRef>
              <c:f>Valuación!$B$32:$AA$32</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marker val="1"/>
        <c:axId val="50170001"/>
        <c:axId val="50170002"/>
      </c:lineChart>
      <c:catAx>
        <c:axId val="50170001"/>
        <c:scaling>
          <c:orientation val="minMax"/>
        </c:scaling>
        <c:axPos val="b"/>
        <c:tickLblPos val="nextTo"/>
        <c:txPr>
          <a:bodyPr rot="-2700000" vert="horz"/>
          <a:lstStyle/>
          <a:p>
            <a:pPr>
              <a:defRPr sz="800" baseline="0">
                <a:latin typeface="Calibri"/>
              </a:defRPr>
            </a:pPr>
            <a:endParaRPr lang="en-US"/>
          </a:p>
        </c:txPr>
        <c:crossAx val="50170002"/>
        <c:crosses val="autoZero"/>
        <c:auto val="1"/>
        <c:lblAlgn val="ctr"/>
        <c:lblOffset val="100"/>
      </c:catAx>
      <c:valAx>
        <c:axId val="50170002"/>
        <c:scaling>
          <c:orientation val="minMax"/>
        </c:scaling>
        <c:axPos val="l"/>
        <c:majorGridlines/>
        <c:numFmt formatCode="General" sourceLinked="1"/>
        <c:tickLblPos val="nextTo"/>
        <c:txPr>
          <a:bodyPr/>
          <a:lstStyle/>
          <a:p>
            <a:pPr>
              <a:defRPr sz="800" baseline="0">
                <a:latin typeface="Calibri"/>
              </a:defRPr>
            </a:pPr>
            <a:endParaRPr lang="en-US"/>
          </a:p>
        </c:txPr>
        <c:crossAx val="50170001"/>
        <c:crosses val="autoZero"/>
        <c:crossBetween val="between"/>
      </c:valAx>
    </c:plotArea>
    <c:legend>
      <c:legendPos val="b"/>
      <c:layout/>
      <c:txPr>
        <a:bodyPr/>
        <a:lstStyle/>
        <a:p>
          <a:pPr>
            <a:defRPr sz="800" baseline="0">
              <a:latin typeface="Calibri"/>
            </a:defRPr>
          </a:pPr>
          <a:endParaRPr lang="en-US"/>
        </a:p>
      </c:txPr>
    </c:legend>
    <c:plotVisOnly val="1"/>
  </c:chart>
  <c:spPr>
    <a:ln>
      <a:noFill/>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0246B"/>
                </a:solidFill>
                <a:latin typeface="Calibri"/>
              </a:defRPr>
            </a:pPr>
            <a:r>
              <a:rPr lang="en-US" sz="1100" baseline="0">
                <a:solidFill>
                  <a:srgbClr val="00246B"/>
                </a:solidFill>
                <a:latin typeface="Calibri"/>
              </a:rPr>
              <a:t>Ingresos por segmento</a:t>
            </a:r>
          </a:p>
        </c:rich>
      </c:tx>
      <c:layout/>
    </c:title>
    <c:plotArea>
      <c:layout/>
      <c:barChart>
        <c:barDir val="col"/>
        <c:grouping val="stacked"/>
        <c:ser>
          <c:idx val="0"/>
          <c:order val="0"/>
          <c:tx>
            <c:v>Upstream</c:v>
          </c:tx>
          <c:spPr>
            <a:solidFill>
              <a:srgbClr val="0054EB"/>
            </a:solidFill>
          </c:spPr>
          <c:cat>
            <c:strRef>
              <c:f>Segmentos!$B$4:$AA$4</c:f>
              <c:strCache>
                <c:ptCount val="26"/>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pt idx="18">
                  <c:v>2024Q3</c:v>
                </c:pt>
                <c:pt idx="19">
                  <c:v>2024Q4</c:v>
                </c:pt>
                <c:pt idx="20">
                  <c:v>2025Q1</c:v>
                </c:pt>
                <c:pt idx="21">
                  <c:v>2025Q2</c:v>
                </c:pt>
                <c:pt idx="22">
                  <c:v>2025Q3</c:v>
                </c:pt>
                <c:pt idx="23">
                  <c:v>2025Q4</c:v>
                </c:pt>
                <c:pt idx="24">
                  <c:v>2026Q1</c:v>
                </c:pt>
                <c:pt idx="25">
                  <c:v>2026Q2</c:v>
                </c:pt>
              </c:strCache>
            </c:strRef>
          </c:cat>
          <c:val>
            <c:numRef>
              <c:f>Segmentos!$B$6:$AA$6</c:f>
              <c:numCache>
                <c:formatCode>General</c:formatCode>
                <c:ptCount val="26"/>
                <c:pt idx="0">
                  <c:v>1316104013.766902</c:v>
                </c:pt>
                <c:pt idx="1">
                  <c:v>801958021.4247153</c:v>
                </c:pt>
                <c:pt idx="2">
                  <c:v>1078219318.407956</c:v>
                </c:pt>
                <c:pt idx="3">
                  <c:v>973906989.3017389</c:v>
                </c:pt>
                <c:pt idx="4">
                  <c:v>1246764805.087437</c:v>
                </c:pt>
                <c:pt idx="5">
                  <c:v>1385840690.285953</c:v>
                </c:pt>
                <c:pt idx="6">
                  <c:v>1602876299.128315</c:v>
                </c:pt>
                <c:pt idx="7">
                  <c:v>1520107850.838733</c:v>
                </c:pt>
                <c:pt idx="8">
                  <c:v>1598000000</c:v>
                </c:pt>
                <c:pt idx="9">
                  <c:v>1810000000</c:v>
                </c:pt>
                <c:pt idx="10">
                  <c:v>2087000000</c:v>
                </c:pt>
                <c:pt idx="12">
                  <c:v>1828000000</c:v>
                </c:pt>
                <c:pt idx="13">
                  <c:v>1896000000</c:v>
                </c:pt>
                <c:pt idx="14">
                  <c:v>1920000000</c:v>
                </c:pt>
                <c:pt idx="15">
                  <c:v>1710000000</c:v>
                </c:pt>
                <c:pt idx="16">
                  <c:v>1947000000</c:v>
                </c:pt>
                <c:pt idx="17">
                  <c:v>2172000000</c:v>
                </c:pt>
                <c:pt idx="18">
                  <c:v>2150000000</c:v>
                </c:pt>
                <c:pt idx="19">
                  <c:v>1969000000</c:v>
                </c:pt>
                <c:pt idx="20">
                  <c:v>2067000000</c:v>
                </c:pt>
                <c:pt idx="21">
                  <c:v>1895000000</c:v>
                </c:pt>
                <c:pt idx="22">
                  <c:v>1967000000</c:v>
                </c:pt>
                <c:pt idx="23">
                  <c:v>1646000000</c:v>
                </c:pt>
                <c:pt idx="24">
                  <c:v>2021000000</c:v>
                </c:pt>
                <c:pt idx="25">
                  <c:v>2741000000</c:v>
                </c:pt>
              </c:numCache>
            </c:numRef>
          </c:val>
        </c:ser>
        <c:ser>
          <c:idx val="1"/>
          <c:order val="1"/>
          <c:tx>
            <c:v>Midstream y Downstream</c:v>
          </c:tx>
          <c:spPr>
            <a:solidFill>
              <a:srgbClr val="F0A830"/>
            </a:solidFill>
          </c:spPr>
          <c:cat>
            <c:strRef>
              <c:f>Segmentos!$B$4:$AA$4</c:f>
              <c:strCache>
                <c:ptCount val="26"/>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pt idx="18">
                  <c:v>2024Q3</c:v>
                </c:pt>
                <c:pt idx="19">
                  <c:v>2024Q4</c:v>
                </c:pt>
                <c:pt idx="20">
                  <c:v>2025Q1</c:v>
                </c:pt>
                <c:pt idx="21">
                  <c:v>2025Q2</c:v>
                </c:pt>
                <c:pt idx="22">
                  <c:v>2025Q3</c:v>
                </c:pt>
                <c:pt idx="23">
                  <c:v>2025Q4</c:v>
                </c:pt>
                <c:pt idx="24">
                  <c:v>2026Q1</c:v>
                </c:pt>
                <c:pt idx="25">
                  <c:v>2026Q2</c:v>
                </c:pt>
              </c:strCache>
            </c:strRef>
          </c:cat>
          <c:val>
            <c:numRef>
              <c:f>Segmentos!$B$7:$AA$7</c:f>
              <c:numCache>
                <c:formatCode>General</c:formatCode>
                <c:ptCount val="26"/>
                <c:pt idx="16">
                  <c:v>3790000000</c:v>
                </c:pt>
                <c:pt idx="19">
                  <c:v>4071000000</c:v>
                </c:pt>
                <c:pt idx="20">
                  <c:v>3930000000</c:v>
                </c:pt>
                <c:pt idx="21">
                  <c:v>3741000000</c:v>
                </c:pt>
                <c:pt idx="22">
                  <c:v>3721000000</c:v>
                </c:pt>
                <c:pt idx="23">
                  <c:v>3958000000</c:v>
                </c:pt>
                <c:pt idx="24">
                  <c:v>4257000000</c:v>
                </c:pt>
                <c:pt idx="25">
                  <c:v>5682000000</c:v>
                </c:pt>
              </c:numCache>
            </c:numRef>
          </c:val>
        </c:ser>
        <c:ser>
          <c:idx val="2"/>
          <c:order val="2"/>
          <c:tx>
            <c:v>Downstream</c:v>
          </c:tx>
          <c:spPr>
            <a:solidFill>
              <a:srgbClr val="F0A830"/>
            </a:solidFill>
          </c:spPr>
          <c:cat>
            <c:strRef>
              <c:f>Segmentos!$B$4:$AA$4</c:f>
              <c:strCache>
                <c:ptCount val="26"/>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pt idx="18">
                  <c:v>2024Q3</c:v>
                </c:pt>
                <c:pt idx="19">
                  <c:v>2024Q4</c:v>
                </c:pt>
                <c:pt idx="20">
                  <c:v>2025Q1</c:v>
                </c:pt>
                <c:pt idx="21">
                  <c:v>2025Q2</c:v>
                </c:pt>
                <c:pt idx="22">
                  <c:v>2025Q3</c:v>
                </c:pt>
                <c:pt idx="23">
                  <c:v>2025Q4</c:v>
                </c:pt>
                <c:pt idx="24">
                  <c:v>2026Q1</c:v>
                </c:pt>
                <c:pt idx="25">
                  <c:v>2026Q2</c:v>
                </c:pt>
              </c:strCache>
            </c:strRef>
          </c:cat>
          <c:val>
            <c:numRef>
              <c:f>Segmentos!$B$8:$AA$8</c:f>
              <c:numCache>
                <c:formatCode>General</c:formatCode>
                <c:ptCount val="26"/>
                <c:pt idx="0">
                  <c:v>2356625496.103193</c:v>
                </c:pt>
                <c:pt idx="1">
                  <c:v>1554104709.625965</c:v>
                </c:pt>
                <c:pt idx="2">
                  <c:v>1833400245.514168</c:v>
                </c:pt>
                <c:pt idx="3">
                  <c:v>1951914323.795003</c:v>
                </c:pt>
                <c:pt idx="4">
                  <c:v>2274530991.849997</c:v>
                </c:pt>
                <c:pt idx="5">
                  <c:v>2777865508.383398</c:v>
                </c:pt>
                <c:pt idx="6">
                  <c:v>2866391750.849616</c:v>
                </c:pt>
                <c:pt idx="7">
                  <c:v>3098686365.322042</c:v>
                </c:pt>
                <c:pt idx="12">
                  <c:v>3753000000</c:v>
                </c:pt>
                <c:pt idx="13">
                  <c:v>3654000000</c:v>
                </c:pt>
                <c:pt idx="15">
                  <c:v>3920000000</c:v>
                </c:pt>
                <c:pt idx="17">
                  <c:v>3957000000</c:v>
                </c:pt>
                <c:pt idx="18">
                  <c:v>4127000000</c:v>
                </c:pt>
              </c:numCache>
            </c:numRef>
          </c:val>
        </c:ser>
        <c:ser>
          <c:idx val="3"/>
          <c:order val="3"/>
          <c:tx>
            <c:v>GNL y gas integrado</c:v>
          </c:tx>
          <c:spPr>
            <a:solidFill>
              <a:srgbClr val="3FB98A"/>
            </a:solidFill>
          </c:spPr>
          <c:cat>
            <c:strRef>
              <c:f>Segmentos!$B$4:$AA$4</c:f>
              <c:strCache>
                <c:ptCount val="26"/>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pt idx="18">
                  <c:v>2024Q3</c:v>
                </c:pt>
                <c:pt idx="19">
                  <c:v>2024Q4</c:v>
                </c:pt>
                <c:pt idx="20">
                  <c:v>2025Q1</c:v>
                </c:pt>
                <c:pt idx="21">
                  <c:v>2025Q2</c:v>
                </c:pt>
                <c:pt idx="22">
                  <c:v>2025Q3</c:v>
                </c:pt>
                <c:pt idx="23">
                  <c:v>2025Q4</c:v>
                </c:pt>
                <c:pt idx="24">
                  <c:v>2026Q1</c:v>
                </c:pt>
                <c:pt idx="25">
                  <c:v>2026Q2</c:v>
                </c:pt>
              </c:strCache>
            </c:strRef>
          </c:cat>
          <c:val>
            <c:numRef>
              <c:f>Segmentos!$B$12:$AA$12</c:f>
              <c:numCache>
                <c:formatCode>General</c:formatCode>
                <c:ptCount val="26"/>
                <c:pt idx="16">
                  <c:v>366000000</c:v>
                </c:pt>
                <c:pt idx="19">
                  <c:v>361000000</c:v>
                </c:pt>
                <c:pt idx="20">
                  <c:v>400000000</c:v>
                </c:pt>
                <c:pt idx="21">
                  <c:v>565000000</c:v>
                </c:pt>
                <c:pt idx="22">
                  <c:v>662000000</c:v>
                </c:pt>
                <c:pt idx="23">
                  <c:v>338000000</c:v>
                </c:pt>
                <c:pt idx="24">
                  <c:v>371000000</c:v>
                </c:pt>
                <c:pt idx="25">
                  <c:v>582000000</c:v>
                </c:pt>
              </c:numCache>
            </c:numRef>
          </c:val>
        </c:ser>
        <c:ser>
          <c:idx val="4"/>
          <c:order val="4"/>
          <c:tx>
            <c:v>Nuevas energías</c:v>
          </c:tx>
          <c:spPr>
            <a:solidFill>
              <a:srgbClr val="75AADB"/>
            </a:solidFill>
          </c:spPr>
          <c:cat>
            <c:strRef>
              <c:f>Segmentos!$B$4:$AA$4</c:f>
              <c:strCache>
                <c:ptCount val="26"/>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pt idx="18">
                  <c:v>2024Q3</c:v>
                </c:pt>
                <c:pt idx="19">
                  <c:v>2024Q4</c:v>
                </c:pt>
                <c:pt idx="20">
                  <c:v>2025Q1</c:v>
                </c:pt>
                <c:pt idx="21">
                  <c:v>2025Q2</c:v>
                </c:pt>
                <c:pt idx="22">
                  <c:v>2025Q3</c:v>
                </c:pt>
                <c:pt idx="23">
                  <c:v>2025Q4</c:v>
                </c:pt>
                <c:pt idx="24">
                  <c:v>2026Q1</c:v>
                </c:pt>
                <c:pt idx="25">
                  <c:v>2026Q2</c:v>
                </c:pt>
              </c:strCache>
            </c:strRef>
          </c:cat>
          <c:val>
            <c:numRef>
              <c:f>Segmentos!$B$13:$AA$13</c:f>
              <c:numCache>
                <c:formatCode>General</c:formatCode>
                <c:ptCount val="26"/>
                <c:pt idx="16">
                  <c:v>78000000</c:v>
                </c:pt>
                <c:pt idx="19">
                  <c:v>207000000</c:v>
                </c:pt>
                <c:pt idx="20">
                  <c:v>192000000</c:v>
                </c:pt>
                <c:pt idx="21">
                  <c:v>229000000</c:v>
                </c:pt>
                <c:pt idx="22">
                  <c:v>234000000</c:v>
                </c:pt>
                <c:pt idx="23">
                  <c:v>188000000</c:v>
                </c:pt>
                <c:pt idx="24">
                  <c:v>206000000</c:v>
                </c:pt>
                <c:pt idx="25">
                  <c:v>237000000</c:v>
                </c:pt>
              </c:numCache>
            </c:numRef>
          </c:val>
        </c:ser>
        <c:ser>
          <c:idx val="5"/>
          <c:order val="5"/>
          <c:tx>
            <c:v>Gas y energía</c:v>
          </c:tx>
          <c:spPr>
            <a:solidFill>
              <a:srgbClr val="3FB98A"/>
            </a:solidFill>
          </c:spPr>
          <c:cat>
            <c:strRef>
              <c:f>Segmentos!$B$4:$AA$4</c:f>
              <c:strCache>
                <c:ptCount val="26"/>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pt idx="18">
                  <c:v>2024Q3</c:v>
                </c:pt>
                <c:pt idx="19">
                  <c:v>2024Q4</c:v>
                </c:pt>
                <c:pt idx="20">
                  <c:v>2025Q1</c:v>
                </c:pt>
                <c:pt idx="21">
                  <c:v>2025Q2</c:v>
                </c:pt>
                <c:pt idx="22">
                  <c:v>2025Q3</c:v>
                </c:pt>
                <c:pt idx="23">
                  <c:v>2025Q4</c:v>
                </c:pt>
                <c:pt idx="24">
                  <c:v>2026Q1</c:v>
                </c:pt>
                <c:pt idx="25">
                  <c:v>2026Q2</c:v>
                </c:pt>
              </c:strCache>
            </c:strRef>
          </c:cat>
          <c:val>
            <c:numRef>
              <c:f>Segmentos!$B$11:$AA$11</c:f>
              <c:numCache>
                <c:formatCode>General</c:formatCode>
                <c:ptCount val="26"/>
                <c:pt idx="0">
                  <c:v>476704861.0158926</c:v>
                </c:pt>
                <c:pt idx="1">
                  <c:v>448687100.0114306</c:v>
                </c:pt>
                <c:pt idx="2">
                  <c:v>544810657.9937011</c:v>
                </c:pt>
                <c:pt idx="3">
                  <c:v>385607462.7371632</c:v>
                </c:pt>
                <c:pt idx="4">
                  <c:v>372408359.2127255</c:v>
                </c:pt>
                <c:pt idx="5">
                  <c:v>583042976.1274475</c:v>
                </c:pt>
                <c:pt idx="6">
                  <c:v>751824772.7883452</c:v>
                </c:pt>
                <c:pt idx="7">
                  <c:v>539246043.8572643</c:v>
                </c:pt>
                <c:pt idx="8">
                  <c:v>149000000</c:v>
                </c:pt>
                <c:pt idx="9">
                  <c:v>269000000</c:v>
                </c:pt>
                <c:pt idx="10">
                  <c:v>284000000</c:v>
                </c:pt>
                <c:pt idx="12">
                  <c:v>506000000</c:v>
                </c:pt>
                <c:pt idx="13">
                  <c:v>728000000</c:v>
                </c:pt>
                <c:pt idx="14">
                  <c:v>290000000</c:v>
                </c:pt>
                <c:pt idx="15">
                  <c:v>318000000</c:v>
                </c:pt>
                <c:pt idx="17">
                  <c:v>862000000</c:v>
                </c:pt>
                <c:pt idx="18">
                  <c:v>1057000000</c:v>
                </c:pt>
              </c:numCache>
            </c:numRef>
          </c:val>
        </c:ser>
        <c:overlap val="100"/>
        <c:axId val="50180001"/>
        <c:axId val="50180002"/>
      </c:barChart>
      <c:catAx>
        <c:axId val="50180001"/>
        <c:scaling>
          <c:orientation val="minMax"/>
        </c:scaling>
        <c:axPos val="b"/>
        <c:tickLblPos val="nextTo"/>
        <c:txPr>
          <a:bodyPr rot="-2700000" vert="horz"/>
          <a:lstStyle/>
          <a:p>
            <a:pPr>
              <a:defRPr sz="800" baseline="0">
                <a:latin typeface="Calibri"/>
              </a:defRPr>
            </a:pPr>
            <a:endParaRPr lang="en-US"/>
          </a:p>
        </c:txPr>
        <c:crossAx val="50180002"/>
        <c:crosses val="autoZero"/>
        <c:auto val="1"/>
        <c:lblAlgn val="ctr"/>
        <c:lblOffset val="100"/>
      </c:catAx>
      <c:valAx>
        <c:axId val="50180002"/>
        <c:scaling>
          <c:orientation val="minMax"/>
        </c:scaling>
        <c:axPos val="l"/>
        <c:majorGridlines/>
        <c:numFmt formatCode="General" sourceLinked="1"/>
        <c:tickLblPos val="nextTo"/>
        <c:txPr>
          <a:bodyPr/>
          <a:lstStyle/>
          <a:p>
            <a:pPr>
              <a:defRPr sz="800" baseline="0">
                <a:latin typeface="Calibri"/>
              </a:defRPr>
            </a:pPr>
            <a:endParaRPr lang="en-US"/>
          </a:p>
        </c:txPr>
        <c:crossAx val="50180001"/>
        <c:crosses val="autoZero"/>
        <c:crossBetween val="between"/>
      </c:valAx>
    </c:plotArea>
    <c:legend>
      <c:legendPos val="b"/>
      <c:layout/>
      <c:txPr>
        <a:bodyPr/>
        <a:lstStyle/>
        <a:p>
          <a:pPr>
            <a:defRPr sz="800" baseline="0">
              <a:latin typeface="Calibri"/>
            </a:defRPr>
          </a:pPr>
          <a:endParaRPr lang="en-US"/>
        </a:p>
      </c:txPr>
    </c:legend>
    <c:plotVisOnly val="1"/>
  </c:chart>
  <c:spPr>
    <a:ln>
      <a:noFill/>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solidFill>
                  <a:srgbClr val="00246B"/>
                </a:solidFill>
                <a:latin typeface="Calibri"/>
              </a:defRPr>
            </a:pPr>
            <a:r>
              <a:rPr lang="en-US" sz="1100" baseline="0">
                <a:solidFill>
                  <a:srgbClr val="00246B"/>
                </a:solidFill>
                <a:latin typeface="Calibri"/>
              </a:rPr>
              <a:t>Producción y lo que deja cada barril</a:t>
            </a:r>
          </a:p>
        </c:rich>
      </c:tx>
      <c:layout/>
    </c:title>
    <c:plotArea>
      <c:layout/>
      <c:barChart>
        <c:barDir val="col"/>
        <c:grouping val="clustered"/>
        <c:ser>
          <c:idx val="0"/>
          <c:order val="0"/>
          <c:tx>
            <c:v>Producción (kboe/d)</c:v>
          </c:tx>
          <c:spPr>
            <a:solidFill>
              <a:srgbClr val="5F7099"/>
            </a:solidFill>
          </c:spPr>
          <c:cat>
            <c:strRef>
              <c:f>Operativo!$B$4:$AA$4</c:f>
              <c:strCache>
                <c:ptCount val="26"/>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pt idx="18">
                  <c:v>2024Q3</c:v>
                </c:pt>
                <c:pt idx="19">
                  <c:v>2024Q4</c:v>
                </c:pt>
                <c:pt idx="20">
                  <c:v>2025Q1</c:v>
                </c:pt>
                <c:pt idx="21">
                  <c:v>2025Q2</c:v>
                </c:pt>
                <c:pt idx="22">
                  <c:v>2025Q3</c:v>
                </c:pt>
                <c:pt idx="23">
                  <c:v>2025Q4</c:v>
                </c:pt>
                <c:pt idx="24">
                  <c:v>2026Q1</c:v>
                </c:pt>
                <c:pt idx="25">
                  <c:v>2026Q2</c:v>
                </c:pt>
              </c:strCache>
            </c:strRef>
          </c:cat>
          <c:val>
            <c:numRef>
              <c:f>Operativo!$B$6:$AA$6</c:f>
              <c:numCache>
                <c:formatCode>General</c:formatCode>
                <c:ptCount val="26"/>
                <c:pt idx="11">
                  <c:v>499.2</c:v>
                </c:pt>
                <c:pt idx="12">
                  <c:v>510.6</c:v>
                </c:pt>
                <c:pt idx="13">
                  <c:v>513.1</c:v>
                </c:pt>
                <c:pt idx="14">
                  <c:v>519.7</c:v>
                </c:pt>
                <c:pt idx="15">
                  <c:v>510.7</c:v>
                </c:pt>
                <c:pt idx="16">
                  <c:v>526</c:v>
                </c:pt>
                <c:pt idx="17">
                  <c:v>539</c:v>
                </c:pt>
                <c:pt idx="18">
                  <c:v>558.7</c:v>
                </c:pt>
                <c:pt idx="19">
                  <c:v>520.6</c:v>
                </c:pt>
                <c:pt idx="20">
                  <c:v>552.1</c:v>
                </c:pt>
                <c:pt idx="21">
                  <c:v>545.7</c:v>
                </c:pt>
                <c:pt idx="22">
                  <c:v>523.1</c:v>
                </c:pt>
                <c:pt idx="23">
                  <c:v>488</c:v>
                </c:pt>
                <c:pt idx="24">
                  <c:v>525</c:v>
                </c:pt>
                <c:pt idx="25">
                  <c:v>544.4</c:v>
                </c:pt>
              </c:numCache>
            </c:numRef>
          </c:val>
        </c:ser>
        <c:axId val="50190001"/>
        <c:axId val="50190002"/>
      </c:barChart>
      <c:lineChart>
        <c:grouping val="standard"/>
        <c:ser>
          <c:idx val="1"/>
          <c:order val="1"/>
          <c:tx>
            <c:v>EBITDA por boe (USD)</c:v>
          </c:tx>
          <c:spPr>
            <a:ln w="22225">
              <a:solidFill>
                <a:srgbClr val="F0A830"/>
              </a:solidFill>
            </a:ln>
          </c:spPr>
          <c:marker>
            <c:symbol val="none"/>
          </c:marker>
          <c:cat>
            <c:strRef>
              <c:f>Operativo!$B$4:$AA$4</c:f>
              <c:strCache>
                <c:ptCount val="26"/>
                <c:pt idx="0">
                  <c:v>2020Q1</c:v>
                </c:pt>
                <c:pt idx="1">
                  <c:v>2020Q2</c:v>
                </c:pt>
                <c:pt idx="2">
                  <c:v>2020Q3</c:v>
                </c:pt>
                <c:pt idx="3">
                  <c:v>2020Q4</c:v>
                </c:pt>
                <c:pt idx="4">
                  <c:v>2021Q1</c:v>
                </c:pt>
                <c:pt idx="5">
                  <c:v>2021Q2</c:v>
                </c:pt>
                <c:pt idx="6">
                  <c:v>2021Q3</c:v>
                </c:pt>
                <c:pt idx="7">
                  <c:v>2021Q4</c:v>
                </c:pt>
                <c:pt idx="8">
                  <c:v>2022Q1</c:v>
                </c:pt>
                <c:pt idx="9">
                  <c:v>2022Q2</c:v>
                </c:pt>
                <c:pt idx="10">
                  <c:v>2022Q3</c:v>
                </c:pt>
                <c:pt idx="11">
                  <c:v>2022Q4</c:v>
                </c:pt>
                <c:pt idx="12">
                  <c:v>2023Q1</c:v>
                </c:pt>
                <c:pt idx="13">
                  <c:v>2023Q2</c:v>
                </c:pt>
                <c:pt idx="14">
                  <c:v>2023Q3</c:v>
                </c:pt>
                <c:pt idx="15">
                  <c:v>2023Q4</c:v>
                </c:pt>
                <c:pt idx="16">
                  <c:v>2024Q1</c:v>
                </c:pt>
                <c:pt idx="17">
                  <c:v>2024Q2</c:v>
                </c:pt>
                <c:pt idx="18">
                  <c:v>2024Q3</c:v>
                </c:pt>
                <c:pt idx="19">
                  <c:v>2024Q4</c:v>
                </c:pt>
                <c:pt idx="20">
                  <c:v>2025Q1</c:v>
                </c:pt>
                <c:pt idx="21">
                  <c:v>2025Q2</c:v>
                </c:pt>
                <c:pt idx="22">
                  <c:v>2025Q3</c:v>
                </c:pt>
                <c:pt idx="23">
                  <c:v>2025Q4</c:v>
                </c:pt>
                <c:pt idx="24">
                  <c:v>2026Q1</c:v>
                </c:pt>
                <c:pt idx="25">
                  <c:v>2026Q2</c:v>
                </c:pt>
              </c:strCache>
            </c:strRef>
          </c:cat>
          <c:val>
            <c:numRef>
              <c:f>Operativo!$B$19:$AA$19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marker val="1"/>
        <c:axId val="60190001"/>
        <c:axId val="60190002"/>
      </c:lineChart>
      <c:catAx>
        <c:axId val="50190001"/>
        <c:scaling>
          <c:orientation val="minMax"/>
        </c:scaling>
        <c:axPos val="b"/>
        <c:tickLblPos val="nextTo"/>
        <c:txPr>
          <a:bodyPr rot="-2700000" vert="horz"/>
          <a:lstStyle/>
          <a:p>
            <a:pPr>
              <a:defRPr sz="800" baseline="0">
                <a:latin typeface="Calibri"/>
              </a:defRPr>
            </a:pPr>
            <a:endParaRPr lang="en-US"/>
          </a:p>
        </c:txPr>
        <c:crossAx val="50190002"/>
        <c:crosses val="autoZero"/>
        <c:auto val="1"/>
        <c:lblAlgn val="ctr"/>
        <c:lblOffset val="100"/>
      </c:catAx>
      <c:valAx>
        <c:axId val="50190002"/>
        <c:scaling>
          <c:orientation val="minMax"/>
        </c:scaling>
        <c:axPos val="l"/>
        <c:majorGridlines/>
        <c:numFmt formatCode="General" sourceLinked="1"/>
        <c:tickLblPos val="nextTo"/>
        <c:txPr>
          <a:bodyPr/>
          <a:lstStyle/>
          <a:p>
            <a:pPr>
              <a:defRPr sz="800" baseline="0">
                <a:latin typeface="Calibri"/>
              </a:defRPr>
            </a:pPr>
            <a:endParaRPr lang="en-US"/>
          </a:p>
        </c:txPr>
        <c:crossAx val="50190001"/>
        <c:crosses val="autoZero"/>
        <c:crossBetween val="between"/>
      </c:valAx>
      <c:valAx>
        <c:axId val="60190002"/>
        <c:scaling>
          <c:orientation val="minMax"/>
        </c:scaling>
        <c:axPos val="r"/>
        <c:numFmt formatCode="General" sourceLinked="1"/>
        <c:tickLblPos val="nextTo"/>
        <c:txPr>
          <a:bodyPr/>
          <a:lstStyle/>
          <a:p>
            <a:pPr>
              <a:defRPr sz="800" baseline="0">
                <a:latin typeface="Calibri"/>
              </a:defRPr>
            </a:pPr>
            <a:endParaRPr lang="en-US"/>
          </a:p>
        </c:txPr>
        <c:crossAx val="60190001"/>
        <c:crosses val="max"/>
        <c:crossBetween val="between"/>
      </c:valAx>
      <c:catAx>
        <c:axId val="60190001"/>
        <c:scaling>
          <c:orientation val="minMax"/>
        </c:scaling>
        <c:delete val="1"/>
        <c:axPos val="b"/>
        <c:tickLblPos val="none"/>
        <c:crossAx val="60190002"/>
        <c:crosses val="autoZero"/>
        <c:auto val="1"/>
        <c:lblAlgn val="ctr"/>
        <c:lblOffset val="100"/>
      </c:catAx>
    </c:plotArea>
    <c:legend>
      <c:legendPos val="b"/>
      <c:layout/>
      <c:txPr>
        <a:bodyPr/>
        <a:lstStyle/>
        <a:p>
          <a:pPr>
            <a:defRPr sz="800" baseline="0">
              <a:latin typeface="Calibri"/>
            </a:defRPr>
          </a:pPr>
          <a:endParaRPr lang="en-US"/>
        </a:p>
      </c:txPr>
    </c:legend>
    <c:plotVisOnly val="1"/>
  </c:chart>
  <c:spPr>
    <a:ln>
      <a:noFill/>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latin typeface="Calibri"/>
              </a:defRPr>
            </a:pPr>
            <a:r>
              <a:rPr lang="en-US" sz="1100" baseline="0">
                <a:latin typeface="Calibri"/>
              </a:rPr>
              <a:t>Escalera de vencimientos</a:t>
            </a:r>
          </a:p>
        </c:rich>
      </c:tx>
      <c:layout/>
    </c:title>
    <c:plotArea>
      <c:layout/>
      <c:barChart>
        <c:barDir val="col"/>
        <c:grouping val="clustered"/>
        <c:ser>
          <c:idx val="0"/>
          <c:order val="0"/>
          <c:tx>
            <c:v>Vencimientos por año</c:v>
          </c:tx>
          <c:spPr>
            <a:solidFill>
              <a:srgbClr val="C0442A"/>
            </a:solidFill>
          </c:spPr>
          <c:cat>
            <c:numRef>
              <c:f>Deuda!$A$6:$A$15</c:f>
              <c:numCache>
                <c:formatCode>General</c:formatCode>
                <c:ptCount val="10"/>
                <c:pt idx="0">
                  <c:v>2026</c:v>
                </c:pt>
                <c:pt idx="1">
                  <c:v>2027</c:v>
                </c:pt>
                <c:pt idx="2">
                  <c:v>2028</c:v>
                </c:pt>
                <c:pt idx="3">
                  <c:v>2029</c:v>
                </c:pt>
                <c:pt idx="4">
                  <c:v>2030</c:v>
                </c:pt>
                <c:pt idx="5">
                  <c:v>2031</c:v>
                </c:pt>
                <c:pt idx="6">
                  <c:v>2032</c:v>
                </c:pt>
                <c:pt idx="7">
                  <c:v>2033</c:v>
                </c:pt>
                <c:pt idx="8">
                  <c:v>2034</c:v>
                </c:pt>
                <c:pt idx="9">
                  <c:v>2047</c:v>
                </c:pt>
              </c:numCache>
            </c:numRef>
          </c:cat>
          <c:val>
            <c:numRef>
              <c:f>Deuda!$B$6:$B$15</c:f>
              <c:numCache>
                <c:formatCode>General</c:formatCode>
                <c:ptCount val="10"/>
                <c:pt idx="0">
                  <c:v>253000000</c:v>
                </c:pt>
                <c:pt idx="1">
                  <c:v>1338000000</c:v>
                </c:pt>
                <c:pt idx="2">
                  <c:v>616000000</c:v>
                </c:pt>
                <c:pt idx="3">
                  <c:v>1403000000</c:v>
                </c:pt>
                <c:pt idx="4">
                  <c:v>285000000</c:v>
                </c:pt>
                <c:pt idx="5">
                  <c:v>1901000000</c:v>
                </c:pt>
                <c:pt idx="6">
                  <c:v>366000000</c:v>
                </c:pt>
                <c:pt idx="7">
                  <c:v>570000000</c:v>
                </c:pt>
                <c:pt idx="8">
                  <c:v>1687000000</c:v>
                </c:pt>
                <c:pt idx="9">
                  <c:v>531000000</c:v>
                </c:pt>
              </c:numCache>
            </c:numRef>
          </c:val>
        </c:ser>
        <c:axId val="50200001"/>
        <c:axId val="50200002"/>
      </c:barChart>
      <c:catAx>
        <c:axId val="50200001"/>
        <c:scaling>
          <c:orientation val="minMax"/>
        </c:scaling>
        <c:axPos val="b"/>
        <c:numFmt formatCode="General" sourceLinked="1"/>
        <c:tickLblPos val="nextTo"/>
        <c:txPr>
          <a:bodyPr/>
          <a:lstStyle/>
          <a:p>
            <a:pPr>
              <a:defRPr sz="800" baseline="0">
                <a:latin typeface="Calibri"/>
              </a:defRPr>
            </a:pPr>
            <a:endParaRPr lang="en-US"/>
          </a:p>
        </c:txPr>
        <c:crossAx val="50200002"/>
        <c:crosses val="autoZero"/>
        <c:auto val="1"/>
        <c:lblAlgn val="ctr"/>
        <c:lblOffset val="100"/>
      </c:catAx>
      <c:valAx>
        <c:axId val="50200002"/>
        <c:scaling>
          <c:orientation val="minMax"/>
        </c:scaling>
        <c:axPos val="l"/>
        <c:majorGridlines/>
        <c:numFmt formatCode="General" sourceLinked="1"/>
        <c:tickLblPos val="nextTo"/>
        <c:txPr>
          <a:bodyPr/>
          <a:lstStyle/>
          <a:p>
            <a:pPr>
              <a:defRPr sz="800" baseline="0">
                <a:latin typeface="Calibri"/>
              </a:defRPr>
            </a:pPr>
            <a:endParaRPr lang="en-US"/>
          </a:p>
        </c:txPr>
        <c:crossAx val="5020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hyperlink" Target="#'Resumen'!A1"/><Relationship Id="rId11" Type="http://schemas.openxmlformats.org/officeDocument/2006/relationships/image" Target="../media/image10.png"/><Relationship Id="rId12" Type="http://schemas.openxmlformats.org/officeDocument/2006/relationships/hyperlink" Target="#'Resultados'!A1"/><Relationship Id="rId13" Type="http://schemas.openxmlformats.org/officeDocument/2006/relationships/image" Target="../media/image11.png"/><Relationship Id="rId14" Type="http://schemas.openxmlformats.org/officeDocument/2006/relationships/hyperlink" Target="#'An&#225;lisis'!A1"/><Relationship Id="rId15" Type="http://schemas.openxmlformats.org/officeDocument/2006/relationships/image" Target="../media/image12.png"/><Relationship Id="rId16" Type="http://schemas.openxmlformats.org/officeDocument/2006/relationships/hyperlink" Target="#'Valuaci&#243;n'!A1"/><Relationship Id="rId17" Type="http://schemas.openxmlformats.org/officeDocument/2006/relationships/image" Target="../media/image13.png"/><Relationship Id="rId18" Type="http://schemas.openxmlformats.org/officeDocument/2006/relationships/hyperlink" Target="#'Deuda'!A1"/><Relationship Id="rId19" Type="http://schemas.openxmlformats.org/officeDocument/2006/relationships/image" Target="../media/image14.png"/><Relationship Id="rId20" Type="http://schemas.openxmlformats.org/officeDocument/2006/relationships/chart" Target="../charts/chart1.xml"/><Relationship Id="rId21" Type="http://schemas.openxmlformats.org/officeDocument/2006/relationships/chart" Target="../charts/chart2.xml"/><Relationship Id="rId22" Type="http://schemas.openxmlformats.org/officeDocument/2006/relationships/chart" Target="../charts/chart3.xml"/><Relationship Id="rId23" Type="http://schemas.openxmlformats.org/officeDocument/2006/relationships/chart" Target="../charts/chart4.xml"/><Relationship Id="rId24" Type="http://schemas.openxmlformats.org/officeDocument/2006/relationships/chart" Target="../charts/chart5.xml"/><Relationship Id="rId25" Type="http://schemas.openxmlformats.org/officeDocument/2006/relationships/chart" Target="../charts/chart6.xml"/><Relationship Id="rId26" Type="http://schemas.openxmlformats.org/officeDocument/2006/relationships/chart" Target="../charts/chart7.xml"/><Relationship Id="rId27" Type="http://schemas.openxmlformats.org/officeDocument/2006/relationships/chart" Target="../charts/chart8.xml"/><Relationship Id="rId28" Type="http://schemas.openxmlformats.org/officeDocument/2006/relationships/chart" Target="../charts/chart9.xml"/><Relationship Id="rId29" Type="http://schemas.openxmlformats.org/officeDocument/2006/relationships/chart" Target="../charts/chart10.xml"/><Relationship Id="rId30" Type="http://schemas.openxmlformats.org/officeDocument/2006/relationships/chart" Target="../charts/chart11.xml"/><Relationship Id="rId31" Type="http://schemas.openxmlformats.org/officeDocument/2006/relationships/chart" Target="../charts/chart12.xml"/><Relationship Id="rId32" Type="http://schemas.openxmlformats.org/officeDocument/2006/relationships/chart" Target="../charts/chart1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chart" Target="../charts/chart16.xml"/><Relationship Id="rId4" Type="http://schemas.openxmlformats.org/officeDocument/2006/relationships/chart" Target="../charts/chart17.xml"/><Relationship Id="rId5" Type="http://schemas.openxmlformats.org/officeDocument/2006/relationships/chart" Target="../charts/chart18.xml"/><Relationship Id="rId6"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79</xdr:col>
      <xdr:colOff>188595</xdr:colOff>
      <xdr:row>3</xdr:row>
      <xdr:rowOff>9452</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15238095" cy="580952"/>
        </a:xfrm>
        <a:prstGeom prst="rect">
          <a:avLst/>
        </a:prstGeom>
      </xdr:spPr>
    </xdr:pic>
    <xdr:clientData/>
  </xdr:twoCellAnchor>
  <xdr:twoCellAnchor editAs="absolute">
    <xdr:from>
      <xdr:col>0</xdr:col>
      <xdr:colOff>0</xdr:colOff>
      <xdr:row>3</xdr:row>
      <xdr:rowOff>0</xdr:rowOff>
    </xdr:from>
    <xdr:to>
      <xdr:col>46</xdr:col>
      <xdr:colOff>8429</xdr:colOff>
      <xdr:row>4</xdr:row>
      <xdr:rowOff>9500</xdr:rowOff>
    </xdr:to>
    <xdr:pic>
      <xdr:nvPicPr>
        <xdr:cNvPr id="3" name="Picture 2">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stretch>
          <a:fillRect/>
        </a:stretch>
      </xdr:blipFill>
      <xdr:spPr>
        <a:xfrm>
          <a:off x="0" y="571500"/>
          <a:ext cx="8771429" cy="200000"/>
        </a:xfrm>
        <a:prstGeom prst="rect">
          <a:avLst/>
        </a:prstGeom>
      </xdr:spPr>
    </xdr:pic>
    <xdr:clientData/>
  </xdr:twoCellAnchor>
  <xdr:twoCellAnchor editAs="absolute">
    <xdr:from>
      <xdr:col>50</xdr:col>
      <xdr:colOff>0</xdr:colOff>
      <xdr:row>3</xdr:row>
      <xdr:rowOff>0</xdr:rowOff>
    </xdr:from>
    <xdr:to>
      <xdr:col>56</xdr:col>
      <xdr:colOff>9381</xdr:colOff>
      <xdr:row>4</xdr:row>
      <xdr:rowOff>9500</xdr:rowOff>
    </xdr:to>
    <xdr:pic>
      <xdr:nvPicPr>
        <xdr:cNvPr id="4" name="Picture 3">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3"/>
        <a:stretch>
          <a:fillRect/>
        </a:stretch>
      </xdr:blipFill>
      <xdr:spPr>
        <a:xfrm>
          <a:off x="9525000" y="571500"/>
          <a:ext cx="1152381" cy="200000"/>
        </a:xfrm>
        <a:prstGeom prst="rect">
          <a:avLst/>
        </a:prstGeom>
      </xdr:spPr>
    </xdr:pic>
    <xdr:clientData/>
  </xdr:twoCellAnchor>
  <xdr:twoCellAnchor editAs="absolute">
    <xdr:from>
      <xdr:col>65</xdr:col>
      <xdr:colOff>0</xdr:colOff>
      <xdr:row>3</xdr:row>
      <xdr:rowOff>0</xdr:rowOff>
    </xdr:from>
    <xdr:to>
      <xdr:col>79</xdr:col>
      <xdr:colOff>190143</xdr:colOff>
      <xdr:row>4</xdr:row>
      <xdr:rowOff>9500</xdr:rowOff>
    </xdr:to>
    <xdr:pic>
      <xdr:nvPicPr>
        <xdr:cNvPr id="5" name="Picture 4">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4"/>
        <a:stretch>
          <a:fillRect/>
        </a:stretch>
      </xdr:blipFill>
      <xdr:spPr>
        <a:xfrm>
          <a:off x="12382500" y="571500"/>
          <a:ext cx="2857143" cy="200000"/>
        </a:xfrm>
        <a:prstGeom prst="rect">
          <a:avLst/>
        </a:prstGeom>
      </xdr:spPr>
    </xdr:pic>
    <xdr:clientData/>
  </xdr:twoCellAnchor>
  <xdr:twoCellAnchor editAs="absolute">
    <xdr:from>
      <xdr:col>0</xdr:col>
      <xdr:colOff>0</xdr:colOff>
      <xdr:row>4</xdr:row>
      <xdr:rowOff>0</xdr:rowOff>
    </xdr:from>
    <xdr:to>
      <xdr:col>79</xdr:col>
      <xdr:colOff>188595</xdr:colOff>
      <xdr:row>7</xdr:row>
      <xdr:rowOff>9452</xdr:rowOff>
    </xdr:to>
    <xdr:pic>
      <xdr:nvPicPr>
        <xdr:cNvPr id="6" name="Picture 5">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5"/>
        <a:stretch>
          <a:fillRect/>
        </a:stretch>
      </xdr:blipFill>
      <xdr:spPr>
        <a:xfrm>
          <a:off x="0" y="762000"/>
          <a:ext cx="15238095" cy="580952"/>
        </a:xfrm>
        <a:prstGeom prst="rect">
          <a:avLst/>
        </a:prstGeom>
      </xdr:spPr>
    </xdr:pic>
    <xdr:clientData/>
  </xdr:twoCellAnchor>
  <xdr:twoCellAnchor editAs="absolute">
    <xdr:from>
      <xdr:col>0</xdr:col>
      <xdr:colOff>0</xdr:colOff>
      <xdr:row>7</xdr:row>
      <xdr:rowOff>0</xdr:rowOff>
    </xdr:from>
    <xdr:to>
      <xdr:col>32</xdr:col>
      <xdr:colOff>8762</xdr:colOff>
      <xdr:row>8</xdr:row>
      <xdr:rowOff>9500</xdr:rowOff>
    </xdr:to>
    <xdr:pic>
      <xdr:nvPicPr>
        <xdr:cNvPr id="7" name="Picture 6">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6"/>
        <a:stretch>
          <a:fillRect/>
        </a:stretch>
      </xdr:blipFill>
      <xdr:spPr>
        <a:xfrm>
          <a:off x="0" y="1333500"/>
          <a:ext cx="6104762" cy="200000"/>
        </a:xfrm>
        <a:prstGeom prst="rect">
          <a:avLst/>
        </a:prstGeom>
      </xdr:spPr>
    </xdr:pic>
    <xdr:clientData/>
  </xdr:twoCellAnchor>
  <xdr:twoCellAnchor editAs="absolute">
    <xdr:from>
      <xdr:col>40</xdr:col>
      <xdr:colOff>0</xdr:colOff>
      <xdr:row>7</xdr:row>
      <xdr:rowOff>0</xdr:rowOff>
    </xdr:from>
    <xdr:to>
      <xdr:col>69</xdr:col>
      <xdr:colOff>8833</xdr:colOff>
      <xdr:row>8</xdr:row>
      <xdr:rowOff>9500</xdr:rowOff>
    </xdr:to>
    <xdr:pic>
      <xdr:nvPicPr>
        <xdr:cNvPr id="8" name="Picture 7">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7"/>
        <a:stretch>
          <a:fillRect/>
        </a:stretch>
      </xdr:blipFill>
      <xdr:spPr>
        <a:xfrm>
          <a:off x="7620000" y="1333500"/>
          <a:ext cx="5533333" cy="200000"/>
        </a:xfrm>
        <a:prstGeom prst="rect">
          <a:avLst/>
        </a:prstGeom>
      </xdr:spPr>
    </xdr:pic>
    <xdr:clientData/>
  </xdr:twoCellAnchor>
  <xdr:twoCellAnchor editAs="absolute">
    <xdr:from>
      <xdr:col>76</xdr:col>
      <xdr:colOff>0</xdr:colOff>
      <xdr:row>7</xdr:row>
      <xdr:rowOff>0</xdr:rowOff>
    </xdr:from>
    <xdr:to>
      <xdr:col>79</xdr:col>
      <xdr:colOff>190405</xdr:colOff>
      <xdr:row>8</xdr:row>
      <xdr:rowOff>9500</xdr:rowOff>
    </xdr:to>
    <xdr:pic>
      <xdr:nvPicPr>
        <xdr:cNvPr id="9" name="Picture 8">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8"/>
        <a:stretch>
          <a:fillRect/>
        </a:stretch>
      </xdr:blipFill>
      <xdr:spPr>
        <a:xfrm>
          <a:off x="14478000" y="1333500"/>
          <a:ext cx="761905" cy="200000"/>
        </a:xfrm>
        <a:prstGeom prst="rect">
          <a:avLst/>
        </a:prstGeom>
      </xdr:spPr>
    </xdr:pic>
    <xdr:clientData/>
  </xdr:twoCellAnchor>
  <xdr:twoCellAnchor editAs="absolute">
    <xdr:from>
      <xdr:col>0</xdr:col>
      <xdr:colOff>0</xdr:colOff>
      <xdr:row>8</xdr:row>
      <xdr:rowOff>0</xdr:rowOff>
    </xdr:from>
    <xdr:to>
      <xdr:col>79</xdr:col>
      <xdr:colOff>188595</xdr:colOff>
      <xdr:row>89</xdr:row>
      <xdr:rowOff>188548</xdr:rowOff>
    </xdr:to>
    <xdr:pic>
      <xdr:nvPicPr>
        <xdr:cNvPr id="10" name="Picture 9">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9"/>
        <a:stretch>
          <a:fillRect/>
        </a:stretch>
      </xdr:blipFill>
      <xdr:spPr>
        <a:xfrm>
          <a:off x="0" y="1524000"/>
          <a:ext cx="15238095" cy="15619048"/>
        </a:xfrm>
        <a:prstGeom prst="rect">
          <a:avLst/>
        </a:prstGeom>
      </xdr:spPr>
    </xdr:pic>
    <xdr:clientData/>
  </xdr:twoCellAnchor>
  <xdr:twoCellAnchor editAs="absolute">
    <xdr:from>
      <xdr:col>16</xdr:col>
      <xdr:colOff>0</xdr:colOff>
      <xdr:row>2</xdr:row>
      <xdr:rowOff>133350</xdr:rowOff>
    </xdr:from>
    <xdr:to>
      <xdr:col>20</xdr:col>
      <xdr:colOff>152286</xdr:colOff>
      <xdr:row>4</xdr:row>
      <xdr:rowOff>57112</xdr:rowOff>
    </xdr:to>
    <xdr:pic>
      <xdr:nvPicPr>
        <xdr:cNvPr id="11" name="Picture 10" descr="nav_Resumen.png">
          <a:hlinkClick xmlns:r="http://schemas.openxmlformats.org/officeDocument/2006/relationships" r:id="rId10" tooltip="Ir a Resumen"/>
        </xdr:cNvPr>
        <xdr:cNvPicPr>
          <a:picLocks noChangeAspect="1"/>
        </xdr:cNvPicPr>
      </xdr:nvPicPr>
      <xdr:blipFill>
        <a:blip xmlns:r="http://schemas.openxmlformats.org/officeDocument/2006/relationships" r:embed="rId11"/>
        <a:stretch>
          <a:fillRect/>
        </a:stretch>
      </xdr:blipFill>
      <xdr:spPr>
        <a:xfrm>
          <a:off x="3048000" y="514350"/>
          <a:ext cx="914286" cy="304762"/>
        </a:xfrm>
        <a:prstGeom prst="rect">
          <a:avLst/>
        </a:prstGeom>
      </xdr:spPr>
    </xdr:pic>
    <xdr:clientData/>
  </xdr:twoCellAnchor>
  <xdr:twoCellAnchor editAs="absolute">
    <xdr:from>
      <xdr:col>21</xdr:col>
      <xdr:colOff>38100</xdr:colOff>
      <xdr:row>2</xdr:row>
      <xdr:rowOff>133350</xdr:rowOff>
    </xdr:from>
    <xdr:to>
      <xdr:col>25</xdr:col>
      <xdr:colOff>190386</xdr:colOff>
      <xdr:row>4</xdr:row>
      <xdr:rowOff>57112</xdr:rowOff>
    </xdr:to>
    <xdr:pic>
      <xdr:nvPicPr>
        <xdr:cNvPr id="12" name="Picture 11" descr="nav_Resultados.png">
          <a:hlinkClick xmlns:r="http://schemas.openxmlformats.org/officeDocument/2006/relationships" r:id="rId12" tooltip="Ir a Resultados"/>
        </xdr:cNvPr>
        <xdr:cNvPicPr>
          <a:picLocks noChangeAspect="1"/>
        </xdr:cNvPicPr>
      </xdr:nvPicPr>
      <xdr:blipFill>
        <a:blip xmlns:r="http://schemas.openxmlformats.org/officeDocument/2006/relationships" r:embed="rId13"/>
        <a:stretch>
          <a:fillRect/>
        </a:stretch>
      </xdr:blipFill>
      <xdr:spPr>
        <a:xfrm>
          <a:off x="4038600" y="514350"/>
          <a:ext cx="914286" cy="304762"/>
        </a:xfrm>
        <a:prstGeom prst="rect">
          <a:avLst/>
        </a:prstGeom>
      </xdr:spPr>
    </xdr:pic>
    <xdr:clientData/>
  </xdr:twoCellAnchor>
  <xdr:twoCellAnchor editAs="absolute">
    <xdr:from>
      <xdr:col>26</xdr:col>
      <xdr:colOff>76200</xdr:colOff>
      <xdr:row>2</xdr:row>
      <xdr:rowOff>133350</xdr:rowOff>
    </xdr:from>
    <xdr:to>
      <xdr:col>31</xdr:col>
      <xdr:colOff>37986</xdr:colOff>
      <xdr:row>4</xdr:row>
      <xdr:rowOff>57112</xdr:rowOff>
    </xdr:to>
    <xdr:pic>
      <xdr:nvPicPr>
        <xdr:cNvPr id="13" name="Picture 12" descr="nav_Análisis.png">
          <a:hlinkClick xmlns:r="http://schemas.openxmlformats.org/officeDocument/2006/relationships" r:id="rId14" tooltip="Ir a Análisis"/>
        </xdr:cNvPr>
        <xdr:cNvPicPr>
          <a:picLocks noChangeAspect="1"/>
        </xdr:cNvPicPr>
      </xdr:nvPicPr>
      <xdr:blipFill>
        <a:blip xmlns:r="http://schemas.openxmlformats.org/officeDocument/2006/relationships" r:embed="rId15"/>
        <a:stretch>
          <a:fillRect/>
        </a:stretch>
      </xdr:blipFill>
      <xdr:spPr>
        <a:xfrm>
          <a:off x="5029200" y="514350"/>
          <a:ext cx="914286" cy="304762"/>
        </a:xfrm>
        <a:prstGeom prst="rect">
          <a:avLst/>
        </a:prstGeom>
      </xdr:spPr>
    </xdr:pic>
    <xdr:clientData/>
  </xdr:twoCellAnchor>
  <xdr:twoCellAnchor editAs="absolute">
    <xdr:from>
      <xdr:col>31</xdr:col>
      <xdr:colOff>114300</xdr:colOff>
      <xdr:row>2</xdr:row>
      <xdr:rowOff>133350</xdr:rowOff>
    </xdr:from>
    <xdr:to>
      <xdr:col>36</xdr:col>
      <xdr:colOff>76086</xdr:colOff>
      <xdr:row>4</xdr:row>
      <xdr:rowOff>57112</xdr:rowOff>
    </xdr:to>
    <xdr:pic>
      <xdr:nvPicPr>
        <xdr:cNvPr id="14" name="Picture 13" descr="nav_Valuación.png">
          <a:hlinkClick xmlns:r="http://schemas.openxmlformats.org/officeDocument/2006/relationships" r:id="rId16" tooltip="Ir a Valuación"/>
        </xdr:cNvPr>
        <xdr:cNvPicPr>
          <a:picLocks noChangeAspect="1"/>
        </xdr:cNvPicPr>
      </xdr:nvPicPr>
      <xdr:blipFill>
        <a:blip xmlns:r="http://schemas.openxmlformats.org/officeDocument/2006/relationships" r:embed="rId17"/>
        <a:stretch>
          <a:fillRect/>
        </a:stretch>
      </xdr:blipFill>
      <xdr:spPr>
        <a:xfrm>
          <a:off x="6019800" y="514350"/>
          <a:ext cx="914286" cy="304762"/>
        </a:xfrm>
        <a:prstGeom prst="rect">
          <a:avLst/>
        </a:prstGeom>
      </xdr:spPr>
    </xdr:pic>
    <xdr:clientData/>
  </xdr:twoCellAnchor>
  <xdr:twoCellAnchor editAs="absolute">
    <xdr:from>
      <xdr:col>36</xdr:col>
      <xdr:colOff>152400</xdr:colOff>
      <xdr:row>2</xdr:row>
      <xdr:rowOff>133350</xdr:rowOff>
    </xdr:from>
    <xdr:to>
      <xdr:col>41</xdr:col>
      <xdr:colOff>114186</xdr:colOff>
      <xdr:row>4</xdr:row>
      <xdr:rowOff>57112</xdr:rowOff>
    </xdr:to>
    <xdr:pic>
      <xdr:nvPicPr>
        <xdr:cNvPr id="15" name="Picture 14" descr="nav_Deuda.png">
          <a:hlinkClick xmlns:r="http://schemas.openxmlformats.org/officeDocument/2006/relationships" r:id="rId18" tooltip="Ir a Deuda"/>
        </xdr:cNvPr>
        <xdr:cNvPicPr>
          <a:picLocks noChangeAspect="1"/>
        </xdr:cNvPicPr>
      </xdr:nvPicPr>
      <xdr:blipFill>
        <a:blip xmlns:r="http://schemas.openxmlformats.org/officeDocument/2006/relationships" r:embed="rId19"/>
        <a:stretch>
          <a:fillRect/>
        </a:stretch>
      </xdr:blipFill>
      <xdr:spPr>
        <a:xfrm>
          <a:off x="7010400" y="514350"/>
          <a:ext cx="914286" cy="304762"/>
        </a:xfrm>
        <a:prstGeom prst="rect">
          <a:avLst/>
        </a:prstGeom>
      </xdr:spPr>
    </xdr:pic>
    <xdr:clientData/>
  </xdr:twoCellAnchor>
  <xdr:twoCellAnchor editAs="absolute">
    <xdr:from>
      <xdr:col>15</xdr:col>
      <xdr:colOff>38100</xdr:colOff>
      <xdr:row>6</xdr:row>
      <xdr:rowOff>95250</xdr:rowOff>
    </xdr:from>
    <xdr:to>
      <xdr:col>20</xdr:col>
      <xdr:colOff>38100</xdr:colOff>
      <xdr:row>11</xdr:row>
      <xdr:rowOff>95250</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2</xdr:col>
      <xdr:colOff>95250</xdr:colOff>
      <xdr:row>13</xdr:row>
      <xdr:rowOff>76200</xdr:rowOff>
    </xdr:from>
    <xdr:to>
      <xdr:col>20</xdr:col>
      <xdr:colOff>95250</xdr:colOff>
      <xdr:row>18</xdr:row>
      <xdr:rowOff>38100</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22</xdr:col>
      <xdr:colOff>57150</xdr:colOff>
      <xdr:row>9</xdr:row>
      <xdr:rowOff>57150</xdr:rowOff>
    </xdr:from>
    <xdr:to>
      <xdr:col>55</xdr:col>
      <xdr:colOff>133350</xdr:colOff>
      <xdr:row>20</xdr:row>
      <xdr:rowOff>0</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absolute">
    <xdr:from>
      <xdr:col>57</xdr:col>
      <xdr:colOff>95250</xdr:colOff>
      <xdr:row>9</xdr:row>
      <xdr:rowOff>0</xdr:rowOff>
    </xdr:from>
    <xdr:to>
      <xdr:col>77</xdr:col>
      <xdr:colOff>95250</xdr:colOff>
      <xdr:row>18</xdr:row>
      <xdr:rowOff>152400</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absolute">
    <xdr:from>
      <xdr:col>3</xdr:col>
      <xdr:colOff>19050</xdr:colOff>
      <xdr:row>25</xdr:row>
      <xdr:rowOff>0</xdr:rowOff>
    </xdr:from>
    <xdr:to>
      <xdr:col>19</xdr:col>
      <xdr:colOff>171450</xdr:colOff>
      <xdr:row>33</xdr:row>
      <xdr:rowOff>76200</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absolute">
    <xdr:from>
      <xdr:col>22</xdr:col>
      <xdr:colOff>114300</xdr:colOff>
      <xdr:row>24</xdr:row>
      <xdr:rowOff>114300</xdr:rowOff>
    </xdr:from>
    <xdr:to>
      <xdr:col>31</xdr:col>
      <xdr:colOff>57150</xdr:colOff>
      <xdr:row>33</xdr:row>
      <xdr:rowOff>57150</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absolute">
    <xdr:from>
      <xdr:col>45</xdr:col>
      <xdr:colOff>38100</xdr:colOff>
      <xdr:row>23</xdr:row>
      <xdr:rowOff>171450</xdr:rowOff>
    </xdr:from>
    <xdr:to>
      <xdr:col>55</xdr:col>
      <xdr:colOff>0</xdr:colOff>
      <xdr:row>27</xdr:row>
      <xdr:rowOff>171450</xdr:rowOff>
    </xdr:to>
    <xdr:graphicFrame macro="">
      <xdr:nvGraphicFramePr>
        <xdr:cNvPr id="22" name="Chart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absolute">
    <xdr:from>
      <xdr:col>62</xdr:col>
      <xdr:colOff>95250</xdr:colOff>
      <xdr:row>24</xdr:row>
      <xdr:rowOff>95250</xdr:rowOff>
    </xdr:from>
    <xdr:to>
      <xdr:col>72</xdr:col>
      <xdr:colOff>95250</xdr:colOff>
      <xdr:row>34</xdr:row>
      <xdr:rowOff>95250</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absolute">
    <xdr:from>
      <xdr:col>2</xdr:col>
      <xdr:colOff>95250</xdr:colOff>
      <xdr:row>37</xdr:row>
      <xdr:rowOff>152400</xdr:rowOff>
    </xdr:from>
    <xdr:to>
      <xdr:col>34</xdr:col>
      <xdr:colOff>171450</xdr:colOff>
      <xdr:row>46</xdr:row>
      <xdr:rowOff>0</xdr:rowOff>
    </xdr:to>
    <xdr:graphicFrame macro="">
      <xdr:nvGraphicFramePr>
        <xdr:cNvPr id="24" name="Chart 2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absolute">
    <xdr:from>
      <xdr:col>36</xdr:col>
      <xdr:colOff>133350</xdr:colOff>
      <xdr:row>37</xdr:row>
      <xdr:rowOff>114300</xdr:rowOff>
    </xdr:from>
    <xdr:to>
      <xdr:col>55</xdr:col>
      <xdr:colOff>133350</xdr:colOff>
      <xdr:row>46</xdr:row>
      <xdr:rowOff>0</xdr:rowOff>
    </xdr:to>
    <xdr:graphicFrame macro="">
      <xdr:nvGraphicFramePr>
        <xdr:cNvPr id="25" name="Chart 2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absolute">
    <xdr:from>
      <xdr:col>3</xdr:col>
      <xdr:colOff>0</xdr:colOff>
      <xdr:row>50</xdr:row>
      <xdr:rowOff>133350</xdr:rowOff>
    </xdr:from>
    <xdr:to>
      <xdr:col>20</xdr:col>
      <xdr:colOff>38100</xdr:colOff>
      <xdr:row>70</xdr:row>
      <xdr:rowOff>133350</xdr:rowOff>
    </xdr:to>
    <xdr:graphicFrame macro="">
      <xdr:nvGraphicFramePr>
        <xdr:cNvPr id="26" name="Chart 2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absolute">
    <xdr:from>
      <xdr:col>38</xdr:col>
      <xdr:colOff>133350</xdr:colOff>
      <xdr:row>56</xdr:row>
      <xdr:rowOff>95250</xdr:rowOff>
    </xdr:from>
    <xdr:to>
      <xdr:col>77</xdr:col>
      <xdr:colOff>95250</xdr:colOff>
      <xdr:row>71</xdr:row>
      <xdr:rowOff>38100</xdr:rowOff>
    </xdr:to>
    <xdr:graphicFrame macro="">
      <xdr:nvGraphicFramePr>
        <xdr:cNvPr id="27" name="Chart 2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editAs="absolute">
    <xdr:from>
      <xdr:col>25</xdr:col>
      <xdr:colOff>76200</xdr:colOff>
      <xdr:row>77</xdr:row>
      <xdr:rowOff>0</xdr:rowOff>
    </xdr:from>
    <xdr:to>
      <xdr:col>55</xdr:col>
      <xdr:colOff>133350</xdr:colOff>
      <xdr:row>87</xdr:row>
      <xdr:rowOff>38100</xdr:rowOff>
    </xdr:to>
    <xdr:graphicFrame macro="">
      <xdr:nvGraphicFramePr>
        <xdr:cNvPr id="28" name="Chart 2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absolute">
    <xdr:from>
      <xdr:col>2</xdr:col>
      <xdr:colOff>171450</xdr:colOff>
      <xdr:row>2</xdr:row>
      <xdr:rowOff>76200</xdr:rowOff>
    </xdr:from>
    <xdr:to>
      <xdr:col>4</xdr:col>
      <xdr:colOff>171450</xdr:colOff>
      <xdr:row>4</xdr:row>
      <xdr:rowOff>114300</xdr:rowOff>
    </xdr:to>
    <xdr:sp macro="" textlink="">
      <xdr:nvSpPr>
        <xdr:cNvPr id="29" name="TextBox 28"/>
        <xdr:cNvSpPr txBox="1"/>
      </xdr:nvSpPr>
      <xdr:spPr>
        <a:xfrm>
          <a:off x="552450" y="457200"/>
          <a:ext cx="3810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600" b="1">
              <a:solidFill>
                <a:srgbClr val="22D3EE"/>
              </a:solidFill>
              <a:latin typeface="Segoe UI"/>
              <a:cs typeface="Segoe UI"/>
            </a:rPr>
            <a:t>◆</a:t>
          </a:r>
        </a:p>
      </xdr:txBody>
    </xdr:sp>
    <xdr:clientData/>
  </xdr:twoCellAnchor>
  <xdr:twoCellAnchor editAs="absolute">
    <xdr:from>
      <xdr:col>4</xdr:col>
      <xdr:colOff>76200</xdr:colOff>
      <xdr:row>2</xdr:row>
      <xdr:rowOff>57150</xdr:rowOff>
    </xdr:from>
    <xdr:to>
      <xdr:col>15</xdr:col>
      <xdr:colOff>76200</xdr:colOff>
      <xdr:row>3</xdr:row>
      <xdr:rowOff>133350</xdr:rowOff>
    </xdr:to>
    <xdr:sp macro="" textlink="">
      <xdr:nvSpPr>
        <xdr:cNvPr id="30" name="TextBox 29"/>
        <xdr:cNvSpPr txBox="1"/>
      </xdr:nvSpPr>
      <xdr:spPr>
        <a:xfrm>
          <a:off x="838200" y="438150"/>
          <a:ext cx="2095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400" b="1">
              <a:solidFill>
                <a:srgbClr val="EAF2FF"/>
              </a:solidFill>
              <a:latin typeface="Segoe UI"/>
              <a:cs typeface="Segoe UI"/>
            </a:rPr>
            <a:t>YPF · ATLAS</a:t>
          </a:r>
        </a:p>
      </xdr:txBody>
    </xdr:sp>
    <xdr:clientData/>
  </xdr:twoCellAnchor>
  <xdr:twoCellAnchor editAs="absolute">
    <xdr:from>
      <xdr:col>4</xdr:col>
      <xdr:colOff>76200</xdr:colOff>
      <xdr:row>3</xdr:row>
      <xdr:rowOff>95250</xdr:rowOff>
    </xdr:from>
    <xdr:to>
      <xdr:col>16</xdr:col>
      <xdr:colOff>171450</xdr:colOff>
      <xdr:row>4</xdr:row>
      <xdr:rowOff>114300</xdr:rowOff>
    </xdr:to>
    <xdr:sp macro="" textlink="'Tablero'!$N$140">
      <xdr:nvSpPr>
        <xdr:cNvPr id="31" name="TextBox 30"/>
        <xdr:cNvSpPr txBox="1"/>
      </xdr:nvSpPr>
      <xdr:spPr>
        <a:xfrm>
          <a:off x="838200" y="666750"/>
          <a:ext cx="2381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41</xdr:col>
      <xdr:colOff>76200</xdr:colOff>
      <xdr:row>2</xdr:row>
      <xdr:rowOff>171450</xdr:rowOff>
    </xdr:from>
    <xdr:to>
      <xdr:col>45</xdr:col>
      <xdr:colOff>114300</xdr:colOff>
      <xdr:row>4</xdr:row>
      <xdr:rowOff>19050</xdr:rowOff>
    </xdr:to>
    <xdr:sp macro="" textlink="">
      <xdr:nvSpPr>
        <xdr:cNvPr id="32" name="TextBox 31"/>
        <xdr:cNvSpPr txBox="1"/>
      </xdr:nvSpPr>
      <xdr:spPr>
        <a:xfrm>
          <a:off x="7886700" y="552450"/>
          <a:ext cx="8001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8EA3C4"/>
              </a:solidFill>
              <a:latin typeface="Segoe UI"/>
              <a:cs typeface="Segoe UI"/>
            </a:rPr>
            <a:t>Trimestre</a:t>
          </a:r>
        </a:p>
      </xdr:txBody>
    </xdr:sp>
    <xdr:clientData/>
  </xdr:twoCellAnchor>
  <xdr:twoCellAnchor editAs="absolute">
    <xdr:from>
      <xdr:col>51</xdr:col>
      <xdr:colOff>57150</xdr:colOff>
      <xdr:row>2</xdr:row>
      <xdr:rowOff>171450</xdr:rowOff>
    </xdr:from>
    <xdr:to>
      <xdr:col>55</xdr:col>
      <xdr:colOff>76200</xdr:colOff>
      <xdr:row>4</xdr:row>
      <xdr:rowOff>19050</xdr:rowOff>
    </xdr:to>
    <xdr:sp macro="" textlink="">
      <xdr:nvSpPr>
        <xdr:cNvPr id="33" name="TextBox 32"/>
        <xdr:cNvSpPr txBox="1"/>
      </xdr:nvSpPr>
      <xdr:spPr>
        <a:xfrm>
          <a:off x="9772650" y="552450"/>
          <a:ext cx="7810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1"/>
        <a:lstStyle/>
        <a:p>
          <a:r>
            <a:rPr lang="en-US" sz="800" b="0">
              <a:solidFill>
                <a:srgbClr val="8EA3C4"/>
              </a:solidFill>
              <a:latin typeface="Segoe UI"/>
              <a:cs typeface="Segoe UI"/>
            </a:rPr>
            <a:t>Segmento</a:t>
          </a:r>
        </a:p>
      </xdr:txBody>
    </xdr:sp>
    <xdr:clientData/>
  </xdr:twoCellAnchor>
  <xdr:twoCellAnchor editAs="absolute">
    <xdr:from>
      <xdr:col>66</xdr:col>
      <xdr:colOff>38100</xdr:colOff>
      <xdr:row>2</xdr:row>
      <xdr:rowOff>57150</xdr:rowOff>
    </xdr:from>
    <xdr:to>
      <xdr:col>71</xdr:col>
      <xdr:colOff>133350</xdr:colOff>
      <xdr:row>3</xdr:row>
      <xdr:rowOff>57150</xdr:rowOff>
    </xdr:to>
    <xdr:sp macro="" textlink="">
      <xdr:nvSpPr>
        <xdr:cNvPr id="34" name="TextBox 33"/>
        <xdr:cNvSpPr txBox="1"/>
      </xdr:nvSpPr>
      <xdr:spPr>
        <a:xfrm>
          <a:off x="12611100" y="438150"/>
          <a:ext cx="10477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Deuda neta/EBITDA</a:t>
          </a:r>
        </a:p>
      </xdr:txBody>
    </xdr:sp>
    <xdr:clientData/>
  </xdr:twoCellAnchor>
  <xdr:twoCellAnchor editAs="absolute">
    <xdr:from>
      <xdr:col>66</xdr:col>
      <xdr:colOff>38100</xdr:colOff>
      <xdr:row>3</xdr:row>
      <xdr:rowOff>38100</xdr:rowOff>
    </xdr:from>
    <xdr:to>
      <xdr:col>71</xdr:col>
      <xdr:colOff>133350</xdr:colOff>
      <xdr:row>4</xdr:row>
      <xdr:rowOff>133350</xdr:rowOff>
    </xdr:to>
    <xdr:sp macro="" textlink="'Tablero'!$N$173">
      <xdr:nvSpPr>
        <xdr:cNvPr id="35" name="TextBox 34"/>
        <xdr:cNvSpPr txBox="1"/>
      </xdr:nvSpPr>
      <xdr:spPr>
        <a:xfrm>
          <a:off x="12611100" y="609600"/>
          <a:ext cx="1047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400" b="1">
              <a:solidFill>
                <a:srgbClr val="EAF2FF"/>
              </a:solidFill>
              <a:latin typeface="Segoe UI"/>
              <a:cs typeface="Segoe UI"/>
            </a:rPr>
            <a:t/>
          </a:fld>
          <a:endParaRPr lang="en-US" sz="1400" b="1">
            <a:solidFill>
              <a:srgbClr val="EAF2FF"/>
            </a:solidFill>
            <a:latin typeface="Segoe UI"/>
            <a:cs typeface="Segoe UI"/>
          </a:endParaRPr>
        </a:p>
      </xdr:txBody>
    </xdr:sp>
    <xdr:clientData/>
  </xdr:twoCellAnchor>
  <xdr:twoCellAnchor editAs="absolute">
    <xdr:from>
      <xdr:col>71</xdr:col>
      <xdr:colOff>133350</xdr:colOff>
      <xdr:row>2</xdr:row>
      <xdr:rowOff>57150</xdr:rowOff>
    </xdr:from>
    <xdr:to>
      <xdr:col>77</xdr:col>
      <xdr:colOff>38100</xdr:colOff>
      <xdr:row>3</xdr:row>
      <xdr:rowOff>57150</xdr:rowOff>
    </xdr:to>
    <xdr:sp macro="" textlink="">
      <xdr:nvSpPr>
        <xdr:cNvPr id="36" name="TextBox 35"/>
        <xdr:cNvSpPr txBox="1"/>
      </xdr:nvSpPr>
      <xdr:spPr>
        <a:xfrm>
          <a:off x="13658850" y="438150"/>
          <a:ext cx="10477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EV/EBITDA</a:t>
          </a:r>
        </a:p>
      </xdr:txBody>
    </xdr:sp>
    <xdr:clientData/>
  </xdr:twoCellAnchor>
  <xdr:twoCellAnchor editAs="absolute">
    <xdr:from>
      <xdr:col>71</xdr:col>
      <xdr:colOff>133350</xdr:colOff>
      <xdr:row>3</xdr:row>
      <xdr:rowOff>38100</xdr:rowOff>
    </xdr:from>
    <xdr:to>
      <xdr:col>77</xdr:col>
      <xdr:colOff>38100</xdr:colOff>
      <xdr:row>4</xdr:row>
      <xdr:rowOff>133350</xdr:rowOff>
    </xdr:to>
    <xdr:sp macro="" textlink="'Tablero'!$N$174">
      <xdr:nvSpPr>
        <xdr:cNvPr id="37" name="TextBox 36"/>
        <xdr:cNvSpPr txBox="1"/>
      </xdr:nvSpPr>
      <xdr:spPr>
        <a:xfrm>
          <a:off x="13658850" y="609600"/>
          <a:ext cx="10477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400" b="1">
              <a:solidFill>
                <a:srgbClr val="EAF2FF"/>
              </a:solidFill>
              <a:latin typeface="Segoe UI"/>
              <a:cs typeface="Segoe UI"/>
            </a:rPr>
            <a:t/>
          </a:fld>
          <a:endParaRPr lang="en-US" sz="1400" b="1">
            <a:solidFill>
              <a:srgbClr val="EAF2FF"/>
            </a:solidFill>
            <a:latin typeface="Segoe UI"/>
            <a:cs typeface="Segoe UI"/>
          </a:endParaRPr>
        </a:p>
      </xdr:txBody>
    </xdr:sp>
    <xdr:clientData/>
  </xdr:twoCellAnchor>
  <xdr:twoCellAnchor editAs="absolute">
    <xdr:from>
      <xdr:col>2</xdr:col>
      <xdr:colOff>152400</xdr:colOff>
      <xdr:row>6</xdr:row>
      <xdr:rowOff>114300</xdr:rowOff>
    </xdr:from>
    <xdr:to>
      <xdr:col>15</xdr:col>
      <xdr:colOff>57150</xdr:colOff>
      <xdr:row>7</xdr:row>
      <xdr:rowOff>133350</xdr:rowOff>
    </xdr:to>
    <xdr:sp macro="" textlink="'Tablero'!$N$141">
      <xdr:nvSpPr>
        <xdr:cNvPr id="38" name="TextBox 37"/>
        <xdr:cNvSpPr txBox="1"/>
      </xdr:nvSpPr>
      <xdr:spPr>
        <a:xfrm>
          <a:off x="533400" y="1257300"/>
          <a:ext cx="2381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000" b="0">
              <a:solidFill>
                <a:srgbClr val="CFE0FF"/>
              </a:solidFill>
              <a:latin typeface="Segoe UI"/>
              <a:cs typeface="Segoe UI"/>
            </a:rPr>
            <a:t/>
          </a:fld>
          <a:endParaRPr lang="en-US" sz="1000" b="0">
            <a:solidFill>
              <a:srgbClr val="CFE0FF"/>
            </a:solidFill>
            <a:latin typeface="Segoe UI"/>
            <a:cs typeface="Segoe UI"/>
          </a:endParaRPr>
        </a:p>
      </xdr:txBody>
    </xdr:sp>
    <xdr:clientData/>
  </xdr:twoCellAnchor>
  <xdr:twoCellAnchor editAs="absolute">
    <xdr:from>
      <xdr:col>2</xdr:col>
      <xdr:colOff>152400</xdr:colOff>
      <xdr:row>7</xdr:row>
      <xdr:rowOff>114300</xdr:rowOff>
    </xdr:from>
    <xdr:to>
      <xdr:col>15</xdr:col>
      <xdr:colOff>57150</xdr:colOff>
      <xdr:row>10</xdr:row>
      <xdr:rowOff>0</xdr:rowOff>
    </xdr:to>
    <xdr:sp macro="" textlink="'Tablero'!$N$166">
      <xdr:nvSpPr>
        <xdr:cNvPr id="39" name="TextBox 38"/>
        <xdr:cNvSpPr txBox="1"/>
      </xdr:nvSpPr>
      <xdr:spPr>
        <a:xfrm>
          <a:off x="533400" y="1447800"/>
          <a:ext cx="23812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2600" b="1">
              <a:solidFill>
                <a:srgbClr val="FFFFFF"/>
              </a:solidFill>
              <a:latin typeface="Segoe UI"/>
              <a:cs typeface="Segoe UI"/>
            </a:rPr>
            <a:t/>
          </a:fld>
          <a:endParaRPr lang="en-US" sz="2600" b="1">
            <a:solidFill>
              <a:srgbClr val="FFFFFF"/>
            </a:solidFill>
            <a:latin typeface="Segoe UI"/>
            <a:cs typeface="Segoe UI"/>
          </a:endParaRPr>
        </a:p>
      </xdr:txBody>
    </xdr:sp>
    <xdr:clientData/>
  </xdr:twoCellAnchor>
  <xdr:twoCellAnchor editAs="absolute">
    <xdr:from>
      <xdr:col>2</xdr:col>
      <xdr:colOff>152400</xdr:colOff>
      <xdr:row>10</xdr:row>
      <xdr:rowOff>57150</xdr:rowOff>
    </xdr:from>
    <xdr:to>
      <xdr:col>15</xdr:col>
      <xdr:colOff>57150</xdr:colOff>
      <xdr:row>11</xdr:row>
      <xdr:rowOff>152400</xdr:rowOff>
    </xdr:to>
    <xdr:sp macro="" textlink="'Tablero'!$N$168">
      <xdr:nvSpPr>
        <xdr:cNvPr id="40" name="TextBox 39"/>
        <xdr:cNvSpPr txBox="1"/>
      </xdr:nvSpPr>
      <xdr:spPr>
        <a:xfrm>
          <a:off x="533400" y="1962150"/>
          <a:ext cx="2381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500" b="1">
              <a:solidFill>
                <a:srgbClr val="FFFFFF"/>
              </a:solidFill>
              <a:latin typeface="Segoe UI"/>
              <a:cs typeface="Segoe UI"/>
            </a:rPr>
            <a:t/>
          </a:fld>
          <a:endParaRPr lang="en-US" sz="1500" b="1">
            <a:solidFill>
              <a:srgbClr val="FFFFFF"/>
            </a:solidFill>
            <a:latin typeface="Segoe UI"/>
            <a:cs typeface="Segoe UI"/>
          </a:endParaRPr>
        </a:p>
      </xdr:txBody>
    </xdr:sp>
    <xdr:clientData/>
  </xdr:twoCellAnchor>
  <xdr:twoCellAnchor editAs="absolute">
    <xdr:from>
      <xdr:col>2</xdr:col>
      <xdr:colOff>152400</xdr:colOff>
      <xdr:row>11</xdr:row>
      <xdr:rowOff>95250</xdr:rowOff>
    </xdr:from>
    <xdr:to>
      <xdr:col>15</xdr:col>
      <xdr:colOff>57150</xdr:colOff>
      <xdr:row>12</xdr:row>
      <xdr:rowOff>95250</xdr:rowOff>
    </xdr:to>
    <xdr:sp macro="" textlink="">
      <xdr:nvSpPr>
        <xdr:cNvPr id="41" name="TextBox 40"/>
        <xdr:cNvSpPr txBox="1"/>
      </xdr:nvSpPr>
      <xdr:spPr>
        <a:xfrm>
          <a:off x="533400" y="2190750"/>
          <a:ext cx="23812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A9C3EE"/>
              </a:solidFill>
              <a:latin typeface="Segoe UI"/>
              <a:cs typeface="Segoe UI"/>
            </a:rPr>
            <a:t>Ingresos del trimestre</a:t>
          </a:r>
        </a:p>
      </xdr:txBody>
    </xdr:sp>
    <xdr:clientData/>
  </xdr:twoCellAnchor>
  <xdr:twoCellAnchor editAs="absolute">
    <xdr:from>
      <xdr:col>2</xdr:col>
      <xdr:colOff>152400</xdr:colOff>
      <xdr:row>12</xdr:row>
      <xdr:rowOff>76200</xdr:rowOff>
    </xdr:from>
    <xdr:to>
      <xdr:col>12</xdr:col>
      <xdr:colOff>152400</xdr:colOff>
      <xdr:row>13</xdr:row>
      <xdr:rowOff>57150</xdr:rowOff>
    </xdr:to>
    <xdr:sp macro="" textlink="'Tablero'!$N$143">
      <xdr:nvSpPr>
        <xdr:cNvPr id="42" name="TextBox 41"/>
        <xdr:cNvSpPr txBox="1"/>
      </xdr:nvSpPr>
      <xdr:spPr>
        <a:xfrm>
          <a:off x="533400" y="2362200"/>
          <a:ext cx="1905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700" b="0">
              <a:solidFill>
                <a:srgbClr val="A9C3EE"/>
              </a:solidFill>
              <a:latin typeface="Segoe UI"/>
              <a:cs typeface="Segoe UI"/>
            </a:rPr>
            <a:t/>
          </a:fld>
          <a:endParaRPr lang="en-US" sz="700" b="0">
            <a:solidFill>
              <a:srgbClr val="A9C3EE"/>
            </a:solidFill>
            <a:latin typeface="Segoe UI"/>
            <a:cs typeface="Segoe UI"/>
          </a:endParaRPr>
        </a:p>
      </xdr:txBody>
    </xdr:sp>
    <xdr:clientData/>
  </xdr:twoCellAnchor>
  <xdr:twoCellAnchor editAs="absolute">
    <xdr:from>
      <xdr:col>12</xdr:col>
      <xdr:colOff>38100</xdr:colOff>
      <xdr:row>12</xdr:row>
      <xdr:rowOff>76200</xdr:rowOff>
    </xdr:from>
    <xdr:to>
      <xdr:col>17</xdr:col>
      <xdr:colOff>133350</xdr:colOff>
      <xdr:row>13</xdr:row>
      <xdr:rowOff>57150</xdr:rowOff>
    </xdr:to>
    <xdr:sp macro="" textlink="'Tablero'!$N$167">
      <xdr:nvSpPr>
        <xdr:cNvPr id="43" name="TextBox 42"/>
        <xdr:cNvSpPr txBox="1"/>
      </xdr:nvSpPr>
      <xdr:spPr>
        <a:xfrm>
          <a:off x="2324100" y="2362200"/>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FFFFFF"/>
              </a:solidFill>
              <a:latin typeface="Segoe UI"/>
              <a:cs typeface="Segoe UI"/>
            </a:rPr>
            <a:t/>
          </a:fld>
          <a:endParaRPr lang="en-US" sz="800" b="1">
            <a:solidFill>
              <a:srgbClr val="FFFFFF"/>
            </a:solidFill>
            <a:latin typeface="Segoe UI"/>
            <a:cs typeface="Segoe UI"/>
          </a:endParaRPr>
        </a:p>
      </xdr:txBody>
    </xdr:sp>
    <xdr:clientData/>
  </xdr:twoCellAnchor>
  <xdr:twoCellAnchor editAs="absolute">
    <xdr:from>
      <xdr:col>2</xdr:col>
      <xdr:colOff>152400</xdr:colOff>
      <xdr:row>12</xdr:row>
      <xdr:rowOff>76200</xdr:rowOff>
    </xdr:from>
    <xdr:to>
      <xdr:col>19</xdr:col>
      <xdr:colOff>152400</xdr:colOff>
      <xdr:row>13</xdr:row>
      <xdr:rowOff>57150</xdr:rowOff>
    </xdr:to>
    <xdr:sp macro="" textlink="'Tablero'!$N$169">
      <xdr:nvSpPr>
        <xdr:cNvPr id="44" name="TextBox 43"/>
        <xdr:cNvSpPr txBox="1"/>
      </xdr:nvSpPr>
      <xdr:spPr>
        <a:xfrm>
          <a:off x="533400" y="2362200"/>
          <a:ext cx="32385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FBBF24"/>
              </a:solidFill>
              <a:latin typeface="Segoe UI"/>
              <a:cs typeface="Segoe UI"/>
            </a:rPr>
            <a:t/>
          </a:fld>
          <a:endParaRPr lang="en-US" sz="800" b="1">
            <a:solidFill>
              <a:srgbClr val="FBBF24"/>
            </a:solidFill>
            <a:latin typeface="Segoe UI"/>
            <a:cs typeface="Segoe UI"/>
          </a:endParaRPr>
        </a:p>
      </xdr:txBody>
    </xdr:sp>
    <xdr:clientData/>
  </xdr:twoCellAnchor>
  <xdr:twoCellAnchor editAs="absolute">
    <xdr:from>
      <xdr:col>15</xdr:col>
      <xdr:colOff>57150</xdr:colOff>
      <xdr:row>8</xdr:row>
      <xdr:rowOff>38100</xdr:rowOff>
    </xdr:from>
    <xdr:to>
      <xdr:col>20</xdr:col>
      <xdr:colOff>19050</xdr:colOff>
      <xdr:row>9</xdr:row>
      <xdr:rowOff>57150</xdr:rowOff>
    </xdr:to>
    <xdr:sp macro="" textlink="'Tablero'!$N$170">
      <xdr:nvSpPr>
        <xdr:cNvPr id="45" name="TextBox 44"/>
        <xdr:cNvSpPr txBox="1"/>
      </xdr:nvSpPr>
      <xdr:spPr>
        <a:xfrm>
          <a:off x="2914650" y="1562100"/>
          <a:ext cx="9144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1"/>
        <a:lstStyle/>
        <a:p>
          <a:fld id="{B8ADDEFE-BF52-4FD4-8C5D-6B85EF6FF707}" type="TxLink">
            <a:rPr lang="en-US" sz="1100" b="1">
              <a:solidFill>
                <a:srgbClr val="FFFFFF"/>
              </a:solidFill>
              <a:latin typeface="Segoe UI"/>
              <a:cs typeface="Segoe UI"/>
            </a:rPr>
            <a:t/>
          </a:fld>
          <a:endParaRPr lang="en-US" sz="1100" b="1">
            <a:solidFill>
              <a:srgbClr val="FFFFFF"/>
            </a:solidFill>
            <a:latin typeface="Segoe UI"/>
            <a:cs typeface="Segoe UI"/>
          </a:endParaRPr>
        </a:p>
      </xdr:txBody>
    </xdr:sp>
    <xdr:clientData/>
  </xdr:twoCellAnchor>
  <xdr:twoCellAnchor editAs="absolute">
    <xdr:from>
      <xdr:col>15</xdr:col>
      <xdr:colOff>57150</xdr:colOff>
      <xdr:row>11</xdr:row>
      <xdr:rowOff>57150</xdr:rowOff>
    </xdr:from>
    <xdr:to>
      <xdr:col>20</xdr:col>
      <xdr:colOff>19050</xdr:colOff>
      <xdr:row>12</xdr:row>
      <xdr:rowOff>38100</xdr:rowOff>
    </xdr:to>
    <xdr:sp macro="" textlink="">
      <xdr:nvSpPr>
        <xdr:cNvPr id="46" name="TextBox 45"/>
        <xdr:cNvSpPr txBox="1"/>
      </xdr:nvSpPr>
      <xdr:spPr>
        <a:xfrm>
          <a:off x="2914650" y="2152650"/>
          <a:ext cx="9144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1"/>
        <a:lstStyle/>
        <a:p>
          <a:r>
            <a:rPr lang="en-US" sz="700" b="0">
              <a:solidFill>
                <a:srgbClr val="A9C3EE"/>
              </a:solidFill>
              <a:latin typeface="Segoe UI"/>
              <a:cs typeface="Segoe UI"/>
            </a:rPr>
            <a:t>margen EBITDA</a:t>
          </a:r>
        </a:p>
      </xdr:txBody>
    </xdr:sp>
    <xdr:clientData/>
  </xdr:twoCellAnchor>
  <xdr:twoCellAnchor editAs="absolute">
    <xdr:from>
      <xdr:col>2</xdr:col>
      <xdr:colOff>152400</xdr:colOff>
      <xdr:row>18</xdr:row>
      <xdr:rowOff>95250</xdr:rowOff>
    </xdr:from>
    <xdr:to>
      <xdr:col>12</xdr:col>
      <xdr:colOff>152400</xdr:colOff>
      <xdr:row>19</xdr:row>
      <xdr:rowOff>133350</xdr:rowOff>
    </xdr:to>
    <xdr:sp macro="" textlink="'Tablero'!$N$142">
      <xdr:nvSpPr>
        <xdr:cNvPr id="47" name="TextBox 46"/>
        <xdr:cNvSpPr txBox="1"/>
      </xdr:nvSpPr>
      <xdr:spPr>
        <a:xfrm>
          <a:off x="533400" y="3524250"/>
          <a:ext cx="1905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A9C3EE"/>
              </a:solidFill>
              <a:latin typeface="Segoe UI"/>
              <a:cs typeface="Segoe UI"/>
            </a:rPr>
            <a:t/>
          </a:fld>
          <a:endParaRPr lang="en-US" sz="800" b="0">
            <a:solidFill>
              <a:srgbClr val="A9C3EE"/>
            </a:solidFill>
            <a:latin typeface="Segoe UI"/>
            <a:cs typeface="Segoe UI"/>
          </a:endParaRPr>
        </a:p>
      </xdr:txBody>
    </xdr:sp>
    <xdr:clientData/>
  </xdr:twoCellAnchor>
  <xdr:twoCellAnchor editAs="absolute">
    <xdr:from>
      <xdr:col>13</xdr:col>
      <xdr:colOff>57150</xdr:colOff>
      <xdr:row>18</xdr:row>
      <xdr:rowOff>76200</xdr:rowOff>
    </xdr:from>
    <xdr:to>
      <xdr:col>20</xdr:col>
      <xdr:colOff>38100</xdr:colOff>
      <xdr:row>19</xdr:row>
      <xdr:rowOff>152400</xdr:rowOff>
    </xdr:to>
    <xdr:sp macro="" textlink="'Tablero'!$N$172">
      <xdr:nvSpPr>
        <xdr:cNvPr id="48" name="TextBox 47"/>
        <xdr:cNvSpPr txBox="1"/>
      </xdr:nvSpPr>
      <xdr:spPr>
        <a:xfrm>
          <a:off x="2533650" y="3505200"/>
          <a:ext cx="1314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200" b="1">
              <a:solidFill>
                <a:srgbClr val="22D3EE"/>
              </a:solidFill>
              <a:latin typeface="Segoe UI"/>
              <a:cs typeface="Segoe UI"/>
            </a:rPr>
            <a:t/>
          </a:fld>
          <a:endParaRPr lang="en-US" sz="1200" b="1">
            <a:solidFill>
              <a:srgbClr val="22D3EE"/>
            </a:solidFill>
            <a:latin typeface="Segoe UI"/>
            <a:cs typeface="Segoe UI"/>
          </a:endParaRPr>
        </a:p>
      </xdr:txBody>
    </xdr:sp>
    <xdr:clientData/>
  </xdr:twoCellAnchor>
  <xdr:twoCellAnchor editAs="absolute">
    <xdr:from>
      <xdr:col>22</xdr:col>
      <xdr:colOff>114300</xdr:colOff>
      <xdr:row>6</xdr:row>
      <xdr:rowOff>161925</xdr:rowOff>
    </xdr:from>
    <xdr:to>
      <xdr:col>31</xdr:col>
      <xdr:colOff>19050</xdr:colOff>
      <xdr:row>8</xdr:row>
      <xdr:rowOff>28575</xdr:rowOff>
    </xdr:to>
    <xdr:sp macro="" textlink="">
      <xdr:nvSpPr>
        <xdr:cNvPr id="49" name="TextBox 48"/>
        <xdr:cNvSpPr txBox="1"/>
      </xdr:nvSpPr>
      <xdr:spPr>
        <a:xfrm>
          <a:off x="4305300" y="1304925"/>
          <a:ext cx="1619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200" b="1">
              <a:solidFill>
                <a:srgbClr val="EAF2FF"/>
              </a:solidFill>
              <a:latin typeface="Segoe UI"/>
              <a:cs typeface="Segoe UI"/>
            </a:rPr>
            <a:t>Serie</a:t>
          </a:r>
        </a:p>
      </xdr:txBody>
    </xdr:sp>
    <xdr:clientData/>
  </xdr:twoCellAnchor>
  <xdr:twoCellAnchor editAs="absolute">
    <xdr:from>
      <xdr:col>22</xdr:col>
      <xdr:colOff>114300</xdr:colOff>
      <xdr:row>8</xdr:row>
      <xdr:rowOff>0</xdr:rowOff>
    </xdr:from>
    <xdr:to>
      <xdr:col>55</xdr:col>
      <xdr:colOff>76200</xdr:colOff>
      <xdr:row>9</xdr:row>
      <xdr:rowOff>0</xdr:rowOff>
    </xdr:to>
    <xdr:sp macro="" textlink="'Tablero'!$N$150">
      <xdr:nvSpPr>
        <xdr:cNvPr id="50" name="TextBox 49"/>
        <xdr:cNvSpPr txBox="1"/>
      </xdr:nvSpPr>
      <xdr:spPr>
        <a:xfrm>
          <a:off x="4305300" y="1524000"/>
          <a:ext cx="62484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5D7295"/>
              </a:solidFill>
              <a:latin typeface="Segoe UI"/>
              <a:cs typeface="Segoe UI"/>
            </a:rPr>
            <a:t/>
          </a:fld>
          <a:endParaRPr lang="en-US" sz="800" b="0">
            <a:solidFill>
              <a:srgbClr val="5D7295"/>
            </a:solidFill>
            <a:latin typeface="Segoe UI"/>
            <a:cs typeface="Segoe UI"/>
          </a:endParaRPr>
        </a:p>
      </xdr:txBody>
    </xdr:sp>
    <xdr:clientData/>
  </xdr:twoCellAnchor>
  <xdr:twoCellAnchor editAs="absolute">
    <xdr:from>
      <xdr:col>44</xdr:col>
      <xdr:colOff>76200</xdr:colOff>
      <xdr:row>6</xdr:row>
      <xdr:rowOff>76200</xdr:rowOff>
    </xdr:from>
    <xdr:to>
      <xdr:col>55</xdr:col>
      <xdr:colOff>76200</xdr:colOff>
      <xdr:row>7</xdr:row>
      <xdr:rowOff>76200</xdr:rowOff>
    </xdr:to>
    <xdr:sp macro="" textlink="">
      <xdr:nvSpPr>
        <xdr:cNvPr id="51" name="TextBox 50"/>
        <xdr:cNvSpPr txBox="1"/>
      </xdr:nvSpPr>
      <xdr:spPr>
        <a:xfrm>
          <a:off x="8458200" y="1219200"/>
          <a:ext cx="2095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Últimos doce meses</a:t>
          </a:r>
        </a:p>
      </xdr:txBody>
    </xdr:sp>
    <xdr:clientData/>
  </xdr:twoCellAnchor>
  <xdr:twoCellAnchor editAs="absolute">
    <xdr:from>
      <xdr:col>42</xdr:col>
      <xdr:colOff>171450</xdr:colOff>
      <xdr:row>7</xdr:row>
      <xdr:rowOff>38100</xdr:rowOff>
    </xdr:from>
    <xdr:to>
      <xdr:col>55</xdr:col>
      <xdr:colOff>76200</xdr:colOff>
      <xdr:row>8</xdr:row>
      <xdr:rowOff>171450</xdr:rowOff>
    </xdr:to>
    <xdr:sp macro="" textlink="'Tablero'!$N$190">
      <xdr:nvSpPr>
        <xdr:cNvPr id="52" name="TextBox 51"/>
        <xdr:cNvSpPr txBox="1"/>
      </xdr:nvSpPr>
      <xdr:spPr>
        <a:xfrm>
          <a:off x="8172450" y="1371600"/>
          <a:ext cx="2381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800" b="1">
              <a:solidFill>
                <a:srgbClr val="EAF2FF"/>
              </a:solidFill>
              <a:latin typeface="Segoe UI"/>
              <a:cs typeface="Segoe UI"/>
            </a:rPr>
            <a:t/>
          </a:fld>
          <a:endParaRPr lang="en-US" sz="1800" b="1">
            <a:solidFill>
              <a:srgbClr val="EAF2FF"/>
            </a:solidFill>
            <a:latin typeface="Segoe UI"/>
            <a:cs typeface="Segoe UI"/>
          </a:endParaRPr>
        </a:p>
      </xdr:txBody>
    </xdr:sp>
    <xdr:clientData/>
  </xdr:twoCellAnchor>
  <xdr:twoCellAnchor editAs="absolute">
    <xdr:from>
      <xdr:col>25</xdr:col>
      <xdr:colOff>0</xdr:colOff>
      <xdr:row>13</xdr:row>
      <xdr:rowOff>123825</xdr:rowOff>
    </xdr:from>
    <xdr:to>
      <xdr:col>53</xdr:col>
      <xdr:colOff>0</xdr:colOff>
      <xdr:row>14</xdr:row>
      <xdr:rowOff>180975</xdr:rowOff>
    </xdr:to>
    <xdr:sp macro="" textlink="'Tablero'!$N$161">
      <xdr:nvSpPr>
        <xdr:cNvPr id="53" name="TextBox 52"/>
        <xdr:cNvSpPr txBox="1"/>
      </xdr:nvSpPr>
      <xdr:spPr>
        <a:xfrm>
          <a:off x="4762500" y="2600325"/>
          <a:ext cx="5334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1"/>
        <a:lstStyle/>
        <a:p>
          <a:fld id="{B8ADDEFE-BF52-4FD4-8C5D-6B85EF6FF707}" type="TxLink">
            <a:rPr lang="en-US" sz="1100" b="1">
              <a:solidFill>
                <a:srgbClr val="FBBF24"/>
              </a:solidFill>
              <a:latin typeface="Segoe UI"/>
              <a:cs typeface="Segoe UI"/>
            </a:rPr>
            <a:t/>
          </a:fld>
          <a:endParaRPr lang="en-US" sz="1100" b="1">
            <a:solidFill>
              <a:srgbClr val="FBBF24"/>
            </a:solidFill>
            <a:latin typeface="Segoe UI"/>
            <a:cs typeface="Segoe UI"/>
          </a:endParaRPr>
        </a:p>
      </xdr:txBody>
    </xdr:sp>
    <xdr:clientData/>
  </xdr:twoCellAnchor>
  <xdr:twoCellAnchor editAs="absolute">
    <xdr:from>
      <xdr:col>57</xdr:col>
      <xdr:colOff>152400</xdr:colOff>
      <xdr:row>6</xdr:row>
      <xdr:rowOff>161925</xdr:rowOff>
    </xdr:from>
    <xdr:to>
      <xdr:col>64</xdr:col>
      <xdr:colOff>57150</xdr:colOff>
      <xdr:row>8</xdr:row>
      <xdr:rowOff>28575</xdr:rowOff>
    </xdr:to>
    <xdr:sp macro="" textlink="">
      <xdr:nvSpPr>
        <xdr:cNvPr id="54" name="TextBox 53"/>
        <xdr:cNvSpPr txBox="1"/>
      </xdr:nvSpPr>
      <xdr:spPr>
        <a:xfrm>
          <a:off x="11010900" y="1304925"/>
          <a:ext cx="1238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200" b="1">
              <a:solidFill>
                <a:srgbClr val="EAF2FF"/>
              </a:solidFill>
              <a:latin typeface="Segoe UI"/>
              <a:cs typeface="Segoe UI"/>
            </a:rPr>
            <a:t>Márgenes</a:t>
          </a:r>
        </a:p>
      </xdr:txBody>
    </xdr:sp>
    <xdr:clientData/>
  </xdr:twoCellAnchor>
  <xdr:twoCellAnchor editAs="absolute">
    <xdr:from>
      <xdr:col>57</xdr:col>
      <xdr:colOff>152400</xdr:colOff>
      <xdr:row>8</xdr:row>
      <xdr:rowOff>0</xdr:rowOff>
    </xdr:from>
    <xdr:to>
      <xdr:col>77</xdr:col>
      <xdr:colOff>38100</xdr:colOff>
      <xdr:row>9</xdr:row>
      <xdr:rowOff>0</xdr:rowOff>
    </xdr:to>
    <xdr:sp macro="" textlink="'Tablero'!$N$151">
      <xdr:nvSpPr>
        <xdr:cNvPr id="55" name="TextBox 54"/>
        <xdr:cNvSpPr txBox="1"/>
      </xdr:nvSpPr>
      <xdr:spPr>
        <a:xfrm>
          <a:off x="11010900" y="1524000"/>
          <a:ext cx="36957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5D7295"/>
              </a:solidFill>
              <a:latin typeface="Segoe UI"/>
              <a:cs typeface="Segoe UI"/>
            </a:rPr>
            <a:t/>
          </a:fld>
          <a:endParaRPr lang="en-US" sz="800" b="0">
            <a:solidFill>
              <a:srgbClr val="5D7295"/>
            </a:solidFill>
            <a:latin typeface="Segoe UI"/>
            <a:cs typeface="Segoe UI"/>
          </a:endParaRPr>
        </a:p>
      </xdr:txBody>
    </xdr:sp>
    <xdr:clientData/>
  </xdr:twoCellAnchor>
  <xdr:twoCellAnchor editAs="absolute">
    <xdr:from>
      <xdr:col>65</xdr:col>
      <xdr:colOff>57150</xdr:colOff>
      <xdr:row>6</xdr:row>
      <xdr:rowOff>161925</xdr:rowOff>
    </xdr:from>
    <xdr:to>
      <xdr:col>68</xdr:col>
      <xdr:colOff>114300</xdr:colOff>
      <xdr:row>8</xdr:row>
      <xdr:rowOff>28575</xdr:rowOff>
    </xdr:to>
    <xdr:sp macro="" textlink="">
      <xdr:nvSpPr>
        <xdr:cNvPr id="56" name="TextBox 55"/>
        <xdr:cNvSpPr txBox="1"/>
      </xdr:nvSpPr>
      <xdr:spPr>
        <a:xfrm>
          <a:off x="12439650" y="1304925"/>
          <a:ext cx="628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900" b="0">
              <a:solidFill>
                <a:srgbClr val="8EA3C4"/>
              </a:solidFill>
              <a:latin typeface="Segoe UI"/>
              <a:cs typeface="Segoe UI"/>
            </a:rPr>
            <a:t>contra</a:t>
          </a:r>
        </a:p>
      </xdr:txBody>
    </xdr:sp>
    <xdr:clientData/>
  </xdr:twoCellAnchor>
  <xdr:twoCellAnchor editAs="absolute">
    <xdr:from>
      <xdr:col>57</xdr:col>
      <xdr:colOff>152400</xdr:colOff>
      <xdr:row>18</xdr:row>
      <xdr:rowOff>152400</xdr:rowOff>
    </xdr:from>
    <xdr:to>
      <xdr:col>61</xdr:col>
      <xdr:colOff>57150</xdr:colOff>
      <xdr:row>19</xdr:row>
      <xdr:rowOff>152400</xdr:rowOff>
    </xdr:to>
    <xdr:sp macro="" textlink="'Tablero'!$N$152">
      <xdr:nvSpPr>
        <xdr:cNvPr id="57" name="TextBox 56"/>
        <xdr:cNvSpPr txBox="1"/>
      </xdr:nvSpPr>
      <xdr:spPr>
        <a:xfrm>
          <a:off x="11010900" y="3581400"/>
          <a:ext cx="6667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22D3EE"/>
              </a:solidFill>
              <a:latin typeface="Segoe UI"/>
              <a:cs typeface="Segoe UI"/>
            </a:rPr>
            <a:t/>
          </a:fld>
          <a:endParaRPr lang="en-US" sz="800" b="1">
            <a:solidFill>
              <a:srgbClr val="22D3EE"/>
            </a:solidFill>
            <a:latin typeface="Segoe UI"/>
            <a:cs typeface="Segoe UI"/>
          </a:endParaRPr>
        </a:p>
      </xdr:txBody>
    </xdr:sp>
    <xdr:clientData/>
  </xdr:twoCellAnchor>
  <xdr:twoCellAnchor editAs="absolute">
    <xdr:from>
      <xdr:col>61</xdr:col>
      <xdr:colOff>57150</xdr:colOff>
      <xdr:row>18</xdr:row>
      <xdr:rowOff>152400</xdr:rowOff>
    </xdr:from>
    <xdr:to>
      <xdr:col>65</xdr:col>
      <xdr:colOff>57150</xdr:colOff>
      <xdr:row>19</xdr:row>
      <xdr:rowOff>152400</xdr:rowOff>
    </xdr:to>
    <xdr:sp macro="" textlink="'Tablero'!$N$153">
      <xdr:nvSpPr>
        <xdr:cNvPr id="58" name="TextBox 57"/>
        <xdr:cNvSpPr txBox="1"/>
      </xdr:nvSpPr>
      <xdr:spPr>
        <a:xfrm>
          <a:off x="11677650" y="3581400"/>
          <a:ext cx="762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C7D2FE"/>
              </a:solidFill>
              <a:latin typeface="Segoe UI"/>
              <a:cs typeface="Segoe UI"/>
            </a:rPr>
            <a:t/>
          </a:fld>
          <a:endParaRPr lang="en-US" sz="800" b="0">
            <a:solidFill>
              <a:srgbClr val="C7D2FE"/>
            </a:solidFill>
            <a:latin typeface="Segoe UI"/>
            <a:cs typeface="Segoe UI"/>
          </a:endParaRPr>
        </a:p>
      </xdr:txBody>
    </xdr:sp>
    <xdr:clientData/>
  </xdr:twoCellAnchor>
  <xdr:twoCellAnchor editAs="absolute">
    <xdr:from>
      <xdr:col>65</xdr:col>
      <xdr:colOff>38100</xdr:colOff>
      <xdr:row>18</xdr:row>
      <xdr:rowOff>152400</xdr:rowOff>
    </xdr:from>
    <xdr:to>
      <xdr:col>77</xdr:col>
      <xdr:colOff>38100</xdr:colOff>
      <xdr:row>19</xdr:row>
      <xdr:rowOff>152400</xdr:rowOff>
    </xdr:to>
    <xdr:sp macro="" textlink="'Tablero'!$N$199">
      <xdr:nvSpPr>
        <xdr:cNvPr id="59" name="TextBox 58"/>
        <xdr:cNvSpPr txBox="1"/>
      </xdr:nvSpPr>
      <xdr:spPr>
        <a:xfrm>
          <a:off x="12420600" y="3581400"/>
          <a:ext cx="2286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FBBF24"/>
              </a:solidFill>
              <a:latin typeface="Segoe UI"/>
              <a:cs typeface="Segoe UI"/>
            </a:rPr>
            <a:t/>
          </a:fld>
          <a:endParaRPr lang="en-US" sz="800" b="1">
            <a:solidFill>
              <a:srgbClr val="FBBF24"/>
            </a:solidFill>
            <a:latin typeface="Segoe UI"/>
            <a:cs typeface="Segoe UI"/>
          </a:endParaRPr>
        </a:p>
      </xdr:txBody>
    </xdr:sp>
    <xdr:clientData/>
  </xdr:twoCellAnchor>
  <xdr:twoCellAnchor editAs="absolute">
    <xdr:from>
      <xdr:col>2</xdr:col>
      <xdr:colOff>152400</xdr:colOff>
      <xdr:row>22</xdr:row>
      <xdr:rowOff>66675</xdr:rowOff>
    </xdr:from>
    <xdr:to>
      <xdr:col>20</xdr:col>
      <xdr:colOff>38100</xdr:colOff>
      <xdr:row>23</xdr:row>
      <xdr:rowOff>123825</xdr:rowOff>
    </xdr:to>
    <xdr:sp macro="" textlink="'Tablero'!$N$154">
      <xdr:nvSpPr>
        <xdr:cNvPr id="60" name="TextBox 59"/>
        <xdr:cNvSpPr txBox="1"/>
      </xdr:nvSpPr>
      <xdr:spPr>
        <a:xfrm>
          <a:off x="533400" y="4257675"/>
          <a:ext cx="33147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200" b="1">
              <a:solidFill>
                <a:srgbClr val="EAF2FF"/>
              </a:solidFill>
              <a:latin typeface="Segoe UI"/>
              <a:cs typeface="Segoe UI"/>
            </a:rPr>
            <a:t/>
          </a:fld>
          <a:endParaRPr lang="en-US" sz="1200" b="1">
            <a:solidFill>
              <a:srgbClr val="EAF2FF"/>
            </a:solidFill>
            <a:latin typeface="Segoe UI"/>
            <a:cs typeface="Segoe UI"/>
          </a:endParaRPr>
        </a:p>
      </xdr:txBody>
    </xdr:sp>
    <xdr:clientData/>
  </xdr:twoCellAnchor>
  <xdr:twoCellAnchor editAs="absolute">
    <xdr:from>
      <xdr:col>2</xdr:col>
      <xdr:colOff>152400</xdr:colOff>
      <xdr:row>23</xdr:row>
      <xdr:rowOff>95250</xdr:rowOff>
    </xdr:from>
    <xdr:to>
      <xdr:col>20</xdr:col>
      <xdr:colOff>38100</xdr:colOff>
      <xdr:row>24</xdr:row>
      <xdr:rowOff>95250</xdr:rowOff>
    </xdr:to>
    <xdr:sp macro="" textlink="'Tablero'!$N$155">
      <xdr:nvSpPr>
        <xdr:cNvPr id="61" name="TextBox 60"/>
        <xdr:cNvSpPr txBox="1"/>
      </xdr:nvSpPr>
      <xdr:spPr>
        <a:xfrm>
          <a:off x="533400" y="4476750"/>
          <a:ext cx="33147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5D7295"/>
              </a:solidFill>
              <a:latin typeface="Segoe UI"/>
              <a:cs typeface="Segoe UI"/>
            </a:rPr>
            <a:t/>
          </a:fld>
          <a:endParaRPr lang="en-US" sz="800" b="0">
            <a:solidFill>
              <a:srgbClr val="5D7295"/>
            </a:solidFill>
            <a:latin typeface="Segoe UI"/>
            <a:cs typeface="Segoe UI"/>
          </a:endParaRPr>
        </a:p>
      </xdr:txBody>
    </xdr:sp>
    <xdr:clientData/>
  </xdr:twoCellAnchor>
  <xdr:twoCellAnchor editAs="absolute">
    <xdr:from>
      <xdr:col>2</xdr:col>
      <xdr:colOff>152400</xdr:colOff>
      <xdr:row>24</xdr:row>
      <xdr:rowOff>76200</xdr:rowOff>
    </xdr:from>
    <xdr:to>
      <xdr:col>9</xdr:col>
      <xdr:colOff>57150</xdr:colOff>
      <xdr:row>25</xdr:row>
      <xdr:rowOff>95250</xdr:rowOff>
    </xdr:to>
    <xdr:sp macro="" textlink="">
      <xdr:nvSpPr>
        <xdr:cNvPr id="62" name="TextBox 61"/>
        <xdr:cNvSpPr txBox="1"/>
      </xdr:nvSpPr>
      <xdr:spPr>
        <a:xfrm>
          <a:off x="533400" y="4648200"/>
          <a:ext cx="1238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900" b="0">
              <a:solidFill>
                <a:srgbClr val="8EA3C4"/>
              </a:solidFill>
              <a:latin typeface="Segoe UI"/>
              <a:cs typeface="Segoe UI"/>
            </a:rPr>
            <a:t>Ingresos</a:t>
          </a:r>
        </a:p>
      </xdr:txBody>
    </xdr:sp>
    <xdr:clientData/>
  </xdr:twoCellAnchor>
  <xdr:twoCellAnchor editAs="absolute">
    <xdr:from>
      <xdr:col>8</xdr:col>
      <xdr:colOff>38100</xdr:colOff>
      <xdr:row>24</xdr:row>
      <xdr:rowOff>76200</xdr:rowOff>
    </xdr:from>
    <xdr:to>
      <xdr:col>16</xdr:col>
      <xdr:colOff>38100</xdr:colOff>
      <xdr:row>25</xdr:row>
      <xdr:rowOff>95250</xdr:rowOff>
    </xdr:to>
    <xdr:sp macro="" textlink="'Tablero'!$N$203">
      <xdr:nvSpPr>
        <xdr:cNvPr id="63" name="TextBox 62"/>
        <xdr:cNvSpPr txBox="1"/>
      </xdr:nvSpPr>
      <xdr:spPr>
        <a:xfrm>
          <a:off x="1562100" y="4648200"/>
          <a:ext cx="15240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EAF2FF"/>
              </a:solidFill>
              <a:latin typeface="Segoe UI"/>
              <a:cs typeface="Segoe UI"/>
            </a:rPr>
            <a:t/>
          </a:fld>
          <a:endParaRPr lang="en-US" sz="900" b="1">
            <a:solidFill>
              <a:srgbClr val="EAF2FF"/>
            </a:solidFill>
            <a:latin typeface="Segoe UI"/>
            <a:cs typeface="Segoe UI"/>
          </a:endParaRPr>
        </a:p>
      </xdr:txBody>
    </xdr:sp>
    <xdr:clientData/>
  </xdr:twoCellAnchor>
  <xdr:twoCellAnchor editAs="absolute">
    <xdr:from>
      <xdr:col>16</xdr:col>
      <xdr:colOff>0</xdr:colOff>
      <xdr:row>24</xdr:row>
      <xdr:rowOff>76200</xdr:rowOff>
    </xdr:from>
    <xdr:to>
      <xdr:col>20</xdr:col>
      <xdr:colOff>38100</xdr:colOff>
      <xdr:row>25</xdr:row>
      <xdr:rowOff>95250</xdr:rowOff>
    </xdr:to>
    <xdr:sp macro="" textlink="'Tablero'!$Z$203">
      <xdr:nvSpPr>
        <xdr:cNvPr id="64" name="TextBox 63"/>
        <xdr:cNvSpPr txBox="1"/>
      </xdr:nvSpPr>
      <xdr:spPr>
        <a:xfrm>
          <a:off x="3048000" y="4648200"/>
          <a:ext cx="800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22D3EE"/>
              </a:solidFill>
              <a:latin typeface="Segoe UI"/>
              <a:cs typeface="Segoe UI"/>
            </a:rPr>
            <a:t/>
          </a:fld>
          <a:endParaRPr lang="en-US" sz="900" b="1">
            <a:solidFill>
              <a:srgbClr val="22D3EE"/>
            </a:solidFill>
            <a:latin typeface="Segoe UI"/>
            <a:cs typeface="Segoe UI"/>
          </a:endParaRPr>
        </a:p>
      </xdr:txBody>
    </xdr:sp>
    <xdr:clientData/>
  </xdr:twoCellAnchor>
  <xdr:twoCellAnchor editAs="absolute">
    <xdr:from>
      <xdr:col>2</xdr:col>
      <xdr:colOff>152400</xdr:colOff>
      <xdr:row>26</xdr:row>
      <xdr:rowOff>95250</xdr:rowOff>
    </xdr:from>
    <xdr:to>
      <xdr:col>9</xdr:col>
      <xdr:colOff>57150</xdr:colOff>
      <xdr:row>27</xdr:row>
      <xdr:rowOff>114300</xdr:rowOff>
    </xdr:to>
    <xdr:sp macro="" textlink="">
      <xdr:nvSpPr>
        <xdr:cNvPr id="65" name="TextBox 64"/>
        <xdr:cNvSpPr txBox="1"/>
      </xdr:nvSpPr>
      <xdr:spPr>
        <a:xfrm>
          <a:off x="533400" y="5048250"/>
          <a:ext cx="1238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900" b="0">
              <a:solidFill>
                <a:srgbClr val="8EA3C4"/>
              </a:solidFill>
              <a:latin typeface="Segoe UI"/>
              <a:cs typeface="Segoe UI"/>
            </a:rPr>
            <a:t>EBITDA ajustado</a:t>
          </a:r>
        </a:p>
      </xdr:txBody>
    </xdr:sp>
    <xdr:clientData/>
  </xdr:twoCellAnchor>
  <xdr:twoCellAnchor editAs="absolute">
    <xdr:from>
      <xdr:col>8</xdr:col>
      <xdr:colOff>38100</xdr:colOff>
      <xdr:row>26</xdr:row>
      <xdr:rowOff>95250</xdr:rowOff>
    </xdr:from>
    <xdr:to>
      <xdr:col>16</xdr:col>
      <xdr:colOff>38100</xdr:colOff>
      <xdr:row>27</xdr:row>
      <xdr:rowOff>114300</xdr:rowOff>
    </xdr:to>
    <xdr:sp macro="" textlink="'Tablero'!$N$204">
      <xdr:nvSpPr>
        <xdr:cNvPr id="66" name="TextBox 65"/>
        <xdr:cNvSpPr txBox="1"/>
      </xdr:nvSpPr>
      <xdr:spPr>
        <a:xfrm>
          <a:off x="1562100" y="5048250"/>
          <a:ext cx="15240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EAF2FF"/>
              </a:solidFill>
              <a:latin typeface="Segoe UI"/>
              <a:cs typeface="Segoe UI"/>
            </a:rPr>
            <a:t/>
          </a:fld>
          <a:endParaRPr lang="en-US" sz="900" b="1">
            <a:solidFill>
              <a:srgbClr val="EAF2FF"/>
            </a:solidFill>
            <a:latin typeface="Segoe UI"/>
            <a:cs typeface="Segoe UI"/>
          </a:endParaRPr>
        </a:p>
      </xdr:txBody>
    </xdr:sp>
    <xdr:clientData/>
  </xdr:twoCellAnchor>
  <xdr:twoCellAnchor editAs="absolute">
    <xdr:from>
      <xdr:col>16</xdr:col>
      <xdr:colOff>0</xdr:colOff>
      <xdr:row>26</xdr:row>
      <xdr:rowOff>95250</xdr:rowOff>
    </xdr:from>
    <xdr:to>
      <xdr:col>20</xdr:col>
      <xdr:colOff>38100</xdr:colOff>
      <xdr:row>27</xdr:row>
      <xdr:rowOff>114300</xdr:rowOff>
    </xdr:to>
    <xdr:sp macro="" textlink="'Tablero'!$Z$204">
      <xdr:nvSpPr>
        <xdr:cNvPr id="67" name="TextBox 66"/>
        <xdr:cNvSpPr txBox="1"/>
      </xdr:nvSpPr>
      <xdr:spPr>
        <a:xfrm>
          <a:off x="3048000" y="5048250"/>
          <a:ext cx="800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22D3EE"/>
              </a:solidFill>
              <a:latin typeface="Segoe UI"/>
              <a:cs typeface="Segoe UI"/>
            </a:rPr>
            <a:t/>
          </a:fld>
          <a:endParaRPr lang="en-US" sz="900" b="1">
            <a:solidFill>
              <a:srgbClr val="22D3EE"/>
            </a:solidFill>
            <a:latin typeface="Segoe UI"/>
            <a:cs typeface="Segoe UI"/>
          </a:endParaRPr>
        </a:p>
      </xdr:txBody>
    </xdr:sp>
    <xdr:clientData/>
  </xdr:twoCellAnchor>
  <xdr:twoCellAnchor editAs="absolute">
    <xdr:from>
      <xdr:col>2</xdr:col>
      <xdr:colOff>152400</xdr:colOff>
      <xdr:row>28</xdr:row>
      <xdr:rowOff>114300</xdr:rowOff>
    </xdr:from>
    <xdr:to>
      <xdr:col>9</xdr:col>
      <xdr:colOff>57150</xdr:colOff>
      <xdr:row>29</xdr:row>
      <xdr:rowOff>133350</xdr:rowOff>
    </xdr:to>
    <xdr:sp macro="" textlink="">
      <xdr:nvSpPr>
        <xdr:cNvPr id="68" name="TextBox 67"/>
        <xdr:cNvSpPr txBox="1"/>
      </xdr:nvSpPr>
      <xdr:spPr>
        <a:xfrm>
          <a:off x="533400" y="5448300"/>
          <a:ext cx="1238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900" b="0">
              <a:solidFill>
                <a:srgbClr val="8EA3C4"/>
              </a:solidFill>
              <a:latin typeface="Segoe UI"/>
              <a:cs typeface="Segoe UI"/>
            </a:rPr>
            <a:t>Flujo operativo</a:t>
          </a:r>
        </a:p>
      </xdr:txBody>
    </xdr:sp>
    <xdr:clientData/>
  </xdr:twoCellAnchor>
  <xdr:twoCellAnchor editAs="absolute">
    <xdr:from>
      <xdr:col>8</xdr:col>
      <xdr:colOff>38100</xdr:colOff>
      <xdr:row>28</xdr:row>
      <xdr:rowOff>114300</xdr:rowOff>
    </xdr:from>
    <xdr:to>
      <xdr:col>16</xdr:col>
      <xdr:colOff>38100</xdr:colOff>
      <xdr:row>29</xdr:row>
      <xdr:rowOff>133350</xdr:rowOff>
    </xdr:to>
    <xdr:sp macro="" textlink="'Tablero'!$N$205">
      <xdr:nvSpPr>
        <xdr:cNvPr id="69" name="TextBox 68"/>
        <xdr:cNvSpPr txBox="1"/>
      </xdr:nvSpPr>
      <xdr:spPr>
        <a:xfrm>
          <a:off x="1562100" y="5448300"/>
          <a:ext cx="15240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EAF2FF"/>
              </a:solidFill>
              <a:latin typeface="Segoe UI"/>
              <a:cs typeface="Segoe UI"/>
            </a:rPr>
            <a:t/>
          </a:fld>
          <a:endParaRPr lang="en-US" sz="900" b="1">
            <a:solidFill>
              <a:srgbClr val="EAF2FF"/>
            </a:solidFill>
            <a:latin typeface="Segoe UI"/>
            <a:cs typeface="Segoe UI"/>
          </a:endParaRPr>
        </a:p>
      </xdr:txBody>
    </xdr:sp>
    <xdr:clientData/>
  </xdr:twoCellAnchor>
  <xdr:twoCellAnchor editAs="absolute">
    <xdr:from>
      <xdr:col>16</xdr:col>
      <xdr:colOff>0</xdr:colOff>
      <xdr:row>28</xdr:row>
      <xdr:rowOff>114300</xdr:rowOff>
    </xdr:from>
    <xdr:to>
      <xdr:col>20</xdr:col>
      <xdr:colOff>38100</xdr:colOff>
      <xdr:row>29</xdr:row>
      <xdr:rowOff>133350</xdr:rowOff>
    </xdr:to>
    <xdr:sp macro="" textlink="'Tablero'!$Z$205">
      <xdr:nvSpPr>
        <xdr:cNvPr id="70" name="TextBox 69"/>
        <xdr:cNvSpPr txBox="1"/>
      </xdr:nvSpPr>
      <xdr:spPr>
        <a:xfrm>
          <a:off x="3048000" y="5448300"/>
          <a:ext cx="800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22D3EE"/>
              </a:solidFill>
              <a:latin typeface="Segoe UI"/>
              <a:cs typeface="Segoe UI"/>
            </a:rPr>
            <a:t/>
          </a:fld>
          <a:endParaRPr lang="en-US" sz="900" b="1">
            <a:solidFill>
              <a:srgbClr val="22D3EE"/>
            </a:solidFill>
            <a:latin typeface="Segoe UI"/>
            <a:cs typeface="Segoe UI"/>
          </a:endParaRPr>
        </a:p>
      </xdr:txBody>
    </xdr:sp>
    <xdr:clientData/>
  </xdr:twoCellAnchor>
  <xdr:twoCellAnchor editAs="absolute">
    <xdr:from>
      <xdr:col>2</xdr:col>
      <xdr:colOff>152400</xdr:colOff>
      <xdr:row>30</xdr:row>
      <xdr:rowOff>133350</xdr:rowOff>
    </xdr:from>
    <xdr:to>
      <xdr:col>9</xdr:col>
      <xdr:colOff>57150</xdr:colOff>
      <xdr:row>31</xdr:row>
      <xdr:rowOff>152400</xdr:rowOff>
    </xdr:to>
    <xdr:sp macro="" textlink="">
      <xdr:nvSpPr>
        <xdr:cNvPr id="71" name="TextBox 70"/>
        <xdr:cNvSpPr txBox="1"/>
      </xdr:nvSpPr>
      <xdr:spPr>
        <a:xfrm>
          <a:off x="533400" y="5848350"/>
          <a:ext cx="1238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900" b="0">
              <a:solidFill>
                <a:srgbClr val="8EA3C4"/>
              </a:solidFill>
              <a:latin typeface="Segoe UI"/>
              <a:cs typeface="Segoe UI"/>
            </a:rPr>
            <a:t>Capex</a:t>
          </a:r>
        </a:p>
      </xdr:txBody>
    </xdr:sp>
    <xdr:clientData/>
  </xdr:twoCellAnchor>
  <xdr:twoCellAnchor editAs="absolute">
    <xdr:from>
      <xdr:col>8</xdr:col>
      <xdr:colOff>38100</xdr:colOff>
      <xdr:row>30</xdr:row>
      <xdr:rowOff>133350</xdr:rowOff>
    </xdr:from>
    <xdr:to>
      <xdr:col>16</xdr:col>
      <xdr:colOff>38100</xdr:colOff>
      <xdr:row>31</xdr:row>
      <xdr:rowOff>152400</xdr:rowOff>
    </xdr:to>
    <xdr:sp macro="" textlink="'Tablero'!$N$206">
      <xdr:nvSpPr>
        <xdr:cNvPr id="72" name="TextBox 71"/>
        <xdr:cNvSpPr txBox="1"/>
      </xdr:nvSpPr>
      <xdr:spPr>
        <a:xfrm>
          <a:off x="1562100" y="5848350"/>
          <a:ext cx="15240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EAF2FF"/>
              </a:solidFill>
              <a:latin typeface="Segoe UI"/>
              <a:cs typeface="Segoe UI"/>
            </a:rPr>
            <a:t/>
          </a:fld>
          <a:endParaRPr lang="en-US" sz="900" b="1">
            <a:solidFill>
              <a:srgbClr val="EAF2FF"/>
            </a:solidFill>
            <a:latin typeface="Segoe UI"/>
            <a:cs typeface="Segoe UI"/>
          </a:endParaRPr>
        </a:p>
      </xdr:txBody>
    </xdr:sp>
    <xdr:clientData/>
  </xdr:twoCellAnchor>
  <xdr:twoCellAnchor editAs="absolute">
    <xdr:from>
      <xdr:col>16</xdr:col>
      <xdr:colOff>0</xdr:colOff>
      <xdr:row>30</xdr:row>
      <xdr:rowOff>133350</xdr:rowOff>
    </xdr:from>
    <xdr:to>
      <xdr:col>20</xdr:col>
      <xdr:colOff>38100</xdr:colOff>
      <xdr:row>31</xdr:row>
      <xdr:rowOff>152400</xdr:rowOff>
    </xdr:to>
    <xdr:sp macro="" textlink="'Tablero'!$Z$206">
      <xdr:nvSpPr>
        <xdr:cNvPr id="73" name="TextBox 72"/>
        <xdr:cNvSpPr txBox="1"/>
      </xdr:nvSpPr>
      <xdr:spPr>
        <a:xfrm>
          <a:off x="3048000" y="5848350"/>
          <a:ext cx="800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22D3EE"/>
              </a:solidFill>
              <a:latin typeface="Segoe UI"/>
              <a:cs typeface="Segoe UI"/>
            </a:rPr>
            <a:t/>
          </a:fld>
          <a:endParaRPr lang="en-US" sz="900" b="1">
            <a:solidFill>
              <a:srgbClr val="22D3EE"/>
            </a:solidFill>
            <a:latin typeface="Segoe UI"/>
            <a:cs typeface="Segoe UI"/>
          </a:endParaRPr>
        </a:p>
      </xdr:txBody>
    </xdr:sp>
    <xdr:clientData/>
  </xdr:twoCellAnchor>
  <xdr:twoCellAnchor editAs="absolute">
    <xdr:from>
      <xdr:col>22</xdr:col>
      <xdr:colOff>114300</xdr:colOff>
      <xdr:row>22</xdr:row>
      <xdr:rowOff>66675</xdr:rowOff>
    </xdr:from>
    <xdr:to>
      <xdr:col>55</xdr:col>
      <xdr:colOff>76200</xdr:colOff>
      <xdr:row>23</xdr:row>
      <xdr:rowOff>123825</xdr:rowOff>
    </xdr:to>
    <xdr:sp macro="" textlink="">
      <xdr:nvSpPr>
        <xdr:cNvPr id="74" name="TextBox 73"/>
        <xdr:cNvSpPr txBox="1"/>
      </xdr:nvSpPr>
      <xdr:spPr>
        <a:xfrm>
          <a:off x="4305300" y="4257675"/>
          <a:ext cx="6248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200" b="1">
              <a:solidFill>
                <a:srgbClr val="EAF2FF"/>
              </a:solidFill>
              <a:latin typeface="Segoe UI"/>
              <a:cs typeface="Segoe UI"/>
            </a:rPr>
            <a:t>Adónde va cada dólar de ingresos</a:t>
          </a:r>
        </a:p>
      </xdr:txBody>
    </xdr:sp>
    <xdr:clientData/>
  </xdr:twoCellAnchor>
  <xdr:twoCellAnchor editAs="absolute">
    <xdr:from>
      <xdr:col>22</xdr:col>
      <xdr:colOff>114300</xdr:colOff>
      <xdr:row>23</xdr:row>
      <xdr:rowOff>95250</xdr:rowOff>
    </xdr:from>
    <xdr:to>
      <xdr:col>55</xdr:col>
      <xdr:colOff>76200</xdr:colOff>
      <xdr:row>24</xdr:row>
      <xdr:rowOff>95250</xdr:rowOff>
    </xdr:to>
    <xdr:sp macro="" textlink="'Tablero'!$N$156">
      <xdr:nvSpPr>
        <xdr:cNvPr id="75" name="TextBox 74"/>
        <xdr:cNvSpPr txBox="1"/>
      </xdr:nvSpPr>
      <xdr:spPr>
        <a:xfrm>
          <a:off x="4305300" y="4476750"/>
          <a:ext cx="62484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5D7295"/>
              </a:solidFill>
              <a:latin typeface="Segoe UI"/>
              <a:cs typeface="Segoe UI"/>
            </a:rPr>
            <a:t/>
          </a:fld>
          <a:endParaRPr lang="en-US" sz="800" b="0">
            <a:solidFill>
              <a:srgbClr val="5D7295"/>
            </a:solidFill>
            <a:latin typeface="Segoe UI"/>
            <a:cs typeface="Segoe UI"/>
          </a:endParaRPr>
        </a:p>
      </xdr:txBody>
    </xdr:sp>
    <xdr:clientData/>
  </xdr:twoCellAnchor>
  <xdr:twoCellAnchor editAs="absolute">
    <xdr:from>
      <xdr:col>30</xdr:col>
      <xdr:colOff>0</xdr:colOff>
      <xdr:row>23</xdr:row>
      <xdr:rowOff>95250</xdr:rowOff>
    </xdr:from>
    <xdr:to>
      <xdr:col>45</xdr:col>
      <xdr:colOff>0</xdr:colOff>
      <xdr:row>24</xdr:row>
      <xdr:rowOff>95250</xdr:rowOff>
    </xdr:to>
    <xdr:sp macro="" textlink="'Tablero'!$N$217">
      <xdr:nvSpPr>
        <xdr:cNvPr id="76" name="TextBox 75"/>
        <xdr:cNvSpPr txBox="1"/>
      </xdr:nvSpPr>
      <xdr:spPr>
        <a:xfrm>
          <a:off x="5715000" y="4476750"/>
          <a:ext cx="2857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FBBF24"/>
              </a:solidFill>
              <a:latin typeface="Segoe UI"/>
              <a:cs typeface="Segoe UI"/>
            </a:rPr>
            <a:t/>
          </a:fld>
          <a:endParaRPr lang="en-US" sz="800" b="1">
            <a:solidFill>
              <a:srgbClr val="FBBF24"/>
            </a:solidFill>
            <a:latin typeface="Segoe UI"/>
            <a:cs typeface="Segoe UI"/>
          </a:endParaRPr>
        </a:p>
      </xdr:txBody>
    </xdr:sp>
    <xdr:clientData/>
  </xdr:twoCellAnchor>
  <xdr:twoCellAnchor editAs="absolute">
    <xdr:from>
      <xdr:col>22</xdr:col>
      <xdr:colOff>114300</xdr:colOff>
      <xdr:row>27</xdr:row>
      <xdr:rowOff>180975</xdr:rowOff>
    </xdr:from>
    <xdr:to>
      <xdr:col>31</xdr:col>
      <xdr:colOff>57150</xdr:colOff>
      <xdr:row>29</xdr:row>
      <xdr:rowOff>47625</xdr:rowOff>
    </xdr:to>
    <xdr:sp macro="" textlink="'Tablero'!$N$216">
      <xdr:nvSpPr>
        <xdr:cNvPr id="77" name="TextBox 76"/>
        <xdr:cNvSpPr txBox="1"/>
      </xdr:nvSpPr>
      <xdr:spPr>
        <a:xfrm>
          <a:off x="4305300" y="5324475"/>
          <a:ext cx="16573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1"/>
        <a:lstStyle/>
        <a:p>
          <a:fld id="{B8ADDEFE-BF52-4FD4-8C5D-6B85EF6FF707}" type="TxLink">
            <a:rPr lang="en-US" sz="1200" b="1">
              <a:solidFill>
                <a:srgbClr val="EAF2FF"/>
              </a:solidFill>
              <a:latin typeface="Segoe UI"/>
              <a:cs typeface="Segoe UI"/>
            </a:rPr>
            <a:t/>
          </a:fld>
          <a:endParaRPr lang="en-US" sz="1200" b="1">
            <a:solidFill>
              <a:srgbClr val="EAF2FF"/>
            </a:solidFill>
            <a:latin typeface="Segoe UI"/>
            <a:cs typeface="Segoe UI"/>
          </a:endParaRPr>
        </a:p>
      </xdr:txBody>
    </xdr:sp>
    <xdr:clientData/>
  </xdr:twoCellAnchor>
  <xdr:twoCellAnchor editAs="absolute">
    <xdr:from>
      <xdr:col>22</xdr:col>
      <xdr:colOff>114300</xdr:colOff>
      <xdr:row>29</xdr:row>
      <xdr:rowOff>28575</xdr:rowOff>
    </xdr:from>
    <xdr:to>
      <xdr:col>31</xdr:col>
      <xdr:colOff>57150</xdr:colOff>
      <xdr:row>30</xdr:row>
      <xdr:rowOff>9525</xdr:rowOff>
    </xdr:to>
    <xdr:sp macro="" textlink="">
      <xdr:nvSpPr>
        <xdr:cNvPr id="78" name="TextBox 77"/>
        <xdr:cNvSpPr txBox="1"/>
      </xdr:nvSpPr>
      <xdr:spPr>
        <a:xfrm>
          <a:off x="4305300" y="5553075"/>
          <a:ext cx="16573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1"/>
        <a:lstStyle/>
        <a:p>
          <a:r>
            <a:rPr lang="en-US" sz="800" b="0">
              <a:solidFill>
                <a:srgbClr val="5D7295"/>
              </a:solidFill>
              <a:latin typeface="Segoe UI"/>
              <a:cs typeface="Segoe UI"/>
            </a:rPr>
            <a:t>ingresos</a:t>
          </a:r>
        </a:p>
      </xdr:txBody>
    </xdr:sp>
    <xdr:clientData/>
  </xdr:twoCellAnchor>
  <xdr:twoCellAnchor editAs="absolute">
    <xdr:from>
      <xdr:col>32</xdr:col>
      <xdr:colOff>0</xdr:colOff>
      <xdr:row>24</xdr:row>
      <xdr:rowOff>114300</xdr:rowOff>
    </xdr:from>
    <xdr:to>
      <xdr:col>33</xdr:col>
      <xdr:colOff>0</xdr:colOff>
      <xdr:row>25</xdr:row>
      <xdr:rowOff>133350</xdr:rowOff>
    </xdr:to>
    <xdr:sp macro="" textlink="">
      <xdr:nvSpPr>
        <xdr:cNvPr id="79" name="TextBox 78"/>
        <xdr:cNvSpPr txBox="1"/>
      </xdr:nvSpPr>
      <xdr:spPr>
        <a:xfrm>
          <a:off x="6096000" y="4686300"/>
          <a:ext cx="190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000" b="0">
              <a:solidFill>
                <a:srgbClr val="22D3EE"/>
              </a:solidFill>
              <a:latin typeface="Segoe UI"/>
              <a:cs typeface="Segoe UI"/>
            </a:rPr>
            <a:t>●</a:t>
          </a:r>
        </a:p>
      </xdr:txBody>
    </xdr:sp>
    <xdr:clientData/>
  </xdr:twoCellAnchor>
  <xdr:twoCellAnchor editAs="absolute">
    <xdr:from>
      <xdr:col>32</xdr:col>
      <xdr:colOff>152400</xdr:colOff>
      <xdr:row>24</xdr:row>
      <xdr:rowOff>114300</xdr:rowOff>
    </xdr:from>
    <xdr:to>
      <xdr:col>40</xdr:col>
      <xdr:colOff>57150</xdr:colOff>
      <xdr:row>25</xdr:row>
      <xdr:rowOff>133350</xdr:rowOff>
    </xdr:to>
    <xdr:sp macro="" textlink="">
      <xdr:nvSpPr>
        <xdr:cNvPr id="80" name="TextBox 79"/>
        <xdr:cNvSpPr txBox="1"/>
      </xdr:nvSpPr>
      <xdr:spPr>
        <a:xfrm>
          <a:off x="6248400" y="4686300"/>
          <a:ext cx="1428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8EA3C4"/>
              </a:solidFill>
              <a:latin typeface="Segoe UI"/>
              <a:cs typeface="Segoe UI"/>
            </a:rPr>
            <a:t>Costos de producción</a:t>
          </a:r>
        </a:p>
      </xdr:txBody>
    </xdr:sp>
    <xdr:clientData/>
  </xdr:twoCellAnchor>
  <xdr:twoCellAnchor editAs="absolute">
    <xdr:from>
      <xdr:col>38</xdr:col>
      <xdr:colOff>57150</xdr:colOff>
      <xdr:row>24</xdr:row>
      <xdr:rowOff>114300</xdr:rowOff>
    </xdr:from>
    <xdr:to>
      <xdr:col>41</xdr:col>
      <xdr:colOff>57150</xdr:colOff>
      <xdr:row>25</xdr:row>
      <xdr:rowOff>133350</xdr:rowOff>
    </xdr:to>
    <xdr:sp macro="" textlink="'Tablero'!$T$210">
      <xdr:nvSpPr>
        <xdr:cNvPr id="81" name="TextBox 80"/>
        <xdr:cNvSpPr txBox="1"/>
      </xdr:nvSpPr>
      <xdr:spPr>
        <a:xfrm>
          <a:off x="7296150" y="4686300"/>
          <a:ext cx="571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41</xdr:col>
      <xdr:colOff>0</xdr:colOff>
      <xdr:row>24</xdr:row>
      <xdr:rowOff>114300</xdr:rowOff>
    </xdr:from>
    <xdr:to>
      <xdr:col>45</xdr:col>
      <xdr:colOff>38100</xdr:colOff>
      <xdr:row>25</xdr:row>
      <xdr:rowOff>133350</xdr:rowOff>
    </xdr:to>
    <xdr:sp macro="" textlink="'Tablero'!$Z$210">
      <xdr:nvSpPr>
        <xdr:cNvPr id="82" name="TextBox 81"/>
        <xdr:cNvSpPr txBox="1"/>
      </xdr:nvSpPr>
      <xdr:spPr>
        <a:xfrm>
          <a:off x="7810500" y="4686300"/>
          <a:ext cx="800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32</xdr:col>
      <xdr:colOff>0</xdr:colOff>
      <xdr:row>25</xdr:row>
      <xdr:rowOff>180975</xdr:rowOff>
    </xdr:from>
    <xdr:to>
      <xdr:col>33</xdr:col>
      <xdr:colOff>0</xdr:colOff>
      <xdr:row>27</xdr:row>
      <xdr:rowOff>9525</xdr:rowOff>
    </xdr:to>
    <xdr:sp macro="" textlink="">
      <xdr:nvSpPr>
        <xdr:cNvPr id="83" name="TextBox 82"/>
        <xdr:cNvSpPr txBox="1"/>
      </xdr:nvSpPr>
      <xdr:spPr>
        <a:xfrm>
          <a:off x="6096000" y="4943475"/>
          <a:ext cx="190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000" b="0">
              <a:solidFill>
                <a:srgbClr val="3B82F6"/>
              </a:solidFill>
              <a:latin typeface="Segoe UI"/>
              <a:cs typeface="Segoe UI"/>
            </a:rPr>
            <a:t>●</a:t>
          </a:r>
        </a:p>
      </xdr:txBody>
    </xdr:sp>
    <xdr:clientData/>
  </xdr:twoCellAnchor>
  <xdr:twoCellAnchor editAs="absolute">
    <xdr:from>
      <xdr:col>32</xdr:col>
      <xdr:colOff>152400</xdr:colOff>
      <xdr:row>25</xdr:row>
      <xdr:rowOff>180975</xdr:rowOff>
    </xdr:from>
    <xdr:to>
      <xdr:col>40</xdr:col>
      <xdr:colOff>57150</xdr:colOff>
      <xdr:row>27</xdr:row>
      <xdr:rowOff>9525</xdr:rowOff>
    </xdr:to>
    <xdr:sp macro="" textlink="">
      <xdr:nvSpPr>
        <xdr:cNvPr id="84" name="TextBox 83"/>
        <xdr:cNvSpPr txBox="1"/>
      </xdr:nvSpPr>
      <xdr:spPr>
        <a:xfrm>
          <a:off x="6248400" y="4943475"/>
          <a:ext cx="1428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8EA3C4"/>
              </a:solidFill>
              <a:latin typeface="Segoe UI"/>
              <a:cs typeface="Segoe UI"/>
            </a:rPr>
            <a:t>Comercialización</a:t>
          </a:r>
        </a:p>
      </xdr:txBody>
    </xdr:sp>
    <xdr:clientData/>
  </xdr:twoCellAnchor>
  <xdr:twoCellAnchor editAs="absolute">
    <xdr:from>
      <xdr:col>38</xdr:col>
      <xdr:colOff>57150</xdr:colOff>
      <xdr:row>25</xdr:row>
      <xdr:rowOff>180975</xdr:rowOff>
    </xdr:from>
    <xdr:to>
      <xdr:col>41</xdr:col>
      <xdr:colOff>57150</xdr:colOff>
      <xdr:row>27</xdr:row>
      <xdr:rowOff>9525</xdr:rowOff>
    </xdr:to>
    <xdr:sp macro="" textlink="'Tablero'!$T$211">
      <xdr:nvSpPr>
        <xdr:cNvPr id="85" name="TextBox 84"/>
        <xdr:cNvSpPr txBox="1"/>
      </xdr:nvSpPr>
      <xdr:spPr>
        <a:xfrm>
          <a:off x="7296150" y="4943475"/>
          <a:ext cx="571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41</xdr:col>
      <xdr:colOff>0</xdr:colOff>
      <xdr:row>25</xdr:row>
      <xdr:rowOff>180975</xdr:rowOff>
    </xdr:from>
    <xdr:to>
      <xdr:col>45</xdr:col>
      <xdr:colOff>38100</xdr:colOff>
      <xdr:row>27</xdr:row>
      <xdr:rowOff>9525</xdr:rowOff>
    </xdr:to>
    <xdr:sp macro="" textlink="'Tablero'!$Z$211">
      <xdr:nvSpPr>
        <xdr:cNvPr id="86" name="TextBox 85"/>
        <xdr:cNvSpPr txBox="1"/>
      </xdr:nvSpPr>
      <xdr:spPr>
        <a:xfrm>
          <a:off x="7810500" y="4943475"/>
          <a:ext cx="800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32</xdr:col>
      <xdr:colOff>0</xdr:colOff>
      <xdr:row>27</xdr:row>
      <xdr:rowOff>57150</xdr:rowOff>
    </xdr:from>
    <xdr:to>
      <xdr:col>33</xdr:col>
      <xdr:colOff>0</xdr:colOff>
      <xdr:row>28</xdr:row>
      <xdr:rowOff>76200</xdr:rowOff>
    </xdr:to>
    <xdr:sp macro="" textlink="">
      <xdr:nvSpPr>
        <xdr:cNvPr id="87" name="TextBox 86"/>
        <xdr:cNvSpPr txBox="1"/>
      </xdr:nvSpPr>
      <xdr:spPr>
        <a:xfrm>
          <a:off x="6096000" y="5200650"/>
          <a:ext cx="190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000" b="0">
              <a:solidFill>
                <a:srgbClr val="1E3A8A"/>
              </a:solidFill>
              <a:latin typeface="Segoe UI"/>
              <a:cs typeface="Segoe UI"/>
            </a:rPr>
            <a:t>●</a:t>
          </a:r>
        </a:p>
      </xdr:txBody>
    </xdr:sp>
    <xdr:clientData/>
  </xdr:twoCellAnchor>
  <xdr:twoCellAnchor editAs="absolute">
    <xdr:from>
      <xdr:col>32</xdr:col>
      <xdr:colOff>152400</xdr:colOff>
      <xdr:row>27</xdr:row>
      <xdr:rowOff>57150</xdr:rowOff>
    </xdr:from>
    <xdr:to>
      <xdr:col>40</xdr:col>
      <xdr:colOff>57150</xdr:colOff>
      <xdr:row>28</xdr:row>
      <xdr:rowOff>76200</xdr:rowOff>
    </xdr:to>
    <xdr:sp macro="" textlink="">
      <xdr:nvSpPr>
        <xdr:cNvPr id="88" name="TextBox 87"/>
        <xdr:cNvSpPr txBox="1"/>
      </xdr:nvSpPr>
      <xdr:spPr>
        <a:xfrm>
          <a:off x="6248400" y="5200650"/>
          <a:ext cx="1428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8EA3C4"/>
              </a:solidFill>
              <a:latin typeface="Segoe UI"/>
              <a:cs typeface="Segoe UI"/>
            </a:rPr>
            <a:t>Administración</a:t>
          </a:r>
        </a:p>
      </xdr:txBody>
    </xdr:sp>
    <xdr:clientData/>
  </xdr:twoCellAnchor>
  <xdr:twoCellAnchor editAs="absolute">
    <xdr:from>
      <xdr:col>38</xdr:col>
      <xdr:colOff>57150</xdr:colOff>
      <xdr:row>27</xdr:row>
      <xdr:rowOff>57150</xdr:rowOff>
    </xdr:from>
    <xdr:to>
      <xdr:col>41</xdr:col>
      <xdr:colOff>57150</xdr:colOff>
      <xdr:row>28</xdr:row>
      <xdr:rowOff>76200</xdr:rowOff>
    </xdr:to>
    <xdr:sp macro="" textlink="'Tablero'!$T$212">
      <xdr:nvSpPr>
        <xdr:cNvPr id="89" name="TextBox 88"/>
        <xdr:cNvSpPr txBox="1"/>
      </xdr:nvSpPr>
      <xdr:spPr>
        <a:xfrm>
          <a:off x="7296150" y="5200650"/>
          <a:ext cx="571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41</xdr:col>
      <xdr:colOff>0</xdr:colOff>
      <xdr:row>27</xdr:row>
      <xdr:rowOff>57150</xdr:rowOff>
    </xdr:from>
    <xdr:to>
      <xdr:col>45</xdr:col>
      <xdr:colOff>38100</xdr:colOff>
      <xdr:row>28</xdr:row>
      <xdr:rowOff>76200</xdr:rowOff>
    </xdr:to>
    <xdr:sp macro="" textlink="'Tablero'!$Z$212">
      <xdr:nvSpPr>
        <xdr:cNvPr id="90" name="TextBox 89"/>
        <xdr:cNvSpPr txBox="1"/>
      </xdr:nvSpPr>
      <xdr:spPr>
        <a:xfrm>
          <a:off x="7810500" y="5200650"/>
          <a:ext cx="800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32</xdr:col>
      <xdr:colOff>0</xdr:colOff>
      <xdr:row>28</xdr:row>
      <xdr:rowOff>123825</xdr:rowOff>
    </xdr:from>
    <xdr:to>
      <xdr:col>33</xdr:col>
      <xdr:colOff>0</xdr:colOff>
      <xdr:row>29</xdr:row>
      <xdr:rowOff>142875</xdr:rowOff>
    </xdr:to>
    <xdr:sp macro="" textlink="">
      <xdr:nvSpPr>
        <xdr:cNvPr id="91" name="TextBox 90"/>
        <xdr:cNvSpPr txBox="1"/>
      </xdr:nvSpPr>
      <xdr:spPr>
        <a:xfrm>
          <a:off x="6096000" y="5457825"/>
          <a:ext cx="190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000" b="0">
              <a:solidFill>
                <a:srgbClr val="67E8F9"/>
              </a:solidFill>
              <a:latin typeface="Segoe UI"/>
              <a:cs typeface="Segoe UI"/>
            </a:rPr>
            <a:t>●</a:t>
          </a:r>
        </a:p>
      </xdr:txBody>
    </xdr:sp>
    <xdr:clientData/>
  </xdr:twoCellAnchor>
  <xdr:twoCellAnchor editAs="absolute">
    <xdr:from>
      <xdr:col>32</xdr:col>
      <xdr:colOff>152400</xdr:colOff>
      <xdr:row>28</xdr:row>
      <xdr:rowOff>123825</xdr:rowOff>
    </xdr:from>
    <xdr:to>
      <xdr:col>40</xdr:col>
      <xdr:colOff>57150</xdr:colOff>
      <xdr:row>29</xdr:row>
      <xdr:rowOff>142875</xdr:rowOff>
    </xdr:to>
    <xdr:sp macro="" textlink="">
      <xdr:nvSpPr>
        <xdr:cNvPr id="92" name="TextBox 91"/>
        <xdr:cNvSpPr txBox="1"/>
      </xdr:nvSpPr>
      <xdr:spPr>
        <a:xfrm>
          <a:off x="6248400" y="5457825"/>
          <a:ext cx="1428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8EA3C4"/>
              </a:solidFill>
              <a:latin typeface="Segoe UI"/>
              <a:cs typeface="Segoe UI"/>
            </a:rPr>
            <a:t>Exploración</a:t>
          </a:r>
        </a:p>
      </xdr:txBody>
    </xdr:sp>
    <xdr:clientData/>
  </xdr:twoCellAnchor>
  <xdr:twoCellAnchor editAs="absolute">
    <xdr:from>
      <xdr:col>38</xdr:col>
      <xdr:colOff>57150</xdr:colOff>
      <xdr:row>28</xdr:row>
      <xdr:rowOff>123825</xdr:rowOff>
    </xdr:from>
    <xdr:to>
      <xdr:col>41</xdr:col>
      <xdr:colOff>57150</xdr:colOff>
      <xdr:row>29</xdr:row>
      <xdr:rowOff>142875</xdr:rowOff>
    </xdr:to>
    <xdr:sp macro="" textlink="'Tablero'!$T$213">
      <xdr:nvSpPr>
        <xdr:cNvPr id="93" name="TextBox 92"/>
        <xdr:cNvSpPr txBox="1"/>
      </xdr:nvSpPr>
      <xdr:spPr>
        <a:xfrm>
          <a:off x="7296150" y="5457825"/>
          <a:ext cx="571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41</xdr:col>
      <xdr:colOff>0</xdr:colOff>
      <xdr:row>28</xdr:row>
      <xdr:rowOff>123825</xdr:rowOff>
    </xdr:from>
    <xdr:to>
      <xdr:col>45</xdr:col>
      <xdr:colOff>38100</xdr:colOff>
      <xdr:row>29</xdr:row>
      <xdr:rowOff>142875</xdr:rowOff>
    </xdr:to>
    <xdr:sp macro="" textlink="'Tablero'!$Z$213">
      <xdr:nvSpPr>
        <xdr:cNvPr id="94" name="TextBox 93"/>
        <xdr:cNvSpPr txBox="1"/>
      </xdr:nvSpPr>
      <xdr:spPr>
        <a:xfrm>
          <a:off x="7810500" y="5457825"/>
          <a:ext cx="800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32</xdr:col>
      <xdr:colOff>0</xdr:colOff>
      <xdr:row>30</xdr:row>
      <xdr:rowOff>0</xdr:rowOff>
    </xdr:from>
    <xdr:to>
      <xdr:col>33</xdr:col>
      <xdr:colOff>0</xdr:colOff>
      <xdr:row>31</xdr:row>
      <xdr:rowOff>19050</xdr:rowOff>
    </xdr:to>
    <xdr:sp macro="" textlink="">
      <xdr:nvSpPr>
        <xdr:cNvPr id="95" name="TextBox 94"/>
        <xdr:cNvSpPr txBox="1"/>
      </xdr:nvSpPr>
      <xdr:spPr>
        <a:xfrm>
          <a:off x="6096000" y="5715000"/>
          <a:ext cx="190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000" b="0">
              <a:solidFill>
                <a:srgbClr val="94A3B8"/>
              </a:solidFill>
              <a:latin typeface="Segoe UI"/>
              <a:cs typeface="Segoe UI"/>
            </a:rPr>
            <a:t>●</a:t>
          </a:r>
        </a:p>
      </xdr:txBody>
    </xdr:sp>
    <xdr:clientData/>
  </xdr:twoCellAnchor>
  <xdr:twoCellAnchor editAs="absolute">
    <xdr:from>
      <xdr:col>32</xdr:col>
      <xdr:colOff>152400</xdr:colOff>
      <xdr:row>30</xdr:row>
      <xdr:rowOff>0</xdr:rowOff>
    </xdr:from>
    <xdr:to>
      <xdr:col>40</xdr:col>
      <xdr:colOff>57150</xdr:colOff>
      <xdr:row>31</xdr:row>
      <xdr:rowOff>19050</xdr:rowOff>
    </xdr:to>
    <xdr:sp macro="" textlink="">
      <xdr:nvSpPr>
        <xdr:cNvPr id="96" name="TextBox 95"/>
        <xdr:cNvSpPr txBox="1"/>
      </xdr:nvSpPr>
      <xdr:spPr>
        <a:xfrm>
          <a:off x="6248400" y="5715000"/>
          <a:ext cx="1428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8EA3C4"/>
              </a:solidFill>
              <a:latin typeface="Segoe UI"/>
              <a:cs typeface="Segoe UI"/>
            </a:rPr>
            <a:t>Otros y deterioros</a:t>
          </a:r>
        </a:p>
      </xdr:txBody>
    </xdr:sp>
    <xdr:clientData/>
  </xdr:twoCellAnchor>
  <xdr:twoCellAnchor editAs="absolute">
    <xdr:from>
      <xdr:col>38</xdr:col>
      <xdr:colOff>57150</xdr:colOff>
      <xdr:row>30</xdr:row>
      <xdr:rowOff>0</xdr:rowOff>
    </xdr:from>
    <xdr:to>
      <xdr:col>41</xdr:col>
      <xdr:colOff>57150</xdr:colOff>
      <xdr:row>31</xdr:row>
      <xdr:rowOff>19050</xdr:rowOff>
    </xdr:to>
    <xdr:sp macro="" textlink="'Tablero'!$T$214">
      <xdr:nvSpPr>
        <xdr:cNvPr id="97" name="TextBox 96"/>
        <xdr:cNvSpPr txBox="1"/>
      </xdr:nvSpPr>
      <xdr:spPr>
        <a:xfrm>
          <a:off x="7296150" y="5715000"/>
          <a:ext cx="571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41</xdr:col>
      <xdr:colOff>0</xdr:colOff>
      <xdr:row>30</xdr:row>
      <xdr:rowOff>0</xdr:rowOff>
    </xdr:from>
    <xdr:to>
      <xdr:col>45</xdr:col>
      <xdr:colOff>38100</xdr:colOff>
      <xdr:row>31</xdr:row>
      <xdr:rowOff>19050</xdr:rowOff>
    </xdr:to>
    <xdr:sp macro="" textlink="'Tablero'!$Z$214">
      <xdr:nvSpPr>
        <xdr:cNvPr id="98" name="TextBox 97"/>
        <xdr:cNvSpPr txBox="1"/>
      </xdr:nvSpPr>
      <xdr:spPr>
        <a:xfrm>
          <a:off x="7810500" y="5715000"/>
          <a:ext cx="800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32</xdr:col>
      <xdr:colOff>0</xdr:colOff>
      <xdr:row>31</xdr:row>
      <xdr:rowOff>66675</xdr:rowOff>
    </xdr:from>
    <xdr:to>
      <xdr:col>33</xdr:col>
      <xdr:colOff>0</xdr:colOff>
      <xdr:row>32</xdr:row>
      <xdr:rowOff>85725</xdr:rowOff>
    </xdr:to>
    <xdr:sp macro="" textlink="">
      <xdr:nvSpPr>
        <xdr:cNvPr id="99" name="TextBox 98"/>
        <xdr:cNvSpPr txBox="1"/>
      </xdr:nvSpPr>
      <xdr:spPr>
        <a:xfrm>
          <a:off x="6096000" y="5972175"/>
          <a:ext cx="190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000" b="0">
              <a:solidFill>
                <a:srgbClr val="475569"/>
              </a:solidFill>
              <a:latin typeface="Segoe UI"/>
              <a:cs typeface="Segoe UI"/>
            </a:rPr>
            <a:t>●</a:t>
          </a:r>
        </a:p>
      </xdr:txBody>
    </xdr:sp>
    <xdr:clientData/>
  </xdr:twoCellAnchor>
  <xdr:twoCellAnchor editAs="absolute">
    <xdr:from>
      <xdr:col>32</xdr:col>
      <xdr:colOff>152400</xdr:colOff>
      <xdr:row>31</xdr:row>
      <xdr:rowOff>66675</xdr:rowOff>
    </xdr:from>
    <xdr:to>
      <xdr:col>40</xdr:col>
      <xdr:colOff>57150</xdr:colOff>
      <xdr:row>32</xdr:row>
      <xdr:rowOff>85725</xdr:rowOff>
    </xdr:to>
    <xdr:sp macro="" textlink="">
      <xdr:nvSpPr>
        <xdr:cNvPr id="100" name="TextBox 99"/>
        <xdr:cNvSpPr txBox="1"/>
      </xdr:nvSpPr>
      <xdr:spPr>
        <a:xfrm>
          <a:off x="6248400" y="5972175"/>
          <a:ext cx="1428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8EA3C4"/>
              </a:solidFill>
              <a:latin typeface="Segoe UI"/>
              <a:cs typeface="Segoe UI"/>
            </a:rPr>
            <a:t>Resultado operativo</a:t>
          </a:r>
        </a:p>
      </xdr:txBody>
    </xdr:sp>
    <xdr:clientData/>
  </xdr:twoCellAnchor>
  <xdr:twoCellAnchor editAs="absolute">
    <xdr:from>
      <xdr:col>38</xdr:col>
      <xdr:colOff>57150</xdr:colOff>
      <xdr:row>31</xdr:row>
      <xdr:rowOff>66675</xdr:rowOff>
    </xdr:from>
    <xdr:to>
      <xdr:col>41</xdr:col>
      <xdr:colOff>57150</xdr:colOff>
      <xdr:row>32</xdr:row>
      <xdr:rowOff>85725</xdr:rowOff>
    </xdr:to>
    <xdr:sp macro="" textlink="'Tablero'!$T$215">
      <xdr:nvSpPr>
        <xdr:cNvPr id="101" name="TextBox 100"/>
        <xdr:cNvSpPr txBox="1"/>
      </xdr:nvSpPr>
      <xdr:spPr>
        <a:xfrm>
          <a:off x="7296150" y="5972175"/>
          <a:ext cx="571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41</xdr:col>
      <xdr:colOff>0</xdr:colOff>
      <xdr:row>31</xdr:row>
      <xdr:rowOff>66675</xdr:rowOff>
    </xdr:from>
    <xdr:to>
      <xdr:col>45</xdr:col>
      <xdr:colOff>38100</xdr:colOff>
      <xdr:row>32</xdr:row>
      <xdr:rowOff>85725</xdr:rowOff>
    </xdr:to>
    <xdr:sp macro="" textlink="'Tablero'!$Z$215">
      <xdr:nvSpPr>
        <xdr:cNvPr id="102" name="TextBox 101"/>
        <xdr:cNvSpPr txBox="1"/>
      </xdr:nvSpPr>
      <xdr:spPr>
        <a:xfrm>
          <a:off x="7810500" y="5972175"/>
          <a:ext cx="800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44</xdr:col>
      <xdr:colOff>171450</xdr:colOff>
      <xdr:row>22</xdr:row>
      <xdr:rowOff>19050</xdr:rowOff>
    </xdr:from>
    <xdr:to>
      <xdr:col>51</xdr:col>
      <xdr:colOff>76200</xdr:colOff>
      <xdr:row>23</xdr:row>
      <xdr:rowOff>19050</xdr:rowOff>
    </xdr:to>
    <xdr:sp macro="" textlink="">
      <xdr:nvSpPr>
        <xdr:cNvPr id="103" name="TextBox 102"/>
        <xdr:cNvSpPr txBox="1"/>
      </xdr:nvSpPr>
      <xdr:spPr>
        <a:xfrm>
          <a:off x="8553450" y="4210050"/>
          <a:ext cx="12382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Cuánto se reinvierte</a:t>
          </a:r>
        </a:p>
      </xdr:txBody>
    </xdr:sp>
    <xdr:clientData/>
  </xdr:twoCellAnchor>
  <xdr:twoCellAnchor editAs="absolute">
    <xdr:from>
      <xdr:col>50</xdr:col>
      <xdr:colOff>76200</xdr:colOff>
      <xdr:row>22</xdr:row>
      <xdr:rowOff>19050</xdr:rowOff>
    </xdr:from>
    <xdr:to>
      <xdr:col>55</xdr:col>
      <xdr:colOff>57150</xdr:colOff>
      <xdr:row>23</xdr:row>
      <xdr:rowOff>19050</xdr:rowOff>
    </xdr:to>
    <xdr:sp macro="" textlink="'Tablero'!$N$224">
      <xdr:nvSpPr>
        <xdr:cNvPr id="104" name="TextBox 103"/>
        <xdr:cNvSpPr txBox="1"/>
      </xdr:nvSpPr>
      <xdr:spPr>
        <a:xfrm>
          <a:off x="9601200" y="4210050"/>
          <a:ext cx="9334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22D3EE"/>
              </a:solidFill>
              <a:latin typeface="Segoe UI"/>
              <a:cs typeface="Segoe UI"/>
            </a:rPr>
            <a:t/>
          </a:fld>
          <a:endParaRPr lang="en-US" sz="800" b="1">
            <a:solidFill>
              <a:srgbClr val="22D3EE"/>
            </a:solidFill>
            <a:latin typeface="Segoe UI"/>
            <a:cs typeface="Segoe UI"/>
          </a:endParaRPr>
        </a:p>
      </xdr:txBody>
    </xdr:sp>
    <xdr:clientData/>
  </xdr:twoCellAnchor>
  <xdr:twoCellAnchor editAs="absolute">
    <xdr:from>
      <xdr:col>44</xdr:col>
      <xdr:colOff>171450</xdr:colOff>
      <xdr:row>23</xdr:row>
      <xdr:rowOff>57150</xdr:rowOff>
    </xdr:from>
    <xdr:to>
      <xdr:col>50</xdr:col>
      <xdr:colOff>76200</xdr:colOff>
      <xdr:row>24</xdr:row>
      <xdr:rowOff>57150</xdr:rowOff>
    </xdr:to>
    <xdr:sp macro="" textlink="">
      <xdr:nvSpPr>
        <xdr:cNvPr id="105" name="TextBox 104"/>
        <xdr:cNvSpPr txBox="1"/>
      </xdr:nvSpPr>
      <xdr:spPr>
        <a:xfrm>
          <a:off x="8553450" y="4438650"/>
          <a:ext cx="10477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8EA3C4"/>
              </a:solidFill>
              <a:latin typeface="Segoe UI"/>
              <a:cs typeface="Segoe UI"/>
            </a:rPr>
            <a:t>Flujo operativo</a:t>
          </a:r>
        </a:p>
      </xdr:txBody>
    </xdr:sp>
    <xdr:clientData/>
  </xdr:twoCellAnchor>
  <xdr:twoCellAnchor editAs="absolute">
    <xdr:from>
      <xdr:col>50</xdr:col>
      <xdr:colOff>0</xdr:colOff>
      <xdr:row>23</xdr:row>
      <xdr:rowOff>57150</xdr:rowOff>
    </xdr:from>
    <xdr:to>
      <xdr:col>55</xdr:col>
      <xdr:colOff>57150</xdr:colOff>
      <xdr:row>24</xdr:row>
      <xdr:rowOff>57150</xdr:rowOff>
    </xdr:to>
    <xdr:sp macro="" textlink="'Tablero'!$N$221">
      <xdr:nvSpPr>
        <xdr:cNvPr id="106" name="TextBox 105"/>
        <xdr:cNvSpPr txBox="1"/>
      </xdr:nvSpPr>
      <xdr:spPr>
        <a:xfrm>
          <a:off x="9525000" y="4438650"/>
          <a:ext cx="10096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44</xdr:col>
      <xdr:colOff>171450</xdr:colOff>
      <xdr:row>25</xdr:row>
      <xdr:rowOff>57150</xdr:rowOff>
    </xdr:from>
    <xdr:to>
      <xdr:col>50</xdr:col>
      <xdr:colOff>76200</xdr:colOff>
      <xdr:row>26</xdr:row>
      <xdr:rowOff>57150</xdr:rowOff>
    </xdr:to>
    <xdr:sp macro="" textlink="">
      <xdr:nvSpPr>
        <xdr:cNvPr id="107" name="TextBox 106"/>
        <xdr:cNvSpPr txBox="1"/>
      </xdr:nvSpPr>
      <xdr:spPr>
        <a:xfrm>
          <a:off x="8553450" y="4819650"/>
          <a:ext cx="10477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8EA3C4"/>
              </a:solidFill>
              <a:latin typeface="Segoe UI"/>
              <a:cs typeface="Segoe UI"/>
            </a:rPr>
            <a:t>Capex pagado</a:t>
          </a:r>
        </a:p>
      </xdr:txBody>
    </xdr:sp>
    <xdr:clientData/>
  </xdr:twoCellAnchor>
  <xdr:twoCellAnchor editAs="absolute">
    <xdr:from>
      <xdr:col>50</xdr:col>
      <xdr:colOff>0</xdr:colOff>
      <xdr:row>25</xdr:row>
      <xdr:rowOff>57150</xdr:rowOff>
    </xdr:from>
    <xdr:to>
      <xdr:col>55</xdr:col>
      <xdr:colOff>57150</xdr:colOff>
      <xdr:row>26</xdr:row>
      <xdr:rowOff>57150</xdr:rowOff>
    </xdr:to>
    <xdr:sp macro="" textlink="'Tablero'!$N$222">
      <xdr:nvSpPr>
        <xdr:cNvPr id="108" name="TextBox 107"/>
        <xdr:cNvSpPr txBox="1"/>
      </xdr:nvSpPr>
      <xdr:spPr>
        <a:xfrm>
          <a:off x="9525000" y="4819650"/>
          <a:ext cx="10096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44</xdr:col>
      <xdr:colOff>171450</xdr:colOff>
      <xdr:row>27</xdr:row>
      <xdr:rowOff>76200</xdr:rowOff>
    </xdr:from>
    <xdr:to>
      <xdr:col>55</xdr:col>
      <xdr:colOff>57150</xdr:colOff>
      <xdr:row>28</xdr:row>
      <xdr:rowOff>76200</xdr:rowOff>
    </xdr:to>
    <xdr:sp macro="" textlink="'Tablero'!$N$225">
      <xdr:nvSpPr>
        <xdr:cNvPr id="109" name="TextBox 108"/>
        <xdr:cNvSpPr txBox="1"/>
      </xdr:nvSpPr>
      <xdr:spPr>
        <a:xfrm>
          <a:off x="8553450" y="5219700"/>
          <a:ext cx="1981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FBBF24"/>
              </a:solidFill>
              <a:latin typeface="Segoe UI"/>
              <a:cs typeface="Segoe UI"/>
            </a:rPr>
            <a:t/>
          </a:fld>
          <a:endParaRPr lang="en-US" sz="800" b="1">
            <a:solidFill>
              <a:srgbClr val="FBBF24"/>
            </a:solidFill>
            <a:latin typeface="Segoe UI"/>
            <a:cs typeface="Segoe UI"/>
          </a:endParaRPr>
        </a:p>
      </xdr:txBody>
    </xdr:sp>
    <xdr:clientData/>
  </xdr:twoCellAnchor>
  <xdr:twoCellAnchor editAs="absolute">
    <xdr:from>
      <xdr:col>45</xdr:col>
      <xdr:colOff>76200</xdr:colOff>
      <xdr:row>29</xdr:row>
      <xdr:rowOff>0</xdr:rowOff>
    </xdr:from>
    <xdr:to>
      <xdr:col>54</xdr:col>
      <xdr:colOff>152400</xdr:colOff>
      <xdr:row>29</xdr:row>
      <xdr:rowOff>171450</xdr:rowOff>
    </xdr:to>
    <xdr:sp macro="" textlink="">
      <xdr:nvSpPr>
        <xdr:cNvPr id="110" name="TextBox 109"/>
        <xdr:cNvSpPr txBox="1"/>
      </xdr:nvSpPr>
      <xdr:spPr>
        <a:xfrm>
          <a:off x="8648700" y="5524500"/>
          <a:ext cx="17907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700" b="0">
              <a:solidFill>
                <a:srgbClr val="A9C3EE"/>
              </a:solidFill>
              <a:latin typeface="Segoe UI"/>
              <a:cs typeface="Segoe UI"/>
            </a:rPr>
            <a:t>Flujo libre (operativo − capex pagado)</a:t>
          </a:r>
        </a:p>
      </xdr:txBody>
    </xdr:sp>
    <xdr:clientData/>
  </xdr:twoCellAnchor>
  <xdr:twoCellAnchor editAs="absolute">
    <xdr:from>
      <xdr:col>45</xdr:col>
      <xdr:colOff>76200</xdr:colOff>
      <xdr:row>29</xdr:row>
      <xdr:rowOff>152400</xdr:rowOff>
    </xdr:from>
    <xdr:to>
      <xdr:col>54</xdr:col>
      <xdr:colOff>152400</xdr:colOff>
      <xdr:row>31</xdr:row>
      <xdr:rowOff>57150</xdr:rowOff>
    </xdr:to>
    <xdr:sp macro="" textlink="'Tablero'!$N$223">
      <xdr:nvSpPr>
        <xdr:cNvPr id="111" name="TextBox 110"/>
        <xdr:cNvSpPr txBox="1"/>
      </xdr:nvSpPr>
      <xdr:spPr>
        <a:xfrm>
          <a:off x="8648700" y="5676900"/>
          <a:ext cx="1790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500" b="1">
              <a:solidFill>
                <a:srgbClr val="FFFFFF"/>
              </a:solidFill>
              <a:latin typeface="Segoe UI"/>
              <a:cs typeface="Segoe UI"/>
            </a:rPr>
            <a:t/>
          </a:fld>
          <a:endParaRPr lang="en-US" sz="1500" b="1">
            <a:solidFill>
              <a:srgbClr val="FFFFFF"/>
            </a:solidFill>
            <a:latin typeface="Segoe UI"/>
            <a:cs typeface="Segoe UI"/>
          </a:endParaRPr>
        </a:p>
      </xdr:txBody>
    </xdr:sp>
    <xdr:clientData/>
  </xdr:twoCellAnchor>
  <xdr:twoCellAnchor editAs="absolute">
    <xdr:from>
      <xdr:col>45</xdr:col>
      <xdr:colOff>76200</xdr:colOff>
      <xdr:row>31</xdr:row>
      <xdr:rowOff>76200</xdr:rowOff>
    </xdr:from>
    <xdr:to>
      <xdr:col>50</xdr:col>
      <xdr:colOff>171450</xdr:colOff>
      <xdr:row>32</xdr:row>
      <xdr:rowOff>57150</xdr:rowOff>
    </xdr:to>
    <xdr:sp macro="" textlink="">
      <xdr:nvSpPr>
        <xdr:cNvPr id="112" name="TextBox 111"/>
        <xdr:cNvSpPr txBox="1"/>
      </xdr:nvSpPr>
      <xdr:spPr>
        <a:xfrm>
          <a:off x="8648700" y="5981700"/>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700" b="0">
              <a:solidFill>
                <a:srgbClr val="A9C3EE"/>
              </a:solidFill>
              <a:latin typeface="Segoe UI"/>
              <a:cs typeface="Segoe UI"/>
            </a:rPr>
            <a:t>Publicado por YPF</a:t>
          </a:r>
        </a:p>
      </xdr:txBody>
    </xdr:sp>
    <xdr:clientData/>
  </xdr:twoCellAnchor>
  <xdr:twoCellAnchor editAs="absolute">
    <xdr:from>
      <xdr:col>50</xdr:col>
      <xdr:colOff>0</xdr:colOff>
      <xdr:row>31</xdr:row>
      <xdr:rowOff>76200</xdr:rowOff>
    </xdr:from>
    <xdr:to>
      <xdr:col>54</xdr:col>
      <xdr:colOff>152400</xdr:colOff>
      <xdr:row>32</xdr:row>
      <xdr:rowOff>57150</xdr:rowOff>
    </xdr:to>
    <xdr:sp macro="" textlink="'Tablero'!$N$227">
      <xdr:nvSpPr>
        <xdr:cNvPr id="113" name="TextBox 112"/>
        <xdr:cNvSpPr txBox="1"/>
      </xdr:nvSpPr>
      <xdr:spPr>
        <a:xfrm>
          <a:off x="9525000" y="5981700"/>
          <a:ext cx="9144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CFE0FF"/>
              </a:solidFill>
              <a:latin typeface="Segoe UI"/>
              <a:cs typeface="Segoe UI"/>
            </a:rPr>
            <a:t/>
          </a:fld>
          <a:endParaRPr lang="en-US" sz="800" b="1">
            <a:solidFill>
              <a:srgbClr val="CFE0FF"/>
            </a:solidFill>
            <a:latin typeface="Segoe UI"/>
            <a:cs typeface="Segoe UI"/>
          </a:endParaRPr>
        </a:p>
      </xdr:txBody>
    </xdr:sp>
    <xdr:clientData/>
  </xdr:twoCellAnchor>
  <xdr:twoCellAnchor editAs="absolute">
    <xdr:from>
      <xdr:col>57</xdr:col>
      <xdr:colOff>152400</xdr:colOff>
      <xdr:row>22</xdr:row>
      <xdr:rowOff>66675</xdr:rowOff>
    </xdr:from>
    <xdr:to>
      <xdr:col>77</xdr:col>
      <xdr:colOff>38100</xdr:colOff>
      <xdr:row>23</xdr:row>
      <xdr:rowOff>123825</xdr:rowOff>
    </xdr:to>
    <xdr:sp macro="" textlink="">
      <xdr:nvSpPr>
        <xdr:cNvPr id="114" name="TextBox 113"/>
        <xdr:cNvSpPr txBox="1"/>
      </xdr:nvSpPr>
      <xdr:spPr>
        <a:xfrm>
          <a:off x="11010900" y="4257675"/>
          <a:ext cx="36957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200" b="1">
              <a:solidFill>
                <a:srgbClr val="EAF2FF"/>
              </a:solidFill>
              <a:latin typeface="Segoe UI"/>
              <a:cs typeface="Segoe UI"/>
            </a:rPr>
            <a:t>Capex por segmento</a:t>
          </a:r>
        </a:p>
      </xdr:txBody>
    </xdr:sp>
    <xdr:clientData/>
  </xdr:twoCellAnchor>
  <xdr:twoCellAnchor editAs="absolute">
    <xdr:from>
      <xdr:col>57</xdr:col>
      <xdr:colOff>152400</xdr:colOff>
      <xdr:row>23</xdr:row>
      <xdr:rowOff>95250</xdr:rowOff>
    </xdr:from>
    <xdr:to>
      <xdr:col>77</xdr:col>
      <xdr:colOff>38100</xdr:colOff>
      <xdr:row>24</xdr:row>
      <xdr:rowOff>95250</xdr:rowOff>
    </xdr:to>
    <xdr:sp macro="" textlink="'Tablero'!$N$157">
      <xdr:nvSpPr>
        <xdr:cNvPr id="115" name="TextBox 114"/>
        <xdr:cNvSpPr txBox="1"/>
      </xdr:nvSpPr>
      <xdr:spPr>
        <a:xfrm>
          <a:off x="11010900" y="4476750"/>
          <a:ext cx="36957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5D7295"/>
              </a:solidFill>
              <a:latin typeface="Segoe UI"/>
              <a:cs typeface="Segoe UI"/>
            </a:rPr>
            <a:t/>
          </a:fld>
          <a:endParaRPr lang="en-US" sz="800" b="0">
            <a:solidFill>
              <a:srgbClr val="5D7295"/>
            </a:solidFill>
            <a:latin typeface="Segoe UI"/>
            <a:cs typeface="Segoe UI"/>
          </a:endParaRPr>
        </a:p>
      </xdr:txBody>
    </xdr:sp>
    <xdr:clientData/>
  </xdr:twoCellAnchor>
  <xdr:twoCellAnchor editAs="absolute">
    <xdr:from>
      <xdr:col>57</xdr:col>
      <xdr:colOff>152400</xdr:colOff>
      <xdr:row>33</xdr:row>
      <xdr:rowOff>133350</xdr:rowOff>
    </xdr:from>
    <xdr:to>
      <xdr:col>77</xdr:col>
      <xdr:colOff>38100</xdr:colOff>
      <xdr:row>34</xdr:row>
      <xdr:rowOff>133350</xdr:rowOff>
    </xdr:to>
    <xdr:sp macro="" textlink="'Tablero'!$N$243">
      <xdr:nvSpPr>
        <xdr:cNvPr id="116" name="TextBox 115"/>
        <xdr:cNvSpPr txBox="1"/>
      </xdr:nvSpPr>
      <xdr:spPr>
        <a:xfrm>
          <a:off x="11010900" y="6419850"/>
          <a:ext cx="36957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1"/>
        <a:lstStyle/>
        <a:p>
          <a:fld id="{B8ADDEFE-BF52-4FD4-8C5D-6B85EF6FF707}" type="TxLink">
            <a:rPr lang="en-US" sz="800" b="1">
              <a:solidFill>
                <a:srgbClr val="FBBF24"/>
              </a:solidFill>
              <a:latin typeface="Segoe UI"/>
              <a:cs typeface="Segoe UI"/>
            </a:rPr>
            <a:t/>
          </a:fld>
          <a:endParaRPr lang="en-US" sz="800" b="1">
            <a:solidFill>
              <a:srgbClr val="FBBF24"/>
            </a:solidFill>
            <a:latin typeface="Segoe UI"/>
            <a:cs typeface="Segoe UI"/>
          </a:endParaRPr>
        </a:p>
      </xdr:txBody>
    </xdr:sp>
    <xdr:clientData/>
  </xdr:twoCellAnchor>
  <xdr:twoCellAnchor editAs="absolute">
    <xdr:from>
      <xdr:col>62</xdr:col>
      <xdr:colOff>95250</xdr:colOff>
      <xdr:row>28</xdr:row>
      <xdr:rowOff>38100</xdr:rowOff>
    </xdr:from>
    <xdr:to>
      <xdr:col>72</xdr:col>
      <xdr:colOff>95250</xdr:colOff>
      <xdr:row>29</xdr:row>
      <xdr:rowOff>152400</xdr:rowOff>
    </xdr:to>
    <xdr:sp macro="" textlink="'Tablero'!$N$253">
      <xdr:nvSpPr>
        <xdr:cNvPr id="117" name="TextBox 116"/>
        <xdr:cNvSpPr txBox="1"/>
      </xdr:nvSpPr>
      <xdr:spPr>
        <a:xfrm>
          <a:off x="11906250" y="5372100"/>
          <a:ext cx="1905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1"/>
        <a:lstStyle/>
        <a:p>
          <a:fld id="{B8ADDEFE-BF52-4FD4-8C5D-6B85EF6FF707}" type="TxLink">
            <a:rPr lang="en-US" sz="1600" b="1">
              <a:solidFill>
                <a:srgbClr val="EAF2FF"/>
              </a:solidFill>
              <a:latin typeface="Segoe UI"/>
              <a:cs typeface="Segoe UI"/>
            </a:rPr>
            <a:t/>
          </a:fld>
          <a:endParaRPr lang="en-US" sz="1600" b="1">
            <a:solidFill>
              <a:srgbClr val="EAF2FF"/>
            </a:solidFill>
            <a:latin typeface="Segoe UI"/>
            <a:cs typeface="Segoe UI"/>
          </a:endParaRPr>
        </a:p>
      </xdr:txBody>
    </xdr:sp>
    <xdr:clientData/>
  </xdr:twoCellAnchor>
  <xdr:twoCellAnchor editAs="absolute">
    <xdr:from>
      <xdr:col>62</xdr:col>
      <xdr:colOff>95250</xdr:colOff>
      <xdr:row>29</xdr:row>
      <xdr:rowOff>133350</xdr:rowOff>
    </xdr:from>
    <xdr:to>
      <xdr:col>72</xdr:col>
      <xdr:colOff>95250</xdr:colOff>
      <xdr:row>30</xdr:row>
      <xdr:rowOff>133350</xdr:rowOff>
    </xdr:to>
    <xdr:sp macro="" textlink="">
      <xdr:nvSpPr>
        <xdr:cNvPr id="118" name="TextBox 117"/>
        <xdr:cNvSpPr txBox="1"/>
      </xdr:nvSpPr>
      <xdr:spPr>
        <a:xfrm>
          <a:off x="11906250" y="5657850"/>
          <a:ext cx="1905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1"/>
        <a:lstStyle/>
        <a:p>
          <a:r>
            <a:rPr lang="en-US" sz="800" b="0">
              <a:solidFill>
                <a:srgbClr val="5D7295"/>
              </a:solidFill>
              <a:latin typeface="Segoe UI"/>
              <a:cs typeface="Segoe UI"/>
            </a:rPr>
            <a:t>devengado</a:t>
          </a:r>
        </a:p>
      </xdr:txBody>
    </xdr:sp>
    <xdr:clientData/>
  </xdr:twoCellAnchor>
  <xdr:twoCellAnchor editAs="absolute">
    <xdr:from>
      <xdr:col>58</xdr:col>
      <xdr:colOff>0</xdr:colOff>
      <xdr:row>35</xdr:row>
      <xdr:rowOff>0</xdr:rowOff>
    </xdr:from>
    <xdr:to>
      <xdr:col>59</xdr:col>
      <xdr:colOff>0</xdr:colOff>
      <xdr:row>36</xdr:row>
      <xdr:rowOff>38100</xdr:rowOff>
    </xdr:to>
    <xdr:sp macro="" textlink="'Tablero'!$AF$247">
      <xdr:nvSpPr>
        <xdr:cNvPr id="119" name="TextBox 118"/>
        <xdr:cNvSpPr txBox="1"/>
      </xdr:nvSpPr>
      <xdr:spPr>
        <a:xfrm>
          <a:off x="11049000" y="6667500"/>
          <a:ext cx="190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100" b="0">
              <a:solidFill>
                <a:srgbClr val="22D3EE"/>
              </a:solidFill>
              <a:latin typeface="Segoe UI"/>
              <a:cs typeface="Segoe UI"/>
            </a:rPr>
            <a:t/>
          </a:fld>
          <a:endParaRPr lang="en-US" sz="1100" b="0">
            <a:solidFill>
              <a:srgbClr val="22D3EE"/>
            </a:solidFill>
            <a:latin typeface="Segoe UI"/>
            <a:cs typeface="Segoe UI"/>
          </a:endParaRPr>
        </a:p>
      </xdr:txBody>
    </xdr:sp>
    <xdr:clientData/>
  </xdr:twoCellAnchor>
  <xdr:twoCellAnchor editAs="absolute">
    <xdr:from>
      <xdr:col>58</xdr:col>
      <xdr:colOff>171450</xdr:colOff>
      <xdr:row>35</xdr:row>
      <xdr:rowOff>0</xdr:rowOff>
    </xdr:from>
    <xdr:to>
      <xdr:col>69</xdr:col>
      <xdr:colOff>171450</xdr:colOff>
      <xdr:row>36</xdr:row>
      <xdr:rowOff>38100</xdr:rowOff>
    </xdr:to>
    <xdr:sp macro="" textlink="'Tablero'!$Z$247">
      <xdr:nvSpPr>
        <xdr:cNvPr id="120" name="TextBox 119"/>
        <xdr:cNvSpPr txBox="1"/>
      </xdr:nvSpPr>
      <xdr:spPr>
        <a:xfrm>
          <a:off x="11220450" y="6667500"/>
          <a:ext cx="2095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0">
              <a:solidFill>
                <a:srgbClr val="8EA3C4"/>
              </a:solidFill>
              <a:latin typeface="Segoe UI"/>
              <a:cs typeface="Segoe UI"/>
            </a:rPr>
            <a:t/>
          </a:fld>
          <a:endParaRPr lang="en-US" sz="900" b="0">
            <a:solidFill>
              <a:srgbClr val="8EA3C4"/>
            </a:solidFill>
            <a:latin typeface="Segoe UI"/>
            <a:cs typeface="Segoe UI"/>
          </a:endParaRPr>
        </a:p>
      </xdr:txBody>
    </xdr:sp>
    <xdr:clientData/>
  </xdr:twoCellAnchor>
  <xdr:twoCellAnchor editAs="absolute">
    <xdr:from>
      <xdr:col>69</xdr:col>
      <xdr:colOff>38100</xdr:colOff>
      <xdr:row>35</xdr:row>
      <xdr:rowOff>0</xdr:rowOff>
    </xdr:from>
    <xdr:to>
      <xdr:col>72</xdr:col>
      <xdr:colOff>38100</xdr:colOff>
      <xdr:row>36</xdr:row>
      <xdr:rowOff>38100</xdr:rowOff>
    </xdr:to>
    <xdr:sp macro="" textlink="'Tablero'!$AL$247">
      <xdr:nvSpPr>
        <xdr:cNvPr id="121" name="TextBox 120"/>
        <xdr:cNvSpPr txBox="1"/>
      </xdr:nvSpPr>
      <xdr:spPr>
        <a:xfrm>
          <a:off x="13182600" y="6667500"/>
          <a:ext cx="571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EAF2FF"/>
              </a:solidFill>
              <a:latin typeface="Segoe UI"/>
              <a:cs typeface="Segoe UI"/>
            </a:rPr>
            <a:t/>
          </a:fld>
          <a:endParaRPr lang="en-US" sz="900" b="1">
            <a:solidFill>
              <a:srgbClr val="EAF2FF"/>
            </a:solidFill>
            <a:latin typeface="Segoe UI"/>
            <a:cs typeface="Segoe UI"/>
          </a:endParaRPr>
        </a:p>
      </xdr:txBody>
    </xdr:sp>
    <xdr:clientData/>
  </xdr:twoCellAnchor>
  <xdr:twoCellAnchor editAs="absolute">
    <xdr:from>
      <xdr:col>72</xdr:col>
      <xdr:colOff>0</xdr:colOff>
      <xdr:row>35</xdr:row>
      <xdr:rowOff>0</xdr:rowOff>
    </xdr:from>
    <xdr:to>
      <xdr:col>77</xdr:col>
      <xdr:colOff>38100</xdr:colOff>
      <xdr:row>36</xdr:row>
      <xdr:rowOff>38100</xdr:rowOff>
    </xdr:to>
    <xdr:sp macro="" textlink="'Tablero'!$N$247">
      <xdr:nvSpPr>
        <xdr:cNvPr id="122" name="TextBox 121"/>
        <xdr:cNvSpPr txBox="1"/>
      </xdr:nvSpPr>
      <xdr:spPr>
        <a:xfrm>
          <a:off x="13716000" y="6667500"/>
          <a:ext cx="990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0">
              <a:solidFill>
                <a:srgbClr val="8EA3C4"/>
              </a:solidFill>
              <a:latin typeface="Segoe UI"/>
              <a:cs typeface="Segoe UI"/>
            </a:rPr>
            <a:t/>
          </a:fld>
          <a:endParaRPr lang="en-US" sz="900" b="0">
            <a:solidFill>
              <a:srgbClr val="8EA3C4"/>
            </a:solidFill>
            <a:latin typeface="Segoe UI"/>
            <a:cs typeface="Segoe UI"/>
          </a:endParaRPr>
        </a:p>
      </xdr:txBody>
    </xdr:sp>
    <xdr:clientData/>
  </xdr:twoCellAnchor>
  <xdr:twoCellAnchor editAs="absolute">
    <xdr:from>
      <xdr:col>58</xdr:col>
      <xdr:colOff>0</xdr:colOff>
      <xdr:row>36</xdr:row>
      <xdr:rowOff>19050</xdr:rowOff>
    </xdr:from>
    <xdr:to>
      <xdr:col>59</xdr:col>
      <xdr:colOff>0</xdr:colOff>
      <xdr:row>37</xdr:row>
      <xdr:rowOff>57150</xdr:rowOff>
    </xdr:to>
    <xdr:sp macro="" textlink="'Tablero'!$AF$248">
      <xdr:nvSpPr>
        <xdr:cNvPr id="123" name="TextBox 122"/>
        <xdr:cNvSpPr txBox="1"/>
      </xdr:nvSpPr>
      <xdr:spPr>
        <a:xfrm>
          <a:off x="11049000" y="6877050"/>
          <a:ext cx="190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100" b="0">
              <a:solidFill>
                <a:srgbClr val="3B82F6"/>
              </a:solidFill>
              <a:latin typeface="Segoe UI"/>
              <a:cs typeface="Segoe UI"/>
            </a:rPr>
            <a:t/>
          </a:fld>
          <a:endParaRPr lang="en-US" sz="1100" b="0">
            <a:solidFill>
              <a:srgbClr val="3B82F6"/>
            </a:solidFill>
            <a:latin typeface="Segoe UI"/>
            <a:cs typeface="Segoe UI"/>
          </a:endParaRPr>
        </a:p>
      </xdr:txBody>
    </xdr:sp>
    <xdr:clientData/>
  </xdr:twoCellAnchor>
  <xdr:twoCellAnchor editAs="absolute">
    <xdr:from>
      <xdr:col>58</xdr:col>
      <xdr:colOff>171450</xdr:colOff>
      <xdr:row>36</xdr:row>
      <xdr:rowOff>19050</xdr:rowOff>
    </xdr:from>
    <xdr:to>
      <xdr:col>69</xdr:col>
      <xdr:colOff>171450</xdr:colOff>
      <xdr:row>37</xdr:row>
      <xdr:rowOff>57150</xdr:rowOff>
    </xdr:to>
    <xdr:sp macro="" textlink="'Tablero'!$Z$248">
      <xdr:nvSpPr>
        <xdr:cNvPr id="124" name="TextBox 123"/>
        <xdr:cNvSpPr txBox="1"/>
      </xdr:nvSpPr>
      <xdr:spPr>
        <a:xfrm>
          <a:off x="11220450" y="6877050"/>
          <a:ext cx="2095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0">
              <a:solidFill>
                <a:srgbClr val="8EA3C4"/>
              </a:solidFill>
              <a:latin typeface="Segoe UI"/>
              <a:cs typeface="Segoe UI"/>
            </a:rPr>
            <a:t/>
          </a:fld>
          <a:endParaRPr lang="en-US" sz="900" b="0">
            <a:solidFill>
              <a:srgbClr val="8EA3C4"/>
            </a:solidFill>
            <a:latin typeface="Segoe UI"/>
            <a:cs typeface="Segoe UI"/>
          </a:endParaRPr>
        </a:p>
      </xdr:txBody>
    </xdr:sp>
    <xdr:clientData/>
  </xdr:twoCellAnchor>
  <xdr:twoCellAnchor editAs="absolute">
    <xdr:from>
      <xdr:col>69</xdr:col>
      <xdr:colOff>38100</xdr:colOff>
      <xdr:row>36</xdr:row>
      <xdr:rowOff>19050</xdr:rowOff>
    </xdr:from>
    <xdr:to>
      <xdr:col>72</xdr:col>
      <xdr:colOff>38100</xdr:colOff>
      <xdr:row>37</xdr:row>
      <xdr:rowOff>57150</xdr:rowOff>
    </xdr:to>
    <xdr:sp macro="" textlink="'Tablero'!$AL$248">
      <xdr:nvSpPr>
        <xdr:cNvPr id="125" name="TextBox 124"/>
        <xdr:cNvSpPr txBox="1"/>
      </xdr:nvSpPr>
      <xdr:spPr>
        <a:xfrm>
          <a:off x="13182600" y="6877050"/>
          <a:ext cx="571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EAF2FF"/>
              </a:solidFill>
              <a:latin typeface="Segoe UI"/>
              <a:cs typeface="Segoe UI"/>
            </a:rPr>
            <a:t/>
          </a:fld>
          <a:endParaRPr lang="en-US" sz="900" b="1">
            <a:solidFill>
              <a:srgbClr val="EAF2FF"/>
            </a:solidFill>
            <a:latin typeface="Segoe UI"/>
            <a:cs typeface="Segoe UI"/>
          </a:endParaRPr>
        </a:p>
      </xdr:txBody>
    </xdr:sp>
    <xdr:clientData/>
  </xdr:twoCellAnchor>
  <xdr:twoCellAnchor editAs="absolute">
    <xdr:from>
      <xdr:col>72</xdr:col>
      <xdr:colOff>0</xdr:colOff>
      <xdr:row>36</xdr:row>
      <xdr:rowOff>19050</xdr:rowOff>
    </xdr:from>
    <xdr:to>
      <xdr:col>77</xdr:col>
      <xdr:colOff>38100</xdr:colOff>
      <xdr:row>37</xdr:row>
      <xdr:rowOff>57150</xdr:rowOff>
    </xdr:to>
    <xdr:sp macro="" textlink="'Tablero'!$N$248">
      <xdr:nvSpPr>
        <xdr:cNvPr id="126" name="TextBox 125"/>
        <xdr:cNvSpPr txBox="1"/>
      </xdr:nvSpPr>
      <xdr:spPr>
        <a:xfrm>
          <a:off x="13716000" y="6877050"/>
          <a:ext cx="990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0">
              <a:solidFill>
                <a:srgbClr val="8EA3C4"/>
              </a:solidFill>
              <a:latin typeface="Segoe UI"/>
              <a:cs typeface="Segoe UI"/>
            </a:rPr>
            <a:t/>
          </a:fld>
          <a:endParaRPr lang="en-US" sz="900" b="0">
            <a:solidFill>
              <a:srgbClr val="8EA3C4"/>
            </a:solidFill>
            <a:latin typeface="Segoe UI"/>
            <a:cs typeface="Segoe UI"/>
          </a:endParaRPr>
        </a:p>
      </xdr:txBody>
    </xdr:sp>
    <xdr:clientData/>
  </xdr:twoCellAnchor>
  <xdr:twoCellAnchor editAs="absolute">
    <xdr:from>
      <xdr:col>58</xdr:col>
      <xdr:colOff>0</xdr:colOff>
      <xdr:row>37</xdr:row>
      <xdr:rowOff>38100</xdr:rowOff>
    </xdr:from>
    <xdr:to>
      <xdr:col>59</xdr:col>
      <xdr:colOff>0</xdr:colOff>
      <xdr:row>38</xdr:row>
      <xdr:rowOff>76200</xdr:rowOff>
    </xdr:to>
    <xdr:sp macro="" textlink="'Tablero'!$AF$249">
      <xdr:nvSpPr>
        <xdr:cNvPr id="127" name="TextBox 126"/>
        <xdr:cNvSpPr txBox="1"/>
      </xdr:nvSpPr>
      <xdr:spPr>
        <a:xfrm>
          <a:off x="11049000" y="7086600"/>
          <a:ext cx="190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100" b="0">
              <a:solidFill>
                <a:srgbClr val="1E3A8A"/>
              </a:solidFill>
              <a:latin typeface="Segoe UI"/>
              <a:cs typeface="Segoe UI"/>
            </a:rPr>
            <a:t/>
          </a:fld>
          <a:endParaRPr lang="en-US" sz="1100" b="0">
            <a:solidFill>
              <a:srgbClr val="1E3A8A"/>
            </a:solidFill>
            <a:latin typeface="Segoe UI"/>
            <a:cs typeface="Segoe UI"/>
          </a:endParaRPr>
        </a:p>
      </xdr:txBody>
    </xdr:sp>
    <xdr:clientData/>
  </xdr:twoCellAnchor>
  <xdr:twoCellAnchor editAs="absolute">
    <xdr:from>
      <xdr:col>58</xdr:col>
      <xdr:colOff>171450</xdr:colOff>
      <xdr:row>37</xdr:row>
      <xdr:rowOff>38100</xdr:rowOff>
    </xdr:from>
    <xdr:to>
      <xdr:col>69</xdr:col>
      <xdr:colOff>171450</xdr:colOff>
      <xdr:row>38</xdr:row>
      <xdr:rowOff>76200</xdr:rowOff>
    </xdr:to>
    <xdr:sp macro="" textlink="'Tablero'!$Z$249">
      <xdr:nvSpPr>
        <xdr:cNvPr id="128" name="TextBox 127"/>
        <xdr:cNvSpPr txBox="1"/>
      </xdr:nvSpPr>
      <xdr:spPr>
        <a:xfrm>
          <a:off x="11220450" y="7086600"/>
          <a:ext cx="2095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0">
              <a:solidFill>
                <a:srgbClr val="8EA3C4"/>
              </a:solidFill>
              <a:latin typeface="Segoe UI"/>
              <a:cs typeface="Segoe UI"/>
            </a:rPr>
            <a:t/>
          </a:fld>
          <a:endParaRPr lang="en-US" sz="900" b="0">
            <a:solidFill>
              <a:srgbClr val="8EA3C4"/>
            </a:solidFill>
            <a:latin typeface="Segoe UI"/>
            <a:cs typeface="Segoe UI"/>
          </a:endParaRPr>
        </a:p>
      </xdr:txBody>
    </xdr:sp>
    <xdr:clientData/>
  </xdr:twoCellAnchor>
  <xdr:twoCellAnchor editAs="absolute">
    <xdr:from>
      <xdr:col>69</xdr:col>
      <xdr:colOff>38100</xdr:colOff>
      <xdr:row>37</xdr:row>
      <xdr:rowOff>38100</xdr:rowOff>
    </xdr:from>
    <xdr:to>
      <xdr:col>72</xdr:col>
      <xdr:colOff>38100</xdr:colOff>
      <xdr:row>38</xdr:row>
      <xdr:rowOff>76200</xdr:rowOff>
    </xdr:to>
    <xdr:sp macro="" textlink="'Tablero'!$AL$249">
      <xdr:nvSpPr>
        <xdr:cNvPr id="129" name="TextBox 128"/>
        <xdr:cNvSpPr txBox="1"/>
      </xdr:nvSpPr>
      <xdr:spPr>
        <a:xfrm>
          <a:off x="13182600" y="7086600"/>
          <a:ext cx="571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EAF2FF"/>
              </a:solidFill>
              <a:latin typeface="Segoe UI"/>
              <a:cs typeface="Segoe UI"/>
            </a:rPr>
            <a:t/>
          </a:fld>
          <a:endParaRPr lang="en-US" sz="900" b="1">
            <a:solidFill>
              <a:srgbClr val="EAF2FF"/>
            </a:solidFill>
            <a:latin typeface="Segoe UI"/>
            <a:cs typeface="Segoe UI"/>
          </a:endParaRPr>
        </a:p>
      </xdr:txBody>
    </xdr:sp>
    <xdr:clientData/>
  </xdr:twoCellAnchor>
  <xdr:twoCellAnchor editAs="absolute">
    <xdr:from>
      <xdr:col>72</xdr:col>
      <xdr:colOff>0</xdr:colOff>
      <xdr:row>37</xdr:row>
      <xdr:rowOff>38100</xdr:rowOff>
    </xdr:from>
    <xdr:to>
      <xdr:col>77</xdr:col>
      <xdr:colOff>38100</xdr:colOff>
      <xdr:row>38</xdr:row>
      <xdr:rowOff>76200</xdr:rowOff>
    </xdr:to>
    <xdr:sp macro="" textlink="'Tablero'!$N$249">
      <xdr:nvSpPr>
        <xdr:cNvPr id="130" name="TextBox 129"/>
        <xdr:cNvSpPr txBox="1"/>
      </xdr:nvSpPr>
      <xdr:spPr>
        <a:xfrm>
          <a:off x="13716000" y="7086600"/>
          <a:ext cx="990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0">
              <a:solidFill>
                <a:srgbClr val="8EA3C4"/>
              </a:solidFill>
              <a:latin typeface="Segoe UI"/>
              <a:cs typeface="Segoe UI"/>
            </a:rPr>
            <a:t/>
          </a:fld>
          <a:endParaRPr lang="en-US" sz="900" b="0">
            <a:solidFill>
              <a:srgbClr val="8EA3C4"/>
            </a:solidFill>
            <a:latin typeface="Segoe UI"/>
            <a:cs typeface="Segoe UI"/>
          </a:endParaRPr>
        </a:p>
      </xdr:txBody>
    </xdr:sp>
    <xdr:clientData/>
  </xdr:twoCellAnchor>
  <xdr:twoCellAnchor editAs="absolute">
    <xdr:from>
      <xdr:col>58</xdr:col>
      <xdr:colOff>0</xdr:colOff>
      <xdr:row>38</xdr:row>
      <xdr:rowOff>57150</xdr:rowOff>
    </xdr:from>
    <xdr:to>
      <xdr:col>59</xdr:col>
      <xdr:colOff>0</xdr:colOff>
      <xdr:row>39</xdr:row>
      <xdr:rowOff>95250</xdr:rowOff>
    </xdr:to>
    <xdr:sp macro="" textlink="'Tablero'!$AF$250">
      <xdr:nvSpPr>
        <xdr:cNvPr id="131" name="TextBox 130"/>
        <xdr:cNvSpPr txBox="1"/>
      </xdr:nvSpPr>
      <xdr:spPr>
        <a:xfrm>
          <a:off x="11049000" y="7296150"/>
          <a:ext cx="190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100" b="0">
              <a:solidFill>
                <a:srgbClr val="67E8F9"/>
              </a:solidFill>
              <a:latin typeface="Segoe UI"/>
              <a:cs typeface="Segoe UI"/>
            </a:rPr>
            <a:t/>
          </a:fld>
          <a:endParaRPr lang="en-US" sz="1100" b="0">
            <a:solidFill>
              <a:srgbClr val="67E8F9"/>
            </a:solidFill>
            <a:latin typeface="Segoe UI"/>
            <a:cs typeface="Segoe UI"/>
          </a:endParaRPr>
        </a:p>
      </xdr:txBody>
    </xdr:sp>
    <xdr:clientData/>
  </xdr:twoCellAnchor>
  <xdr:twoCellAnchor editAs="absolute">
    <xdr:from>
      <xdr:col>58</xdr:col>
      <xdr:colOff>171450</xdr:colOff>
      <xdr:row>38</xdr:row>
      <xdr:rowOff>57150</xdr:rowOff>
    </xdr:from>
    <xdr:to>
      <xdr:col>69</xdr:col>
      <xdr:colOff>171450</xdr:colOff>
      <xdr:row>39</xdr:row>
      <xdr:rowOff>95250</xdr:rowOff>
    </xdr:to>
    <xdr:sp macro="" textlink="'Tablero'!$Z$250">
      <xdr:nvSpPr>
        <xdr:cNvPr id="132" name="TextBox 131"/>
        <xdr:cNvSpPr txBox="1"/>
      </xdr:nvSpPr>
      <xdr:spPr>
        <a:xfrm>
          <a:off x="11220450" y="7296150"/>
          <a:ext cx="2095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0">
              <a:solidFill>
                <a:srgbClr val="8EA3C4"/>
              </a:solidFill>
              <a:latin typeface="Segoe UI"/>
              <a:cs typeface="Segoe UI"/>
            </a:rPr>
            <a:t/>
          </a:fld>
          <a:endParaRPr lang="en-US" sz="900" b="0">
            <a:solidFill>
              <a:srgbClr val="8EA3C4"/>
            </a:solidFill>
            <a:latin typeface="Segoe UI"/>
            <a:cs typeface="Segoe UI"/>
          </a:endParaRPr>
        </a:p>
      </xdr:txBody>
    </xdr:sp>
    <xdr:clientData/>
  </xdr:twoCellAnchor>
  <xdr:twoCellAnchor editAs="absolute">
    <xdr:from>
      <xdr:col>69</xdr:col>
      <xdr:colOff>38100</xdr:colOff>
      <xdr:row>38</xdr:row>
      <xdr:rowOff>57150</xdr:rowOff>
    </xdr:from>
    <xdr:to>
      <xdr:col>72</xdr:col>
      <xdr:colOff>38100</xdr:colOff>
      <xdr:row>39</xdr:row>
      <xdr:rowOff>95250</xdr:rowOff>
    </xdr:to>
    <xdr:sp macro="" textlink="'Tablero'!$AL$250">
      <xdr:nvSpPr>
        <xdr:cNvPr id="133" name="TextBox 132"/>
        <xdr:cNvSpPr txBox="1"/>
      </xdr:nvSpPr>
      <xdr:spPr>
        <a:xfrm>
          <a:off x="13182600" y="7296150"/>
          <a:ext cx="571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EAF2FF"/>
              </a:solidFill>
              <a:latin typeface="Segoe UI"/>
              <a:cs typeface="Segoe UI"/>
            </a:rPr>
            <a:t/>
          </a:fld>
          <a:endParaRPr lang="en-US" sz="900" b="1">
            <a:solidFill>
              <a:srgbClr val="EAF2FF"/>
            </a:solidFill>
            <a:latin typeface="Segoe UI"/>
            <a:cs typeface="Segoe UI"/>
          </a:endParaRPr>
        </a:p>
      </xdr:txBody>
    </xdr:sp>
    <xdr:clientData/>
  </xdr:twoCellAnchor>
  <xdr:twoCellAnchor editAs="absolute">
    <xdr:from>
      <xdr:col>72</xdr:col>
      <xdr:colOff>0</xdr:colOff>
      <xdr:row>38</xdr:row>
      <xdr:rowOff>57150</xdr:rowOff>
    </xdr:from>
    <xdr:to>
      <xdr:col>77</xdr:col>
      <xdr:colOff>38100</xdr:colOff>
      <xdr:row>39</xdr:row>
      <xdr:rowOff>95250</xdr:rowOff>
    </xdr:to>
    <xdr:sp macro="" textlink="'Tablero'!$N$250">
      <xdr:nvSpPr>
        <xdr:cNvPr id="134" name="TextBox 133"/>
        <xdr:cNvSpPr txBox="1"/>
      </xdr:nvSpPr>
      <xdr:spPr>
        <a:xfrm>
          <a:off x="13716000" y="7296150"/>
          <a:ext cx="990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0">
              <a:solidFill>
                <a:srgbClr val="8EA3C4"/>
              </a:solidFill>
              <a:latin typeface="Segoe UI"/>
              <a:cs typeface="Segoe UI"/>
            </a:rPr>
            <a:t/>
          </a:fld>
          <a:endParaRPr lang="en-US" sz="900" b="0">
            <a:solidFill>
              <a:srgbClr val="8EA3C4"/>
            </a:solidFill>
            <a:latin typeface="Segoe UI"/>
            <a:cs typeface="Segoe UI"/>
          </a:endParaRPr>
        </a:p>
      </xdr:txBody>
    </xdr:sp>
    <xdr:clientData/>
  </xdr:twoCellAnchor>
  <xdr:twoCellAnchor editAs="absolute">
    <xdr:from>
      <xdr:col>58</xdr:col>
      <xdr:colOff>0</xdr:colOff>
      <xdr:row>39</xdr:row>
      <xdr:rowOff>76200</xdr:rowOff>
    </xdr:from>
    <xdr:to>
      <xdr:col>59</xdr:col>
      <xdr:colOff>0</xdr:colOff>
      <xdr:row>40</xdr:row>
      <xdr:rowOff>114300</xdr:rowOff>
    </xdr:to>
    <xdr:sp macro="" textlink="'Tablero'!$AF$251">
      <xdr:nvSpPr>
        <xdr:cNvPr id="135" name="TextBox 134"/>
        <xdr:cNvSpPr txBox="1"/>
      </xdr:nvSpPr>
      <xdr:spPr>
        <a:xfrm>
          <a:off x="11049000" y="7505700"/>
          <a:ext cx="190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100" b="0">
              <a:solidFill>
                <a:srgbClr val="94A3B8"/>
              </a:solidFill>
              <a:latin typeface="Segoe UI"/>
              <a:cs typeface="Segoe UI"/>
            </a:rPr>
            <a:t/>
          </a:fld>
          <a:endParaRPr lang="en-US" sz="1100" b="0">
            <a:solidFill>
              <a:srgbClr val="94A3B8"/>
            </a:solidFill>
            <a:latin typeface="Segoe UI"/>
            <a:cs typeface="Segoe UI"/>
          </a:endParaRPr>
        </a:p>
      </xdr:txBody>
    </xdr:sp>
    <xdr:clientData/>
  </xdr:twoCellAnchor>
  <xdr:twoCellAnchor editAs="absolute">
    <xdr:from>
      <xdr:col>58</xdr:col>
      <xdr:colOff>171450</xdr:colOff>
      <xdr:row>39</xdr:row>
      <xdr:rowOff>76200</xdr:rowOff>
    </xdr:from>
    <xdr:to>
      <xdr:col>69</xdr:col>
      <xdr:colOff>171450</xdr:colOff>
      <xdr:row>40</xdr:row>
      <xdr:rowOff>114300</xdr:rowOff>
    </xdr:to>
    <xdr:sp macro="" textlink="'Tablero'!$Z$251">
      <xdr:nvSpPr>
        <xdr:cNvPr id="136" name="TextBox 135"/>
        <xdr:cNvSpPr txBox="1"/>
      </xdr:nvSpPr>
      <xdr:spPr>
        <a:xfrm>
          <a:off x="11220450" y="7505700"/>
          <a:ext cx="2095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0">
              <a:solidFill>
                <a:srgbClr val="8EA3C4"/>
              </a:solidFill>
              <a:latin typeface="Segoe UI"/>
              <a:cs typeface="Segoe UI"/>
            </a:rPr>
            <a:t/>
          </a:fld>
          <a:endParaRPr lang="en-US" sz="900" b="0">
            <a:solidFill>
              <a:srgbClr val="8EA3C4"/>
            </a:solidFill>
            <a:latin typeface="Segoe UI"/>
            <a:cs typeface="Segoe UI"/>
          </a:endParaRPr>
        </a:p>
      </xdr:txBody>
    </xdr:sp>
    <xdr:clientData/>
  </xdr:twoCellAnchor>
  <xdr:twoCellAnchor editAs="absolute">
    <xdr:from>
      <xdr:col>69</xdr:col>
      <xdr:colOff>38100</xdr:colOff>
      <xdr:row>39</xdr:row>
      <xdr:rowOff>76200</xdr:rowOff>
    </xdr:from>
    <xdr:to>
      <xdr:col>72</xdr:col>
      <xdr:colOff>38100</xdr:colOff>
      <xdr:row>40</xdr:row>
      <xdr:rowOff>114300</xdr:rowOff>
    </xdr:to>
    <xdr:sp macro="" textlink="'Tablero'!$AL$251">
      <xdr:nvSpPr>
        <xdr:cNvPr id="137" name="TextBox 136"/>
        <xdr:cNvSpPr txBox="1"/>
      </xdr:nvSpPr>
      <xdr:spPr>
        <a:xfrm>
          <a:off x="13182600" y="7505700"/>
          <a:ext cx="571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EAF2FF"/>
              </a:solidFill>
              <a:latin typeface="Segoe UI"/>
              <a:cs typeface="Segoe UI"/>
            </a:rPr>
            <a:t/>
          </a:fld>
          <a:endParaRPr lang="en-US" sz="900" b="1">
            <a:solidFill>
              <a:srgbClr val="EAF2FF"/>
            </a:solidFill>
            <a:latin typeface="Segoe UI"/>
            <a:cs typeface="Segoe UI"/>
          </a:endParaRPr>
        </a:p>
      </xdr:txBody>
    </xdr:sp>
    <xdr:clientData/>
  </xdr:twoCellAnchor>
  <xdr:twoCellAnchor editAs="absolute">
    <xdr:from>
      <xdr:col>72</xdr:col>
      <xdr:colOff>0</xdr:colOff>
      <xdr:row>39</xdr:row>
      <xdr:rowOff>76200</xdr:rowOff>
    </xdr:from>
    <xdr:to>
      <xdr:col>77</xdr:col>
      <xdr:colOff>38100</xdr:colOff>
      <xdr:row>40</xdr:row>
      <xdr:rowOff>114300</xdr:rowOff>
    </xdr:to>
    <xdr:sp macro="" textlink="'Tablero'!$N$251">
      <xdr:nvSpPr>
        <xdr:cNvPr id="138" name="TextBox 137"/>
        <xdr:cNvSpPr txBox="1"/>
      </xdr:nvSpPr>
      <xdr:spPr>
        <a:xfrm>
          <a:off x="13716000" y="7505700"/>
          <a:ext cx="990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0">
              <a:solidFill>
                <a:srgbClr val="8EA3C4"/>
              </a:solidFill>
              <a:latin typeface="Segoe UI"/>
              <a:cs typeface="Segoe UI"/>
            </a:rPr>
            <a:t/>
          </a:fld>
          <a:endParaRPr lang="en-US" sz="900" b="0">
            <a:solidFill>
              <a:srgbClr val="8EA3C4"/>
            </a:solidFill>
            <a:latin typeface="Segoe UI"/>
            <a:cs typeface="Segoe UI"/>
          </a:endParaRPr>
        </a:p>
      </xdr:txBody>
    </xdr:sp>
    <xdr:clientData/>
  </xdr:twoCellAnchor>
  <xdr:twoCellAnchor editAs="absolute">
    <xdr:from>
      <xdr:col>58</xdr:col>
      <xdr:colOff>0</xdr:colOff>
      <xdr:row>40</xdr:row>
      <xdr:rowOff>95250</xdr:rowOff>
    </xdr:from>
    <xdr:to>
      <xdr:col>59</xdr:col>
      <xdr:colOff>0</xdr:colOff>
      <xdr:row>41</xdr:row>
      <xdr:rowOff>133350</xdr:rowOff>
    </xdr:to>
    <xdr:sp macro="" textlink="'Tablero'!$AF$252">
      <xdr:nvSpPr>
        <xdr:cNvPr id="139" name="TextBox 138"/>
        <xdr:cNvSpPr txBox="1"/>
      </xdr:nvSpPr>
      <xdr:spPr>
        <a:xfrm>
          <a:off x="11049000" y="7715250"/>
          <a:ext cx="190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100" b="0">
              <a:solidFill>
                <a:srgbClr val="475569"/>
              </a:solidFill>
              <a:latin typeface="Segoe UI"/>
              <a:cs typeface="Segoe UI"/>
            </a:rPr>
            <a:t/>
          </a:fld>
          <a:endParaRPr lang="en-US" sz="1100" b="0">
            <a:solidFill>
              <a:srgbClr val="475569"/>
            </a:solidFill>
            <a:latin typeface="Segoe UI"/>
            <a:cs typeface="Segoe UI"/>
          </a:endParaRPr>
        </a:p>
      </xdr:txBody>
    </xdr:sp>
    <xdr:clientData/>
  </xdr:twoCellAnchor>
  <xdr:twoCellAnchor editAs="absolute">
    <xdr:from>
      <xdr:col>58</xdr:col>
      <xdr:colOff>171450</xdr:colOff>
      <xdr:row>40</xdr:row>
      <xdr:rowOff>95250</xdr:rowOff>
    </xdr:from>
    <xdr:to>
      <xdr:col>69</xdr:col>
      <xdr:colOff>171450</xdr:colOff>
      <xdr:row>41</xdr:row>
      <xdr:rowOff>133350</xdr:rowOff>
    </xdr:to>
    <xdr:sp macro="" textlink="'Tablero'!$Z$252">
      <xdr:nvSpPr>
        <xdr:cNvPr id="140" name="TextBox 139"/>
        <xdr:cNvSpPr txBox="1"/>
      </xdr:nvSpPr>
      <xdr:spPr>
        <a:xfrm>
          <a:off x="11220450" y="7715250"/>
          <a:ext cx="2095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0">
              <a:solidFill>
                <a:srgbClr val="8EA3C4"/>
              </a:solidFill>
              <a:latin typeface="Segoe UI"/>
              <a:cs typeface="Segoe UI"/>
            </a:rPr>
            <a:t/>
          </a:fld>
          <a:endParaRPr lang="en-US" sz="900" b="0">
            <a:solidFill>
              <a:srgbClr val="8EA3C4"/>
            </a:solidFill>
            <a:latin typeface="Segoe UI"/>
            <a:cs typeface="Segoe UI"/>
          </a:endParaRPr>
        </a:p>
      </xdr:txBody>
    </xdr:sp>
    <xdr:clientData/>
  </xdr:twoCellAnchor>
  <xdr:twoCellAnchor editAs="absolute">
    <xdr:from>
      <xdr:col>69</xdr:col>
      <xdr:colOff>38100</xdr:colOff>
      <xdr:row>40</xdr:row>
      <xdr:rowOff>95250</xdr:rowOff>
    </xdr:from>
    <xdr:to>
      <xdr:col>72</xdr:col>
      <xdr:colOff>38100</xdr:colOff>
      <xdr:row>41</xdr:row>
      <xdr:rowOff>133350</xdr:rowOff>
    </xdr:to>
    <xdr:sp macro="" textlink="'Tablero'!$AL$252">
      <xdr:nvSpPr>
        <xdr:cNvPr id="141" name="TextBox 140"/>
        <xdr:cNvSpPr txBox="1"/>
      </xdr:nvSpPr>
      <xdr:spPr>
        <a:xfrm>
          <a:off x="13182600" y="7715250"/>
          <a:ext cx="571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EAF2FF"/>
              </a:solidFill>
              <a:latin typeface="Segoe UI"/>
              <a:cs typeface="Segoe UI"/>
            </a:rPr>
            <a:t/>
          </a:fld>
          <a:endParaRPr lang="en-US" sz="900" b="1">
            <a:solidFill>
              <a:srgbClr val="EAF2FF"/>
            </a:solidFill>
            <a:latin typeface="Segoe UI"/>
            <a:cs typeface="Segoe UI"/>
          </a:endParaRPr>
        </a:p>
      </xdr:txBody>
    </xdr:sp>
    <xdr:clientData/>
  </xdr:twoCellAnchor>
  <xdr:twoCellAnchor editAs="absolute">
    <xdr:from>
      <xdr:col>72</xdr:col>
      <xdr:colOff>0</xdr:colOff>
      <xdr:row>40</xdr:row>
      <xdr:rowOff>95250</xdr:rowOff>
    </xdr:from>
    <xdr:to>
      <xdr:col>77</xdr:col>
      <xdr:colOff>38100</xdr:colOff>
      <xdr:row>41</xdr:row>
      <xdr:rowOff>133350</xdr:rowOff>
    </xdr:to>
    <xdr:sp macro="" textlink="'Tablero'!$N$252">
      <xdr:nvSpPr>
        <xdr:cNvPr id="142" name="TextBox 141"/>
        <xdr:cNvSpPr txBox="1"/>
      </xdr:nvSpPr>
      <xdr:spPr>
        <a:xfrm>
          <a:off x="13716000" y="7715250"/>
          <a:ext cx="990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0">
              <a:solidFill>
                <a:srgbClr val="8EA3C4"/>
              </a:solidFill>
              <a:latin typeface="Segoe UI"/>
              <a:cs typeface="Segoe UI"/>
            </a:rPr>
            <a:t/>
          </a:fld>
          <a:endParaRPr lang="en-US" sz="900" b="0">
            <a:solidFill>
              <a:srgbClr val="8EA3C4"/>
            </a:solidFill>
            <a:latin typeface="Segoe UI"/>
            <a:cs typeface="Segoe UI"/>
          </a:endParaRPr>
        </a:p>
      </xdr:txBody>
    </xdr:sp>
    <xdr:clientData/>
  </xdr:twoCellAnchor>
  <xdr:twoCellAnchor editAs="absolute">
    <xdr:from>
      <xdr:col>58</xdr:col>
      <xdr:colOff>0</xdr:colOff>
      <xdr:row>42</xdr:row>
      <xdr:rowOff>19050</xdr:rowOff>
    </xdr:from>
    <xdr:to>
      <xdr:col>77</xdr:col>
      <xdr:colOff>0</xdr:colOff>
      <xdr:row>43</xdr:row>
      <xdr:rowOff>0</xdr:rowOff>
    </xdr:to>
    <xdr:sp macro="" textlink="">
      <xdr:nvSpPr>
        <xdr:cNvPr id="143" name="TextBox 142"/>
        <xdr:cNvSpPr txBox="1"/>
      </xdr:nvSpPr>
      <xdr:spPr>
        <a:xfrm>
          <a:off x="11049000" y="8020050"/>
          <a:ext cx="36195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700" b="0">
              <a:solidFill>
                <a:srgbClr val="5D7295"/>
              </a:solidFill>
              <a:latin typeface="Segoe UI"/>
              <a:cs typeface="Segoe UI"/>
            </a:rPr>
            <a:t>Otras lecturas del capex del trimestre</a:t>
          </a:r>
        </a:p>
      </xdr:txBody>
    </xdr:sp>
    <xdr:clientData/>
  </xdr:twoCellAnchor>
  <xdr:twoCellAnchor editAs="absolute">
    <xdr:from>
      <xdr:col>58</xdr:col>
      <xdr:colOff>0</xdr:colOff>
      <xdr:row>43</xdr:row>
      <xdr:rowOff>57150</xdr:rowOff>
    </xdr:from>
    <xdr:to>
      <xdr:col>69</xdr:col>
      <xdr:colOff>0</xdr:colOff>
      <xdr:row>44</xdr:row>
      <xdr:rowOff>57150</xdr:rowOff>
    </xdr:to>
    <xdr:sp macro="" textlink="">
      <xdr:nvSpPr>
        <xdr:cNvPr id="144" name="TextBox 143"/>
        <xdr:cNvSpPr txBox="1"/>
      </xdr:nvSpPr>
      <xdr:spPr>
        <a:xfrm>
          <a:off x="11049000" y="8248650"/>
          <a:ext cx="2095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900" b="0">
              <a:solidFill>
                <a:srgbClr val="8EA3C4"/>
              </a:solidFill>
              <a:latin typeface="Segoe UI"/>
              <a:cs typeface="Segoe UI"/>
            </a:rPr>
            <a:t>Pagado (flujo de efectivo)</a:t>
          </a:r>
        </a:p>
      </xdr:txBody>
    </xdr:sp>
    <xdr:clientData/>
  </xdr:twoCellAnchor>
  <xdr:twoCellAnchor editAs="absolute">
    <xdr:from>
      <xdr:col>71</xdr:col>
      <xdr:colOff>0</xdr:colOff>
      <xdr:row>43</xdr:row>
      <xdr:rowOff>57150</xdr:rowOff>
    </xdr:from>
    <xdr:to>
      <xdr:col>77</xdr:col>
      <xdr:colOff>38100</xdr:colOff>
      <xdr:row>44</xdr:row>
      <xdr:rowOff>57150</xdr:rowOff>
    </xdr:to>
    <xdr:sp macro="" textlink="'Tablero'!$N$222">
      <xdr:nvSpPr>
        <xdr:cNvPr id="145" name="TextBox 144"/>
        <xdr:cNvSpPr txBox="1"/>
      </xdr:nvSpPr>
      <xdr:spPr>
        <a:xfrm>
          <a:off x="13525500" y="8248650"/>
          <a:ext cx="11811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EAF2FF"/>
              </a:solidFill>
              <a:latin typeface="Segoe UI"/>
              <a:cs typeface="Segoe UI"/>
            </a:rPr>
            <a:t/>
          </a:fld>
          <a:endParaRPr lang="en-US" sz="900" b="1">
            <a:solidFill>
              <a:srgbClr val="EAF2FF"/>
            </a:solidFill>
            <a:latin typeface="Segoe UI"/>
            <a:cs typeface="Segoe UI"/>
          </a:endParaRPr>
        </a:p>
      </xdr:txBody>
    </xdr:sp>
    <xdr:clientData/>
  </xdr:twoCellAnchor>
  <xdr:twoCellAnchor editAs="absolute">
    <xdr:from>
      <xdr:col>58</xdr:col>
      <xdr:colOff>0</xdr:colOff>
      <xdr:row>44</xdr:row>
      <xdr:rowOff>76200</xdr:rowOff>
    </xdr:from>
    <xdr:to>
      <xdr:col>69</xdr:col>
      <xdr:colOff>0</xdr:colOff>
      <xdr:row>45</xdr:row>
      <xdr:rowOff>76200</xdr:rowOff>
    </xdr:to>
    <xdr:sp macro="" textlink="">
      <xdr:nvSpPr>
        <xdr:cNvPr id="146" name="TextBox 145"/>
        <xdr:cNvSpPr txBox="1"/>
      </xdr:nvSpPr>
      <xdr:spPr>
        <a:xfrm>
          <a:off x="11049000" y="8458200"/>
          <a:ext cx="2095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900" b="0">
              <a:solidFill>
                <a:srgbClr val="8EA3C4"/>
              </a:solidFill>
              <a:latin typeface="Segoe UI"/>
              <a:cs typeface="Segoe UI"/>
            </a:rPr>
            <a:t>Publicado por YPF</a:t>
          </a:r>
        </a:p>
      </xdr:txBody>
    </xdr:sp>
    <xdr:clientData/>
  </xdr:twoCellAnchor>
  <xdr:twoCellAnchor editAs="absolute">
    <xdr:from>
      <xdr:col>71</xdr:col>
      <xdr:colOff>0</xdr:colOff>
      <xdr:row>44</xdr:row>
      <xdr:rowOff>76200</xdr:rowOff>
    </xdr:from>
    <xdr:to>
      <xdr:col>77</xdr:col>
      <xdr:colOff>38100</xdr:colOff>
      <xdr:row>45</xdr:row>
      <xdr:rowOff>76200</xdr:rowOff>
    </xdr:to>
    <xdr:sp macro="" textlink="'Tablero'!$N$226">
      <xdr:nvSpPr>
        <xdr:cNvPr id="147" name="TextBox 146"/>
        <xdr:cNvSpPr txBox="1"/>
      </xdr:nvSpPr>
      <xdr:spPr>
        <a:xfrm>
          <a:off x="13525500" y="8458200"/>
          <a:ext cx="11811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EAF2FF"/>
              </a:solidFill>
              <a:latin typeface="Segoe UI"/>
              <a:cs typeface="Segoe UI"/>
            </a:rPr>
            <a:t/>
          </a:fld>
          <a:endParaRPr lang="en-US" sz="900" b="1">
            <a:solidFill>
              <a:srgbClr val="EAF2FF"/>
            </a:solidFill>
            <a:latin typeface="Segoe UI"/>
            <a:cs typeface="Segoe UI"/>
          </a:endParaRPr>
        </a:p>
      </xdr:txBody>
    </xdr:sp>
    <xdr:clientData/>
  </xdr:twoCellAnchor>
  <xdr:twoCellAnchor editAs="absolute">
    <xdr:from>
      <xdr:col>2</xdr:col>
      <xdr:colOff>152400</xdr:colOff>
      <xdr:row>35</xdr:row>
      <xdr:rowOff>142875</xdr:rowOff>
    </xdr:from>
    <xdr:to>
      <xdr:col>34</xdr:col>
      <xdr:colOff>114300</xdr:colOff>
      <xdr:row>37</xdr:row>
      <xdr:rowOff>9525</xdr:rowOff>
    </xdr:to>
    <xdr:sp macro="" textlink="">
      <xdr:nvSpPr>
        <xdr:cNvPr id="148" name="TextBox 147"/>
        <xdr:cNvSpPr txBox="1"/>
      </xdr:nvSpPr>
      <xdr:spPr>
        <a:xfrm>
          <a:off x="533400" y="6810375"/>
          <a:ext cx="6057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200" b="1">
              <a:solidFill>
                <a:srgbClr val="EAF2FF"/>
              </a:solidFill>
              <a:latin typeface="Segoe UI"/>
              <a:cs typeface="Segoe UI"/>
            </a:rPr>
            <a:t>EBITDA y flujo operativo</a:t>
          </a:r>
        </a:p>
      </xdr:txBody>
    </xdr:sp>
    <xdr:clientData/>
  </xdr:twoCellAnchor>
  <xdr:twoCellAnchor editAs="absolute">
    <xdr:from>
      <xdr:col>2</xdr:col>
      <xdr:colOff>152400</xdr:colOff>
      <xdr:row>36</xdr:row>
      <xdr:rowOff>171450</xdr:rowOff>
    </xdr:from>
    <xdr:to>
      <xdr:col>34</xdr:col>
      <xdr:colOff>114300</xdr:colOff>
      <xdr:row>37</xdr:row>
      <xdr:rowOff>171450</xdr:rowOff>
    </xdr:to>
    <xdr:sp macro="" textlink="'Tablero'!$N$158">
      <xdr:nvSpPr>
        <xdr:cNvPr id="149" name="TextBox 148"/>
        <xdr:cNvSpPr txBox="1"/>
      </xdr:nvSpPr>
      <xdr:spPr>
        <a:xfrm>
          <a:off x="533400" y="7029450"/>
          <a:ext cx="60579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5D7295"/>
              </a:solidFill>
              <a:latin typeface="Segoe UI"/>
              <a:cs typeface="Segoe UI"/>
            </a:rPr>
            <a:t/>
          </a:fld>
          <a:endParaRPr lang="en-US" sz="800" b="0">
            <a:solidFill>
              <a:srgbClr val="5D7295"/>
            </a:solidFill>
            <a:latin typeface="Segoe UI"/>
            <a:cs typeface="Segoe UI"/>
          </a:endParaRPr>
        </a:p>
      </xdr:txBody>
    </xdr:sp>
    <xdr:clientData/>
  </xdr:twoCellAnchor>
  <xdr:twoCellAnchor editAs="absolute">
    <xdr:from>
      <xdr:col>22</xdr:col>
      <xdr:colOff>133350</xdr:colOff>
      <xdr:row>35</xdr:row>
      <xdr:rowOff>95250</xdr:rowOff>
    </xdr:from>
    <xdr:to>
      <xdr:col>28</xdr:col>
      <xdr:colOff>133350</xdr:colOff>
      <xdr:row>36</xdr:row>
      <xdr:rowOff>95250</xdr:rowOff>
    </xdr:to>
    <xdr:sp macro="" textlink="">
      <xdr:nvSpPr>
        <xdr:cNvPr id="150" name="TextBox 149"/>
        <xdr:cNvSpPr txBox="1"/>
      </xdr:nvSpPr>
      <xdr:spPr>
        <a:xfrm>
          <a:off x="4324350" y="6762750"/>
          <a:ext cx="1143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1">
              <a:solidFill>
                <a:srgbClr val="22D3EE"/>
              </a:solidFill>
              <a:latin typeface="Segoe UI"/>
              <a:cs typeface="Segoe UI"/>
            </a:rPr>
            <a:t>━ EBITDA ajustado</a:t>
          </a:r>
        </a:p>
      </xdr:txBody>
    </xdr:sp>
    <xdr:clientData/>
  </xdr:twoCellAnchor>
  <xdr:twoCellAnchor editAs="absolute">
    <xdr:from>
      <xdr:col>28</xdr:col>
      <xdr:colOff>133350</xdr:colOff>
      <xdr:row>35</xdr:row>
      <xdr:rowOff>95250</xdr:rowOff>
    </xdr:from>
    <xdr:to>
      <xdr:col>34</xdr:col>
      <xdr:colOff>114300</xdr:colOff>
      <xdr:row>36</xdr:row>
      <xdr:rowOff>95250</xdr:rowOff>
    </xdr:to>
    <xdr:sp macro="" textlink="">
      <xdr:nvSpPr>
        <xdr:cNvPr id="151" name="TextBox 150"/>
        <xdr:cNvSpPr txBox="1"/>
      </xdr:nvSpPr>
      <xdr:spPr>
        <a:xfrm>
          <a:off x="5467350" y="6762750"/>
          <a:ext cx="11239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1">
              <a:solidFill>
                <a:srgbClr val="818CF8"/>
              </a:solidFill>
              <a:latin typeface="Segoe UI"/>
              <a:cs typeface="Segoe UI"/>
            </a:rPr>
            <a:t>┅ Flujo operativo</a:t>
          </a:r>
        </a:p>
      </xdr:txBody>
    </xdr:sp>
    <xdr:clientData/>
  </xdr:twoCellAnchor>
  <xdr:twoCellAnchor editAs="absolute">
    <xdr:from>
      <xdr:col>19</xdr:col>
      <xdr:colOff>114300</xdr:colOff>
      <xdr:row>36</xdr:row>
      <xdr:rowOff>95250</xdr:rowOff>
    </xdr:from>
    <xdr:to>
      <xdr:col>34</xdr:col>
      <xdr:colOff>114300</xdr:colOff>
      <xdr:row>37</xdr:row>
      <xdr:rowOff>95250</xdr:rowOff>
    </xdr:to>
    <xdr:sp macro="" textlink="'Tablero'!$N$162">
      <xdr:nvSpPr>
        <xdr:cNvPr id="152" name="TextBox 151"/>
        <xdr:cNvSpPr txBox="1"/>
      </xdr:nvSpPr>
      <xdr:spPr>
        <a:xfrm>
          <a:off x="3733800" y="6953250"/>
          <a:ext cx="2857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FBBF24"/>
              </a:solidFill>
              <a:latin typeface="Segoe UI"/>
              <a:cs typeface="Segoe UI"/>
            </a:rPr>
            <a:t/>
          </a:fld>
          <a:endParaRPr lang="en-US" sz="800" b="1">
            <a:solidFill>
              <a:srgbClr val="FBBF24"/>
            </a:solidFill>
            <a:latin typeface="Segoe UI"/>
            <a:cs typeface="Segoe UI"/>
          </a:endParaRPr>
        </a:p>
      </xdr:txBody>
    </xdr:sp>
    <xdr:clientData/>
  </xdr:twoCellAnchor>
  <xdr:twoCellAnchor editAs="absolute">
    <xdr:from>
      <xdr:col>37</xdr:col>
      <xdr:colOff>0</xdr:colOff>
      <xdr:row>35</xdr:row>
      <xdr:rowOff>142875</xdr:rowOff>
    </xdr:from>
    <xdr:to>
      <xdr:col>55</xdr:col>
      <xdr:colOff>76200</xdr:colOff>
      <xdr:row>37</xdr:row>
      <xdr:rowOff>9525</xdr:rowOff>
    </xdr:to>
    <xdr:sp macro="" textlink="">
      <xdr:nvSpPr>
        <xdr:cNvPr id="153" name="TextBox 152"/>
        <xdr:cNvSpPr txBox="1"/>
      </xdr:nvSpPr>
      <xdr:spPr>
        <a:xfrm>
          <a:off x="7048500" y="6810375"/>
          <a:ext cx="35052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200" b="1">
              <a:solidFill>
                <a:srgbClr val="EAF2FF"/>
              </a:solidFill>
              <a:latin typeface="Segoe UI"/>
              <a:cs typeface="Segoe UI"/>
            </a:rPr>
            <a:t>Ejercicios</a:t>
          </a:r>
        </a:p>
      </xdr:txBody>
    </xdr:sp>
    <xdr:clientData/>
  </xdr:twoCellAnchor>
  <xdr:twoCellAnchor editAs="absolute">
    <xdr:from>
      <xdr:col>37</xdr:col>
      <xdr:colOff>0</xdr:colOff>
      <xdr:row>36</xdr:row>
      <xdr:rowOff>171450</xdr:rowOff>
    </xdr:from>
    <xdr:to>
      <xdr:col>55</xdr:col>
      <xdr:colOff>76200</xdr:colOff>
      <xdr:row>37</xdr:row>
      <xdr:rowOff>171450</xdr:rowOff>
    </xdr:to>
    <xdr:sp macro="" textlink="'Tablero'!$N$159">
      <xdr:nvSpPr>
        <xdr:cNvPr id="154" name="TextBox 153"/>
        <xdr:cNvSpPr txBox="1"/>
      </xdr:nvSpPr>
      <xdr:spPr>
        <a:xfrm>
          <a:off x="7048500" y="7029450"/>
          <a:ext cx="3505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5D7295"/>
              </a:solidFill>
              <a:latin typeface="Segoe UI"/>
              <a:cs typeface="Segoe UI"/>
            </a:rPr>
            <a:t/>
          </a:fld>
          <a:endParaRPr lang="en-US" sz="800" b="0">
            <a:solidFill>
              <a:srgbClr val="5D7295"/>
            </a:solidFill>
            <a:latin typeface="Segoe UI"/>
            <a:cs typeface="Segoe UI"/>
          </a:endParaRPr>
        </a:p>
      </xdr:txBody>
    </xdr:sp>
    <xdr:clientData/>
  </xdr:twoCellAnchor>
  <xdr:twoCellAnchor editAs="absolute">
    <xdr:from>
      <xdr:col>46</xdr:col>
      <xdr:colOff>95250</xdr:colOff>
      <xdr:row>35</xdr:row>
      <xdr:rowOff>95250</xdr:rowOff>
    </xdr:from>
    <xdr:to>
      <xdr:col>51</xdr:col>
      <xdr:colOff>0</xdr:colOff>
      <xdr:row>36</xdr:row>
      <xdr:rowOff>95250</xdr:rowOff>
    </xdr:to>
    <xdr:sp macro="" textlink="">
      <xdr:nvSpPr>
        <xdr:cNvPr id="155" name="TextBox 154"/>
        <xdr:cNvSpPr txBox="1"/>
      </xdr:nvSpPr>
      <xdr:spPr>
        <a:xfrm>
          <a:off x="8858250" y="6762750"/>
          <a:ext cx="8572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1">
              <a:solidFill>
                <a:srgbClr val="22D3EE"/>
              </a:solidFill>
              <a:latin typeface="Segoe UI"/>
              <a:cs typeface="Segoe UI"/>
            </a:rPr>
            <a:t>■ EBITDA</a:t>
          </a:r>
        </a:p>
      </xdr:txBody>
    </xdr:sp>
    <xdr:clientData/>
  </xdr:twoCellAnchor>
  <xdr:twoCellAnchor editAs="absolute">
    <xdr:from>
      <xdr:col>51</xdr:col>
      <xdr:colOff>0</xdr:colOff>
      <xdr:row>35</xdr:row>
      <xdr:rowOff>95250</xdr:rowOff>
    </xdr:from>
    <xdr:to>
      <xdr:col>55</xdr:col>
      <xdr:colOff>76200</xdr:colOff>
      <xdr:row>36</xdr:row>
      <xdr:rowOff>95250</xdr:rowOff>
    </xdr:to>
    <xdr:sp macro="" textlink="">
      <xdr:nvSpPr>
        <xdr:cNvPr id="156" name="TextBox 155"/>
        <xdr:cNvSpPr txBox="1"/>
      </xdr:nvSpPr>
      <xdr:spPr>
        <a:xfrm>
          <a:off x="9715500" y="6762750"/>
          <a:ext cx="8382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1">
              <a:solidFill>
                <a:srgbClr val="93C5FD"/>
              </a:solidFill>
              <a:latin typeface="Segoe UI"/>
              <a:cs typeface="Segoe UI"/>
            </a:rPr>
            <a:t>□ Capex</a:t>
          </a:r>
        </a:p>
      </xdr:txBody>
    </xdr:sp>
    <xdr:clientData/>
  </xdr:twoCellAnchor>
  <xdr:twoCellAnchor editAs="absolute">
    <xdr:from>
      <xdr:col>2</xdr:col>
      <xdr:colOff>152400</xdr:colOff>
      <xdr:row>48</xdr:row>
      <xdr:rowOff>66675</xdr:rowOff>
    </xdr:from>
    <xdr:to>
      <xdr:col>36</xdr:col>
      <xdr:colOff>114300</xdr:colOff>
      <xdr:row>49</xdr:row>
      <xdr:rowOff>123825</xdr:rowOff>
    </xdr:to>
    <xdr:sp macro="" textlink="">
      <xdr:nvSpPr>
        <xdr:cNvPr id="157" name="TextBox 156"/>
        <xdr:cNvSpPr txBox="1"/>
      </xdr:nvSpPr>
      <xdr:spPr>
        <a:xfrm>
          <a:off x="533400" y="9210675"/>
          <a:ext cx="6438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200" b="1">
              <a:solidFill>
                <a:srgbClr val="EAF2FF"/>
              </a:solidFill>
              <a:latin typeface="Segoe UI"/>
              <a:cs typeface="Segoe UI"/>
            </a:rPr>
            <a:t>Vaca Muerta: dónde produce YPF</a:t>
          </a:r>
        </a:p>
      </xdr:txBody>
    </xdr:sp>
    <xdr:clientData/>
  </xdr:twoCellAnchor>
  <xdr:twoCellAnchor editAs="absolute">
    <xdr:from>
      <xdr:col>2</xdr:col>
      <xdr:colOff>152400</xdr:colOff>
      <xdr:row>49</xdr:row>
      <xdr:rowOff>95250</xdr:rowOff>
    </xdr:from>
    <xdr:to>
      <xdr:col>36</xdr:col>
      <xdr:colOff>114300</xdr:colOff>
      <xdr:row>50</xdr:row>
      <xdr:rowOff>95250</xdr:rowOff>
    </xdr:to>
    <xdr:sp macro="" textlink="'Tablero'!$N$146">
      <xdr:nvSpPr>
        <xdr:cNvPr id="158" name="TextBox 157"/>
        <xdr:cNvSpPr txBox="1"/>
      </xdr:nvSpPr>
      <xdr:spPr>
        <a:xfrm>
          <a:off x="533400" y="9429750"/>
          <a:ext cx="64389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5D7295"/>
              </a:solidFill>
              <a:latin typeface="Segoe UI"/>
              <a:cs typeface="Segoe UI"/>
            </a:rPr>
            <a:t/>
          </a:fld>
          <a:endParaRPr lang="en-US" sz="800" b="0">
            <a:solidFill>
              <a:srgbClr val="5D7295"/>
            </a:solidFill>
            <a:latin typeface="Segoe UI"/>
            <a:cs typeface="Segoe UI"/>
          </a:endParaRPr>
        </a:p>
      </xdr:txBody>
    </xdr:sp>
    <xdr:clientData/>
  </xdr:twoCellAnchor>
  <xdr:twoCellAnchor editAs="absolute">
    <xdr:from>
      <xdr:col>21</xdr:col>
      <xdr:colOff>38100</xdr:colOff>
      <xdr:row>50</xdr:row>
      <xdr:rowOff>133350</xdr:rowOff>
    </xdr:from>
    <xdr:to>
      <xdr:col>36</xdr:col>
      <xdr:colOff>76200</xdr:colOff>
      <xdr:row>51</xdr:row>
      <xdr:rowOff>114300</xdr:rowOff>
    </xdr:to>
    <xdr:sp macro="" textlink="">
      <xdr:nvSpPr>
        <xdr:cNvPr id="159" name="TextBox 158"/>
        <xdr:cNvSpPr txBox="1"/>
      </xdr:nvSpPr>
      <xdr:spPr>
        <a:xfrm>
          <a:off x="4038600" y="9658350"/>
          <a:ext cx="28956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Total shale operado</a:t>
          </a:r>
        </a:p>
      </xdr:txBody>
    </xdr:sp>
    <xdr:clientData/>
  </xdr:twoCellAnchor>
  <xdr:twoCellAnchor editAs="absolute">
    <xdr:from>
      <xdr:col>21</xdr:col>
      <xdr:colOff>38100</xdr:colOff>
      <xdr:row>51</xdr:row>
      <xdr:rowOff>95250</xdr:rowOff>
    </xdr:from>
    <xdr:to>
      <xdr:col>32</xdr:col>
      <xdr:colOff>76200</xdr:colOff>
      <xdr:row>53</xdr:row>
      <xdr:rowOff>0</xdr:rowOff>
    </xdr:to>
    <xdr:sp macro="" textlink="'Tablero'!$N$345">
      <xdr:nvSpPr>
        <xdr:cNvPr id="160" name="TextBox 159"/>
        <xdr:cNvSpPr txBox="1"/>
      </xdr:nvSpPr>
      <xdr:spPr>
        <a:xfrm>
          <a:off x="4038600" y="9810750"/>
          <a:ext cx="2133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700" b="1">
              <a:solidFill>
                <a:srgbClr val="EAF2FF"/>
              </a:solidFill>
              <a:latin typeface="Segoe UI"/>
              <a:cs typeface="Segoe UI"/>
            </a:rPr>
            <a:t/>
          </a:fld>
          <a:endParaRPr lang="en-US" sz="1700" b="1">
            <a:solidFill>
              <a:srgbClr val="EAF2FF"/>
            </a:solidFill>
            <a:latin typeface="Segoe UI"/>
            <a:cs typeface="Segoe UI"/>
          </a:endParaRPr>
        </a:p>
      </xdr:txBody>
    </xdr:sp>
    <xdr:clientData/>
  </xdr:twoCellAnchor>
  <xdr:twoCellAnchor editAs="absolute">
    <xdr:from>
      <xdr:col>31</xdr:col>
      <xdr:colOff>171450</xdr:colOff>
      <xdr:row>51</xdr:row>
      <xdr:rowOff>152400</xdr:rowOff>
    </xdr:from>
    <xdr:to>
      <xdr:col>36</xdr:col>
      <xdr:colOff>76200</xdr:colOff>
      <xdr:row>52</xdr:row>
      <xdr:rowOff>171450</xdr:rowOff>
    </xdr:to>
    <xdr:sp macro="" textlink="'Tablero'!$T$345">
      <xdr:nvSpPr>
        <xdr:cNvPr id="161" name="TextBox 160"/>
        <xdr:cNvSpPr txBox="1"/>
      </xdr:nvSpPr>
      <xdr:spPr>
        <a:xfrm>
          <a:off x="6076950" y="9867900"/>
          <a:ext cx="857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000" b="1">
              <a:solidFill>
                <a:srgbClr val="22D3EE"/>
              </a:solidFill>
              <a:latin typeface="Segoe UI"/>
              <a:cs typeface="Segoe UI"/>
            </a:rPr>
            <a:t/>
          </a:fld>
          <a:endParaRPr lang="en-US" sz="1000" b="1">
            <a:solidFill>
              <a:srgbClr val="22D3EE"/>
            </a:solidFill>
            <a:latin typeface="Segoe UI"/>
            <a:cs typeface="Segoe UI"/>
          </a:endParaRPr>
        </a:p>
      </xdr:txBody>
    </xdr:sp>
    <xdr:clientData/>
  </xdr:twoCellAnchor>
  <xdr:twoCellAnchor editAs="absolute">
    <xdr:from>
      <xdr:col>21</xdr:col>
      <xdr:colOff>38100</xdr:colOff>
      <xdr:row>52</xdr:row>
      <xdr:rowOff>171450</xdr:rowOff>
    </xdr:from>
    <xdr:to>
      <xdr:col>36</xdr:col>
      <xdr:colOff>76200</xdr:colOff>
      <xdr:row>53</xdr:row>
      <xdr:rowOff>152400</xdr:rowOff>
    </xdr:to>
    <xdr:sp macro="" textlink="'Tablero'!$N$148">
      <xdr:nvSpPr>
        <xdr:cNvPr id="162" name="TextBox 161"/>
        <xdr:cNvSpPr txBox="1"/>
      </xdr:nvSpPr>
      <xdr:spPr>
        <a:xfrm>
          <a:off x="4038600" y="10077450"/>
          <a:ext cx="28956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700" b="0">
              <a:solidFill>
                <a:srgbClr val="5D7295"/>
              </a:solidFill>
              <a:latin typeface="Segoe UI"/>
              <a:cs typeface="Segoe UI"/>
            </a:rPr>
            <a:t/>
          </a:fld>
          <a:endParaRPr lang="en-US" sz="700" b="0">
            <a:solidFill>
              <a:srgbClr val="5D7295"/>
            </a:solidFill>
            <a:latin typeface="Segoe UI"/>
            <a:cs typeface="Segoe UI"/>
          </a:endParaRPr>
        </a:p>
      </xdr:txBody>
    </xdr:sp>
    <xdr:clientData/>
  </xdr:twoCellAnchor>
  <xdr:twoCellAnchor editAs="absolute">
    <xdr:from>
      <xdr:col>21</xdr:col>
      <xdr:colOff>38100</xdr:colOff>
      <xdr:row>54</xdr:row>
      <xdr:rowOff>38100</xdr:rowOff>
    </xdr:from>
    <xdr:to>
      <xdr:col>29</xdr:col>
      <xdr:colOff>171450</xdr:colOff>
      <xdr:row>55</xdr:row>
      <xdr:rowOff>57150</xdr:rowOff>
    </xdr:to>
    <xdr:sp macro="" textlink="'Tablero'!$B$335">
      <xdr:nvSpPr>
        <xdr:cNvPr id="163" name="TextBox 162"/>
        <xdr:cNvSpPr txBox="1"/>
      </xdr:nvSpPr>
      <xdr:spPr>
        <a:xfrm>
          <a:off x="4038600" y="10325100"/>
          <a:ext cx="1657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29</xdr:col>
      <xdr:colOff>171450</xdr:colOff>
      <xdr:row>54</xdr:row>
      <xdr:rowOff>38100</xdr:rowOff>
    </xdr:from>
    <xdr:to>
      <xdr:col>33</xdr:col>
      <xdr:colOff>19050</xdr:colOff>
      <xdr:row>55</xdr:row>
      <xdr:rowOff>57150</xdr:rowOff>
    </xdr:to>
    <xdr:sp macro="" textlink="'Tablero'!$N$335">
      <xdr:nvSpPr>
        <xdr:cNvPr id="164" name="TextBox 163"/>
        <xdr:cNvSpPr txBox="1"/>
      </xdr:nvSpPr>
      <xdr:spPr>
        <a:xfrm>
          <a:off x="5695950" y="103251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33</xdr:col>
      <xdr:colOff>38100</xdr:colOff>
      <xdr:row>54</xdr:row>
      <xdr:rowOff>38100</xdr:rowOff>
    </xdr:from>
    <xdr:to>
      <xdr:col>36</xdr:col>
      <xdr:colOff>76200</xdr:colOff>
      <xdr:row>55</xdr:row>
      <xdr:rowOff>57150</xdr:rowOff>
    </xdr:to>
    <xdr:sp macro="" textlink="'Tablero'!$T$335">
      <xdr:nvSpPr>
        <xdr:cNvPr id="165" name="TextBox 164"/>
        <xdr:cNvSpPr txBox="1"/>
      </xdr:nvSpPr>
      <xdr:spPr>
        <a:xfrm>
          <a:off x="6324600" y="103251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21</xdr:col>
      <xdr:colOff>38100</xdr:colOff>
      <xdr:row>55</xdr:row>
      <xdr:rowOff>114300</xdr:rowOff>
    </xdr:from>
    <xdr:to>
      <xdr:col>29</xdr:col>
      <xdr:colOff>171450</xdr:colOff>
      <xdr:row>56</xdr:row>
      <xdr:rowOff>133350</xdr:rowOff>
    </xdr:to>
    <xdr:sp macro="" textlink="'Tablero'!$B$336">
      <xdr:nvSpPr>
        <xdr:cNvPr id="166" name="TextBox 165"/>
        <xdr:cNvSpPr txBox="1"/>
      </xdr:nvSpPr>
      <xdr:spPr>
        <a:xfrm>
          <a:off x="4038600" y="10591800"/>
          <a:ext cx="1657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29</xdr:col>
      <xdr:colOff>171450</xdr:colOff>
      <xdr:row>55</xdr:row>
      <xdr:rowOff>114300</xdr:rowOff>
    </xdr:from>
    <xdr:to>
      <xdr:col>33</xdr:col>
      <xdr:colOff>19050</xdr:colOff>
      <xdr:row>56</xdr:row>
      <xdr:rowOff>133350</xdr:rowOff>
    </xdr:to>
    <xdr:sp macro="" textlink="'Tablero'!$N$336">
      <xdr:nvSpPr>
        <xdr:cNvPr id="167" name="TextBox 166"/>
        <xdr:cNvSpPr txBox="1"/>
      </xdr:nvSpPr>
      <xdr:spPr>
        <a:xfrm>
          <a:off x="5695950" y="105918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33</xdr:col>
      <xdr:colOff>38100</xdr:colOff>
      <xdr:row>55</xdr:row>
      <xdr:rowOff>114300</xdr:rowOff>
    </xdr:from>
    <xdr:to>
      <xdr:col>36</xdr:col>
      <xdr:colOff>76200</xdr:colOff>
      <xdr:row>56</xdr:row>
      <xdr:rowOff>133350</xdr:rowOff>
    </xdr:to>
    <xdr:sp macro="" textlink="'Tablero'!$T$336">
      <xdr:nvSpPr>
        <xdr:cNvPr id="168" name="TextBox 167"/>
        <xdr:cNvSpPr txBox="1"/>
      </xdr:nvSpPr>
      <xdr:spPr>
        <a:xfrm>
          <a:off x="6324600" y="105918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21</xdr:col>
      <xdr:colOff>38100</xdr:colOff>
      <xdr:row>57</xdr:row>
      <xdr:rowOff>0</xdr:rowOff>
    </xdr:from>
    <xdr:to>
      <xdr:col>29</xdr:col>
      <xdr:colOff>171450</xdr:colOff>
      <xdr:row>58</xdr:row>
      <xdr:rowOff>19050</xdr:rowOff>
    </xdr:to>
    <xdr:sp macro="" textlink="'Tablero'!$B$337">
      <xdr:nvSpPr>
        <xdr:cNvPr id="169" name="TextBox 168"/>
        <xdr:cNvSpPr txBox="1"/>
      </xdr:nvSpPr>
      <xdr:spPr>
        <a:xfrm>
          <a:off x="4038600" y="10858500"/>
          <a:ext cx="1657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29</xdr:col>
      <xdr:colOff>171450</xdr:colOff>
      <xdr:row>57</xdr:row>
      <xdr:rowOff>0</xdr:rowOff>
    </xdr:from>
    <xdr:to>
      <xdr:col>33</xdr:col>
      <xdr:colOff>19050</xdr:colOff>
      <xdr:row>58</xdr:row>
      <xdr:rowOff>19050</xdr:rowOff>
    </xdr:to>
    <xdr:sp macro="" textlink="'Tablero'!$N$337">
      <xdr:nvSpPr>
        <xdr:cNvPr id="170" name="TextBox 169"/>
        <xdr:cNvSpPr txBox="1"/>
      </xdr:nvSpPr>
      <xdr:spPr>
        <a:xfrm>
          <a:off x="5695950" y="108585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33</xdr:col>
      <xdr:colOff>38100</xdr:colOff>
      <xdr:row>57</xdr:row>
      <xdr:rowOff>0</xdr:rowOff>
    </xdr:from>
    <xdr:to>
      <xdr:col>36</xdr:col>
      <xdr:colOff>76200</xdr:colOff>
      <xdr:row>58</xdr:row>
      <xdr:rowOff>19050</xdr:rowOff>
    </xdr:to>
    <xdr:sp macro="" textlink="'Tablero'!$T$337">
      <xdr:nvSpPr>
        <xdr:cNvPr id="171" name="TextBox 170"/>
        <xdr:cNvSpPr txBox="1"/>
      </xdr:nvSpPr>
      <xdr:spPr>
        <a:xfrm>
          <a:off x="6324600" y="108585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21</xdr:col>
      <xdr:colOff>38100</xdr:colOff>
      <xdr:row>58</xdr:row>
      <xdr:rowOff>76200</xdr:rowOff>
    </xdr:from>
    <xdr:to>
      <xdr:col>29</xdr:col>
      <xdr:colOff>171450</xdr:colOff>
      <xdr:row>59</xdr:row>
      <xdr:rowOff>95250</xdr:rowOff>
    </xdr:to>
    <xdr:sp macro="" textlink="'Tablero'!$B$338">
      <xdr:nvSpPr>
        <xdr:cNvPr id="172" name="TextBox 171"/>
        <xdr:cNvSpPr txBox="1"/>
      </xdr:nvSpPr>
      <xdr:spPr>
        <a:xfrm>
          <a:off x="4038600" y="11125200"/>
          <a:ext cx="1657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29</xdr:col>
      <xdr:colOff>171450</xdr:colOff>
      <xdr:row>58</xdr:row>
      <xdr:rowOff>76200</xdr:rowOff>
    </xdr:from>
    <xdr:to>
      <xdr:col>33</xdr:col>
      <xdr:colOff>19050</xdr:colOff>
      <xdr:row>59</xdr:row>
      <xdr:rowOff>95250</xdr:rowOff>
    </xdr:to>
    <xdr:sp macro="" textlink="'Tablero'!$N$338">
      <xdr:nvSpPr>
        <xdr:cNvPr id="173" name="TextBox 172"/>
        <xdr:cNvSpPr txBox="1"/>
      </xdr:nvSpPr>
      <xdr:spPr>
        <a:xfrm>
          <a:off x="5695950" y="111252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33</xdr:col>
      <xdr:colOff>38100</xdr:colOff>
      <xdr:row>58</xdr:row>
      <xdr:rowOff>76200</xdr:rowOff>
    </xdr:from>
    <xdr:to>
      <xdr:col>36</xdr:col>
      <xdr:colOff>76200</xdr:colOff>
      <xdr:row>59</xdr:row>
      <xdr:rowOff>95250</xdr:rowOff>
    </xdr:to>
    <xdr:sp macro="" textlink="'Tablero'!$T$338">
      <xdr:nvSpPr>
        <xdr:cNvPr id="174" name="TextBox 173"/>
        <xdr:cNvSpPr txBox="1"/>
      </xdr:nvSpPr>
      <xdr:spPr>
        <a:xfrm>
          <a:off x="6324600" y="111252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21</xdr:col>
      <xdr:colOff>38100</xdr:colOff>
      <xdr:row>59</xdr:row>
      <xdr:rowOff>152400</xdr:rowOff>
    </xdr:from>
    <xdr:to>
      <xdr:col>29</xdr:col>
      <xdr:colOff>171450</xdr:colOff>
      <xdr:row>60</xdr:row>
      <xdr:rowOff>171450</xdr:rowOff>
    </xdr:to>
    <xdr:sp macro="" textlink="'Tablero'!$B$339">
      <xdr:nvSpPr>
        <xdr:cNvPr id="175" name="TextBox 174"/>
        <xdr:cNvSpPr txBox="1"/>
      </xdr:nvSpPr>
      <xdr:spPr>
        <a:xfrm>
          <a:off x="4038600" y="11391900"/>
          <a:ext cx="1657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29</xdr:col>
      <xdr:colOff>171450</xdr:colOff>
      <xdr:row>59</xdr:row>
      <xdr:rowOff>152400</xdr:rowOff>
    </xdr:from>
    <xdr:to>
      <xdr:col>33</xdr:col>
      <xdr:colOff>19050</xdr:colOff>
      <xdr:row>60</xdr:row>
      <xdr:rowOff>171450</xdr:rowOff>
    </xdr:to>
    <xdr:sp macro="" textlink="'Tablero'!$N$339">
      <xdr:nvSpPr>
        <xdr:cNvPr id="176" name="TextBox 175"/>
        <xdr:cNvSpPr txBox="1"/>
      </xdr:nvSpPr>
      <xdr:spPr>
        <a:xfrm>
          <a:off x="5695950" y="113919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33</xdr:col>
      <xdr:colOff>38100</xdr:colOff>
      <xdr:row>59</xdr:row>
      <xdr:rowOff>152400</xdr:rowOff>
    </xdr:from>
    <xdr:to>
      <xdr:col>36</xdr:col>
      <xdr:colOff>76200</xdr:colOff>
      <xdr:row>60</xdr:row>
      <xdr:rowOff>171450</xdr:rowOff>
    </xdr:to>
    <xdr:sp macro="" textlink="'Tablero'!$T$339">
      <xdr:nvSpPr>
        <xdr:cNvPr id="177" name="TextBox 176"/>
        <xdr:cNvSpPr txBox="1"/>
      </xdr:nvSpPr>
      <xdr:spPr>
        <a:xfrm>
          <a:off x="6324600" y="113919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21</xdr:col>
      <xdr:colOff>38100</xdr:colOff>
      <xdr:row>61</xdr:row>
      <xdr:rowOff>38100</xdr:rowOff>
    </xdr:from>
    <xdr:to>
      <xdr:col>29</xdr:col>
      <xdr:colOff>171450</xdr:colOff>
      <xdr:row>62</xdr:row>
      <xdr:rowOff>57150</xdr:rowOff>
    </xdr:to>
    <xdr:sp macro="" textlink="'Tablero'!$B$340">
      <xdr:nvSpPr>
        <xdr:cNvPr id="178" name="TextBox 177"/>
        <xdr:cNvSpPr txBox="1"/>
      </xdr:nvSpPr>
      <xdr:spPr>
        <a:xfrm>
          <a:off x="4038600" y="11658600"/>
          <a:ext cx="1657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29</xdr:col>
      <xdr:colOff>171450</xdr:colOff>
      <xdr:row>61</xdr:row>
      <xdr:rowOff>38100</xdr:rowOff>
    </xdr:from>
    <xdr:to>
      <xdr:col>33</xdr:col>
      <xdr:colOff>19050</xdr:colOff>
      <xdr:row>62</xdr:row>
      <xdr:rowOff>57150</xdr:rowOff>
    </xdr:to>
    <xdr:sp macro="" textlink="'Tablero'!$N$340">
      <xdr:nvSpPr>
        <xdr:cNvPr id="179" name="TextBox 178"/>
        <xdr:cNvSpPr txBox="1"/>
      </xdr:nvSpPr>
      <xdr:spPr>
        <a:xfrm>
          <a:off x="5695950" y="116586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33</xdr:col>
      <xdr:colOff>38100</xdr:colOff>
      <xdr:row>61</xdr:row>
      <xdr:rowOff>38100</xdr:rowOff>
    </xdr:from>
    <xdr:to>
      <xdr:col>36</xdr:col>
      <xdr:colOff>76200</xdr:colOff>
      <xdr:row>62</xdr:row>
      <xdr:rowOff>57150</xdr:rowOff>
    </xdr:to>
    <xdr:sp macro="" textlink="'Tablero'!$T$340">
      <xdr:nvSpPr>
        <xdr:cNvPr id="180" name="TextBox 179"/>
        <xdr:cNvSpPr txBox="1"/>
      </xdr:nvSpPr>
      <xdr:spPr>
        <a:xfrm>
          <a:off x="6324600" y="116586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21</xdr:col>
      <xdr:colOff>38100</xdr:colOff>
      <xdr:row>62</xdr:row>
      <xdr:rowOff>114300</xdr:rowOff>
    </xdr:from>
    <xdr:to>
      <xdr:col>29</xdr:col>
      <xdr:colOff>171450</xdr:colOff>
      <xdr:row>63</xdr:row>
      <xdr:rowOff>133350</xdr:rowOff>
    </xdr:to>
    <xdr:sp macro="" textlink="'Tablero'!$B$341">
      <xdr:nvSpPr>
        <xdr:cNvPr id="181" name="TextBox 180"/>
        <xdr:cNvSpPr txBox="1"/>
      </xdr:nvSpPr>
      <xdr:spPr>
        <a:xfrm>
          <a:off x="4038600" y="11925300"/>
          <a:ext cx="1657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29</xdr:col>
      <xdr:colOff>171450</xdr:colOff>
      <xdr:row>62</xdr:row>
      <xdr:rowOff>114300</xdr:rowOff>
    </xdr:from>
    <xdr:to>
      <xdr:col>33</xdr:col>
      <xdr:colOff>19050</xdr:colOff>
      <xdr:row>63</xdr:row>
      <xdr:rowOff>133350</xdr:rowOff>
    </xdr:to>
    <xdr:sp macro="" textlink="'Tablero'!$N$341">
      <xdr:nvSpPr>
        <xdr:cNvPr id="182" name="TextBox 181"/>
        <xdr:cNvSpPr txBox="1"/>
      </xdr:nvSpPr>
      <xdr:spPr>
        <a:xfrm>
          <a:off x="5695950" y="119253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33</xdr:col>
      <xdr:colOff>38100</xdr:colOff>
      <xdr:row>62</xdr:row>
      <xdr:rowOff>114300</xdr:rowOff>
    </xdr:from>
    <xdr:to>
      <xdr:col>36</xdr:col>
      <xdr:colOff>76200</xdr:colOff>
      <xdr:row>63</xdr:row>
      <xdr:rowOff>133350</xdr:rowOff>
    </xdr:to>
    <xdr:sp macro="" textlink="'Tablero'!$T$341">
      <xdr:nvSpPr>
        <xdr:cNvPr id="183" name="TextBox 182"/>
        <xdr:cNvSpPr txBox="1"/>
      </xdr:nvSpPr>
      <xdr:spPr>
        <a:xfrm>
          <a:off x="6324600" y="119253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21</xdr:col>
      <xdr:colOff>38100</xdr:colOff>
      <xdr:row>64</xdr:row>
      <xdr:rowOff>0</xdr:rowOff>
    </xdr:from>
    <xdr:to>
      <xdr:col>29</xdr:col>
      <xdr:colOff>171450</xdr:colOff>
      <xdr:row>65</xdr:row>
      <xdr:rowOff>19050</xdr:rowOff>
    </xdr:to>
    <xdr:sp macro="" textlink="'Tablero'!$B$342">
      <xdr:nvSpPr>
        <xdr:cNvPr id="184" name="TextBox 183"/>
        <xdr:cNvSpPr txBox="1"/>
      </xdr:nvSpPr>
      <xdr:spPr>
        <a:xfrm>
          <a:off x="4038600" y="12192000"/>
          <a:ext cx="1657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29</xdr:col>
      <xdr:colOff>171450</xdr:colOff>
      <xdr:row>64</xdr:row>
      <xdr:rowOff>0</xdr:rowOff>
    </xdr:from>
    <xdr:to>
      <xdr:col>33</xdr:col>
      <xdr:colOff>19050</xdr:colOff>
      <xdr:row>65</xdr:row>
      <xdr:rowOff>19050</xdr:rowOff>
    </xdr:to>
    <xdr:sp macro="" textlink="'Tablero'!$N$342">
      <xdr:nvSpPr>
        <xdr:cNvPr id="185" name="TextBox 184"/>
        <xdr:cNvSpPr txBox="1"/>
      </xdr:nvSpPr>
      <xdr:spPr>
        <a:xfrm>
          <a:off x="5695950" y="121920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33</xdr:col>
      <xdr:colOff>38100</xdr:colOff>
      <xdr:row>64</xdr:row>
      <xdr:rowOff>0</xdr:rowOff>
    </xdr:from>
    <xdr:to>
      <xdr:col>36</xdr:col>
      <xdr:colOff>76200</xdr:colOff>
      <xdr:row>65</xdr:row>
      <xdr:rowOff>19050</xdr:rowOff>
    </xdr:to>
    <xdr:sp macro="" textlink="'Tablero'!$T$342">
      <xdr:nvSpPr>
        <xdr:cNvPr id="186" name="TextBox 185"/>
        <xdr:cNvSpPr txBox="1"/>
      </xdr:nvSpPr>
      <xdr:spPr>
        <a:xfrm>
          <a:off x="6324600" y="121920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21</xdr:col>
      <xdr:colOff>38100</xdr:colOff>
      <xdr:row>65</xdr:row>
      <xdr:rowOff>76200</xdr:rowOff>
    </xdr:from>
    <xdr:to>
      <xdr:col>29</xdr:col>
      <xdr:colOff>171450</xdr:colOff>
      <xdr:row>66</xdr:row>
      <xdr:rowOff>95250</xdr:rowOff>
    </xdr:to>
    <xdr:sp macro="" textlink="'Tablero'!$B$343">
      <xdr:nvSpPr>
        <xdr:cNvPr id="187" name="TextBox 186"/>
        <xdr:cNvSpPr txBox="1"/>
      </xdr:nvSpPr>
      <xdr:spPr>
        <a:xfrm>
          <a:off x="4038600" y="12458700"/>
          <a:ext cx="1657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29</xdr:col>
      <xdr:colOff>171450</xdr:colOff>
      <xdr:row>65</xdr:row>
      <xdr:rowOff>76200</xdr:rowOff>
    </xdr:from>
    <xdr:to>
      <xdr:col>33</xdr:col>
      <xdr:colOff>19050</xdr:colOff>
      <xdr:row>66</xdr:row>
      <xdr:rowOff>95250</xdr:rowOff>
    </xdr:to>
    <xdr:sp macro="" textlink="'Tablero'!$N$343">
      <xdr:nvSpPr>
        <xdr:cNvPr id="188" name="TextBox 187"/>
        <xdr:cNvSpPr txBox="1"/>
      </xdr:nvSpPr>
      <xdr:spPr>
        <a:xfrm>
          <a:off x="5695950" y="124587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33</xdr:col>
      <xdr:colOff>38100</xdr:colOff>
      <xdr:row>65</xdr:row>
      <xdr:rowOff>76200</xdr:rowOff>
    </xdr:from>
    <xdr:to>
      <xdr:col>36</xdr:col>
      <xdr:colOff>76200</xdr:colOff>
      <xdr:row>66</xdr:row>
      <xdr:rowOff>95250</xdr:rowOff>
    </xdr:to>
    <xdr:sp macro="" textlink="'Tablero'!$T$343">
      <xdr:nvSpPr>
        <xdr:cNvPr id="189" name="TextBox 188"/>
        <xdr:cNvSpPr txBox="1"/>
      </xdr:nvSpPr>
      <xdr:spPr>
        <a:xfrm>
          <a:off x="6324600" y="124587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21</xdr:col>
      <xdr:colOff>38100</xdr:colOff>
      <xdr:row>66</xdr:row>
      <xdr:rowOff>152400</xdr:rowOff>
    </xdr:from>
    <xdr:to>
      <xdr:col>29</xdr:col>
      <xdr:colOff>171450</xdr:colOff>
      <xdr:row>67</xdr:row>
      <xdr:rowOff>171450</xdr:rowOff>
    </xdr:to>
    <xdr:sp macro="" textlink="'Tablero'!$B$344">
      <xdr:nvSpPr>
        <xdr:cNvPr id="190" name="TextBox 189"/>
        <xdr:cNvSpPr txBox="1"/>
      </xdr:nvSpPr>
      <xdr:spPr>
        <a:xfrm>
          <a:off x="4038600" y="12725400"/>
          <a:ext cx="1657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29</xdr:col>
      <xdr:colOff>171450</xdr:colOff>
      <xdr:row>66</xdr:row>
      <xdr:rowOff>152400</xdr:rowOff>
    </xdr:from>
    <xdr:to>
      <xdr:col>33</xdr:col>
      <xdr:colOff>19050</xdr:colOff>
      <xdr:row>67</xdr:row>
      <xdr:rowOff>171450</xdr:rowOff>
    </xdr:to>
    <xdr:sp macro="" textlink="'Tablero'!$N$344">
      <xdr:nvSpPr>
        <xdr:cNvPr id="191" name="TextBox 190"/>
        <xdr:cNvSpPr txBox="1"/>
      </xdr:nvSpPr>
      <xdr:spPr>
        <a:xfrm>
          <a:off x="5695950" y="127254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33</xdr:col>
      <xdr:colOff>38100</xdr:colOff>
      <xdr:row>66</xdr:row>
      <xdr:rowOff>152400</xdr:rowOff>
    </xdr:from>
    <xdr:to>
      <xdr:col>36</xdr:col>
      <xdr:colOff>76200</xdr:colOff>
      <xdr:row>67</xdr:row>
      <xdr:rowOff>171450</xdr:rowOff>
    </xdr:to>
    <xdr:sp macro="" textlink="'Tablero'!$T$344">
      <xdr:nvSpPr>
        <xdr:cNvPr id="192" name="TextBox 191"/>
        <xdr:cNvSpPr txBox="1"/>
      </xdr:nvSpPr>
      <xdr:spPr>
        <a:xfrm>
          <a:off x="6324600" y="12725400"/>
          <a:ext cx="6096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8EA3C4"/>
              </a:solidFill>
              <a:latin typeface="Segoe UI"/>
              <a:cs typeface="Segoe UI"/>
            </a:rPr>
            <a:t/>
          </a:fld>
          <a:endParaRPr lang="en-US" sz="800" b="0">
            <a:solidFill>
              <a:srgbClr val="8EA3C4"/>
            </a:solidFill>
            <a:latin typeface="Segoe UI"/>
            <a:cs typeface="Segoe UI"/>
          </a:endParaRPr>
        </a:p>
      </xdr:txBody>
    </xdr:sp>
    <xdr:clientData/>
  </xdr:twoCellAnchor>
  <xdr:twoCellAnchor editAs="absolute">
    <xdr:from>
      <xdr:col>21</xdr:col>
      <xdr:colOff>38100</xdr:colOff>
      <xdr:row>68</xdr:row>
      <xdr:rowOff>171450</xdr:rowOff>
    </xdr:from>
    <xdr:to>
      <xdr:col>25</xdr:col>
      <xdr:colOff>133350</xdr:colOff>
      <xdr:row>69</xdr:row>
      <xdr:rowOff>133350</xdr:rowOff>
    </xdr:to>
    <xdr:sp macro="" textlink="">
      <xdr:nvSpPr>
        <xdr:cNvPr id="193" name="TextBox 192"/>
        <xdr:cNvSpPr txBox="1"/>
      </xdr:nvSpPr>
      <xdr:spPr>
        <a:xfrm>
          <a:off x="4038600" y="13125450"/>
          <a:ext cx="8572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1">
              <a:solidFill>
                <a:srgbClr val="22D3EE"/>
              </a:solidFill>
              <a:latin typeface="Segoe UI"/>
              <a:cs typeface="Segoe UI"/>
            </a:rPr>
            <a:t>● creció</a:t>
          </a:r>
        </a:p>
      </xdr:txBody>
    </xdr:sp>
    <xdr:clientData/>
  </xdr:twoCellAnchor>
  <xdr:twoCellAnchor editAs="absolute">
    <xdr:from>
      <xdr:col>25</xdr:col>
      <xdr:colOff>38100</xdr:colOff>
      <xdr:row>68</xdr:row>
      <xdr:rowOff>171450</xdr:rowOff>
    </xdr:from>
    <xdr:to>
      <xdr:col>29</xdr:col>
      <xdr:colOff>133350</xdr:colOff>
      <xdr:row>69</xdr:row>
      <xdr:rowOff>133350</xdr:rowOff>
    </xdr:to>
    <xdr:sp macro="" textlink="">
      <xdr:nvSpPr>
        <xdr:cNvPr id="194" name="TextBox 193"/>
        <xdr:cNvSpPr txBox="1"/>
      </xdr:nvSpPr>
      <xdr:spPr>
        <a:xfrm>
          <a:off x="4800600" y="13125450"/>
          <a:ext cx="8572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1">
              <a:solidFill>
                <a:srgbClr val="FBBF24"/>
              </a:solidFill>
              <a:latin typeface="Segoe UI"/>
              <a:cs typeface="Segoe UI"/>
            </a:rPr>
            <a:t>● cayó</a:t>
          </a:r>
        </a:p>
      </xdr:txBody>
    </xdr:sp>
    <xdr:clientData/>
  </xdr:twoCellAnchor>
  <xdr:twoCellAnchor editAs="absolute">
    <xdr:from>
      <xdr:col>21</xdr:col>
      <xdr:colOff>38100</xdr:colOff>
      <xdr:row>69</xdr:row>
      <xdr:rowOff>133350</xdr:rowOff>
    </xdr:from>
    <xdr:to>
      <xdr:col>36</xdr:col>
      <xdr:colOff>76200</xdr:colOff>
      <xdr:row>71</xdr:row>
      <xdr:rowOff>19050</xdr:rowOff>
    </xdr:to>
    <xdr:sp macro="" textlink="">
      <xdr:nvSpPr>
        <xdr:cNvPr id="195" name="TextBox 194"/>
        <xdr:cNvSpPr txBox="1"/>
      </xdr:nvSpPr>
      <xdr:spPr>
        <a:xfrm>
          <a:off x="4038600" y="13277850"/>
          <a:ext cx="2895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700" b="0">
              <a:solidFill>
                <a:srgbClr val="5D7295"/>
              </a:solidFill>
              <a:latin typeface="Segoe UI"/>
              <a:cs typeface="Segoe UI"/>
            </a:rPr>
            <a:t>Bruto operado, con la parte de los socios: no es la producción neta del release.</a:t>
          </a:r>
        </a:p>
      </xdr:txBody>
    </xdr:sp>
    <xdr:clientData/>
  </xdr:twoCellAnchor>
  <xdr:twoCellAnchor editAs="absolute">
    <xdr:from>
      <xdr:col>39</xdr:col>
      <xdr:colOff>0</xdr:colOff>
      <xdr:row>48</xdr:row>
      <xdr:rowOff>66675</xdr:rowOff>
    </xdr:from>
    <xdr:to>
      <xdr:col>77</xdr:col>
      <xdr:colOff>38100</xdr:colOff>
      <xdr:row>49</xdr:row>
      <xdr:rowOff>123825</xdr:rowOff>
    </xdr:to>
    <xdr:sp macro="" textlink="">
      <xdr:nvSpPr>
        <xdr:cNvPr id="196" name="TextBox 195"/>
        <xdr:cNvSpPr txBox="1"/>
      </xdr:nvSpPr>
      <xdr:spPr>
        <a:xfrm>
          <a:off x="7429500" y="9210675"/>
          <a:ext cx="72771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200" b="1">
              <a:solidFill>
                <a:srgbClr val="EAF2FF"/>
              </a:solidFill>
              <a:latin typeface="Segoe UI"/>
              <a:cs typeface="Segoe UI"/>
            </a:rPr>
            <a:t>Precio o volumen</a:t>
          </a:r>
        </a:p>
      </xdr:txBody>
    </xdr:sp>
    <xdr:clientData/>
  </xdr:twoCellAnchor>
  <xdr:twoCellAnchor editAs="absolute">
    <xdr:from>
      <xdr:col>39</xdr:col>
      <xdr:colOff>0</xdr:colOff>
      <xdr:row>49</xdr:row>
      <xdr:rowOff>95250</xdr:rowOff>
    </xdr:from>
    <xdr:to>
      <xdr:col>77</xdr:col>
      <xdr:colOff>38100</xdr:colOff>
      <xdr:row>50</xdr:row>
      <xdr:rowOff>95250</xdr:rowOff>
    </xdr:to>
    <xdr:sp macro="" textlink="'Tablero'!$N$147">
      <xdr:nvSpPr>
        <xdr:cNvPr id="197" name="TextBox 196"/>
        <xdr:cNvSpPr txBox="1"/>
      </xdr:nvSpPr>
      <xdr:spPr>
        <a:xfrm>
          <a:off x="7429500" y="9429750"/>
          <a:ext cx="72771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5D7295"/>
              </a:solidFill>
              <a:latin typeface="Segoe UI"/>
              <a:cs typeface="Segoe UI"/>
            </a:rPr>
            <a:t/>
          </a:fld>
          <a:endParaRPr lang="en-US" sz="800" b="0">
            <a:solidFill>
              <a:srgbClr val="5D7295"/>
            </a:solidFill>
            <a:latin typeface="Segoe UI"/>
            <a:cs typeface="Segoe UI"/>
          </a:endParaRPr>
        </a:p>
      </xdr:txBody>
    </xdr:sp>
    <xdr:clientData/>
  </xdr:twoCellAnchor>
  <xdr:twoCellAnchor editAs="absolute">
    <xdr:from>
      <xdr:col>67</xdr:col>
      <xdr:colOff>38100</xdr:colOff>
      <xdr:row>48</xdr:row>
      <xdr:rowOff>66675</xdr:rowOff>
    </xdr:from>
    <xdr:to>
      <xdr:col>77</xdr:col>
      <xdr:colOff>38100</xdr:colOff>
      <xdr:row>49</xdr:row>
      <xdr:rowOff>66675</xdr:rowOff>
    </xdr:to>
    <xdr:sp macro="" textlink="'Tablero'!$N$145">
      <xdr:nvSpPr>
        <xdr:cNvPr id="198" name="TextBox 197"/>
        <xdr:cNvSpPr txBox="1"/>
      </xdr:nvSpPr>
      <xdr:spPr>
        <a:xfrm>
          <a:off x="12801600" y="9210675"/>
          <a:ext cx="1905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FBBF24"/>
              </a:solidFill>
              <a:latin typeface="Segoe UI"/>
              <a:cs typeface="Segoe UI"/>
            </a:rPr>
            <a:t/>
          </a:fld>
          <a:endParaRPr lang="en-US" sz="800" b="1">
            <a:solidFill>
              <a:srgbClr val="FBBF24"/>
            </a:solidFill>
            <a:latin typeface="Segoe UI"/>
            <a:cs typeface="Segoe UI"/>
          </a:endParaRPr>
        </a:p>
      </xdr:txBody>
    </xdr:sp>
    <xdr:clientData/>
  </xdr:twoCellAnchor>
  <xdr:twoCellAnchor editAs="absolute">
    <xdr:from>
      <xdr:col>39</xdr:col>
      <xdr:colOff>0</xdr:colOff>
      <xdr:row>50</xdr:row>
      <xdr:rowOff>133350</xdr:rowOff>
    </xdr:from>
    <xdr:to>
      <xdr:col>48</xdr:col>
      <xdr:colOff>19050</xdr:colOff>
      <xdr:row>51</xdr:row>
      <xdr:rowOff>114300</xdr:rowOff>
    </xdr:to>
    <xdr:sp macro="" textlink="">
      <xdr:nvSpPr>
        <xdr:cNvPr id="199" name="TextBox 198"/>
        <xdr:cNvSpPr txBox="1"/>
      </xdr:nvSpPr>
      <xdr:spPr>
        <a:xfrm>
          <a:off x="7429500" y="9658350"/>
          <a:ext cx="17335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Producción · kboe/d</a:t>
          </a:r>
        </a:p>
      </xdr:txBody>
    </xdr:sp>
    <xdr:clientData/>
  </xdr:twoCellAnchor>
  <xdr:twoCellAnchor editAs="absolute">
    <xdr:from>
      <xdr:col>39</xdr:col>
      <xdr:colOff>0</xdr:colOff>
      <xdr:row>51</xdr:row>
      <xdr:rowOff>114300</xdr:rowOff>
    </xdr:from>
    <xdr:to>
      <xdr:col>48</xdr:col>
      <xdr:colOff>19050</xdr:colOff>
      <xdr:row>53</xdr:row>
      <xdr:rowOff>38100</xdr:rowOff>
    </xdr:to>
    <xdr:sp macro="" textlink="'Tablero'!$N$263">
      <xdr:nvSpPr>
        <xdr:cNvPr id="200" name="TextBox 199"/>
        <xdr:cNvSpPr txBox="1"/>
      </xdr:nvSpPr>
      <xdr:spPr>
        <a:xfrm>
          <a:off x="7429500" y="9829800"/>
          <a:ext cx="17335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800" b="1">
              <a:solidFill>
                <a:srgbClr val="EAF2FF"/>
              </a:solidFill>
              <a:latin typeface="Segoe UI"/>
              <a:cs typeface="Segoe UI"/>
            </a:rPr>
            <a:t/>
          </a:fld>
          <a:endParaRPr lang="en-US" sz="1800" b="1">
            <a:solidFill>
              <a:srgbClr val="EAF2FF"/>
            </a:solidFill>
            <a:latin typeface="Segoe UI"/>
            <a:cs typeface="Segoe UI"/>
          </a:endParaRPr>
        </a:p>
      </xdr:txBody>
    </xdr:sp>
    <xdr:clientData/>
  </xdr:twoCellAnchor>
  <xdr:twoCellAnchor editAs="absolute">
    <xdr:from>
      <xdr:col>39</xdr:col>
      <xdr:colOff>0</xdr:colOff>
      <xdr:row>53</xdr:row>
      <xdr:rowOff>38100</xdr:rowOff>
    </xdr:from>
    <xdr:to>
      <xdr:col>48</xdr:col>
      <xdr:colOff>19050</xdr:colOff>
      <xdr:row>54</xdr:row>
      <xdr:rowOff>38100</xdr:rowOff>
    </xdr:to>
    <xdr:sp macro="" textlink="'Tablero'!$Z$263">
      <xdr:nvSpPr>
        <xdr:cNvPr id="201" name="TextBox 200"/>
        <xdr:cNvSpPr txBox="1"/>
      </xdr:nvSpPr>
      <xdr:spPr>
        <a:xfrm>
          <a:off x="7429500" y="10134600"/>
          <a:ext cx="17335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22D3EE"/>
              </a:solidFill>
              <a:latin typeface="Segoe UI"/>
              <a:cs typeface="Segoe UI"/>
            </a:rPr>
            <a:t/>
          </a:fld>
          <a:endParaRPr lang="en-US" sz="900" b="1">
            <a:solidFill>
              <a:srgbClr val="22D3EE"/>
            </a:solidFill>
            <a:latin typeface="Segoe UI"/>
            <a:cs typeface="Segoe UI"/>
          </a:endParaRPr>
        </a:p>
      </xdr:txBody>
    </xdr:sp>
    <xdr:clientData/>
  </xdr:twoCellAnchor>
  <xdr:twoCellAnchor editAs="absolute">
    <xdr:from>
      <xdr:col>39</xdr:col>
      <xdr:colOff>0</xdr:colOff>
      <xdr:row>54</xdr:row>
      <xdr:rowOff>19050</xdr:rowOff>
    </xdr:from>
    <xdr:to>
      <xdr:col>48</xdr:col>
      <xdr:colOff>19050</xdr:colOff>
      <xdr:row>55</xdr:row>
      <xdr:rowOff>0</xdr:rowOff>
    </xdr:to>
    <xdr:sp macro="" textlink="'Tablero'!$N$148">
      <xdr:nvSpPr>
        <xdr:cNvPr id="202" name="TextBox 201"/>
        <xdr:cNvSpPr txBox="1"/>
      </xdr:nvSpPr>
      <xdr:spPr>
        <a:xfrm>
          <a:off x="7429500" y="10306050"/>
          <a:ext cx="17335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700" b="0">
              <a:solidFill>
                <a:srgbClr val="5D7295"/>
              </a:solidFill>
              <a:latin typeface="Segoe UI"/>
              <a:cs typeface="Segoe UI"/>
            </a:rPr>
            <a:t/>
          </a:fld>
          <a:endParaRPr lang="en-US" sz="700" b="0">
            <a:solidFill>
              <a:srgbClr val="5D7295"/>
            </a:solidFill>
            <a:latin typeface="Segoe UI"/>
            <a:cs typeface="Segoe UI"/>
          </a:endParaRPr>
        </a:p>
      </xdr:txBody>
    </xdr:sp>
    <xdr:clientData/>
  </xdr:twoCellAnchor>
  <xdr:twoCellAnchor editAs="absolute">
    <xdr:from>
      <xdr:col>48</xdr:col>
      <xdr:colOff>133350</xdr:colOff>
      <xdr:row>50</xdr:row>
      <xdr:rowOff>133350</xdr:rowOff>
    </xdr:from>
    <xdr:to>
      <xdr:col>57</xdr:col>
      <xdr:colOff>152400</xdr:colOff>
      <xdr:row>51</xdr:row>
      <xdr:rowOff>114300</xdr:rowOff>
    </xdr:to>
    <xdr:sp macro="" textlink="">
      <xdr:nvSpPr>
        <xdr:cNvPr id="203" name="TextBox 202"/>
        <xdr:cNvSpPr txBox="1"/>
      </xdr:nvSpPr>
      <xdr:spPr>
        <a:xfrm>
          <a:off x="9277350" y="9658350"/>
          <a:ext cx="17335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Petróleo shale · kbbl/d</a:t>
          </a:r>
        </a:p>
      </xdr:txBody>
    </xdr:sp>
    <xdr:clientData/>
  </xdr:twoCellAnchor>
  <xdr:twoCellAnchor editAs="absolute">
    <xdr:from>
      <xdr:col>48</xdr:col>
      <xdr:colOff>133350</xdr:colOff>
      <xdr:row>51</xdr:row>
      <xdr:rowOff>114300</xdr:rowOff>
    </xdr:from>
    <xdr:to>
      <xdr:col>57</xdr:col>
      <xdr:colOff>152400</xdr:colOff>
      <xdr:row>53</xdr:row>
      <xdr:rowOff>38100</xdr:rowOff>
    </xdr:to>
    <xdr:sp macro="" textlink="'Tablero'!$N$264">
      <xdr:nvSpPr>
        <xdr:cNvPr id="204" name="TextBox 203"/>
        <xdr:cNvSpPr txBox="1"/>
      </xdr:nvSpPr>
      <xdr:spPr>
        <a:xfrm>
          <a:off x="9277350" y="9829800"/>
          <a:ext cx="17335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800" b="1">
              <a:solidFill>
                <a:srgbClr val="EAF2FF"/>
              </a:solidFill>
              <a:latin typeface="Segoe UI"/>
              <a:cs typeface="Segoe UI"/>
            </a:rPr>
            <a:t/>
          </a:fld>
          <a:endParaRPr lang="en-US" sz="1800" b="1">
            <a:solidFill>
              <a:srgbClr val="EAF2FF"/>
            </a:solidFill>
            <a:latin typeface="Segoe UI"/>
            <a:cs typeface="Segoe UI"/>
          </a:endParaRPr>
        </a:p>
      </xdr:txBody>
    </xdr:sp>
    <xdr:clientData/>
  </xdr:twoCellAnchor>
  <xdr:twoCellAnchor editAs="absolute">
    <xdr:from>
      <xdr:col>48</xdr:col>
      <xdr:colOff>133350</xdr:colOff>
      <xdr:row>53</xdr:row>
      <xdr:rowOff>38100</xdr:rowOff>
    </xdr:from>
    <xdr:to>
      <xdr:col>57</xdr:col>
      <xdr:colOff>152400</xdr:colOff>
      <xdr:row>54</xdr:row>
      <xdr:rowOff>38100</xdr:rowOff>
    </xdr:to>
    <xdr:sp macro="" textlink="'Tablero'!$Z$264">
      <xdr:nvSpPr>
        <xdr:cNvPr id="205" name="TextBox 204"/>
        <xdr:cNvSpPr txBox="1"/>
      </xdr:nvSpPr>
      <xdr:spPr>
        <a:xfrm>
          <a:off x="9277350" y="10134600"/>
          <a:ext cx="17335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22D3EE"/>
              </a:solidFill>
              <a:latin typeface="Segoe UI"/>
              <a:cs typeface="Segoe UI"/>
            </a:rPr>
            <a:t/>
          </a:fld>
          <a:endParaRPr lang="en-US" sz="900" b="1">
            <a:solidFill>
              <a:srgbClr val="22D3EE"/>
            </a:solidFill>
            <a:latin typeface="Segoe UI"/>
            <a:cs typeface="Segoe UI"/>
          </a:endParaRPr>
        </a:p>
      </xdr:txBody>
    </xdr:sp>
    <xdr:clientData/>
  </xdr:twoCellAnchor>
  <xdr:twoCellAnchor editAs="absolute">
    <xdr:from>
      <xdr:col>48</xdr:col>
      <xdr:colOff>133350</xdr:colOff>
      <xdr:row>54</xdr:row>
      <xdr:rowOff>19050</xdr:rowOff>
    </xdr:from>
    <xdr:to>
      <xdr:col>57</xdr:col>
      <xdr:colOff>152400</xdr:colOff>
      <xdr:row>55</xdr:row>
      <xdr:rowOff>0</xdr:rowOff>
    </xdr:to>
    <xdr:sp macro="" textlink="'Tablero'!$N$148">
      <xdr:nvSpPr>
        <xdr:cNvPr id="206" name="TextBox 205"/>
        <xdr:cNvSpPr txBox="1"/>
      </xdr:nvSpPr>
      <xdr:spPr>
        <a:xfrm>
          <a:off x="9277350" y="10306050"/>
          <a:ext cx="17335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700" b="0">
              <a:solidFill>
                <a:srgbClr val="5D7295"/>
              </a:solidFill>
              <a:latin typeface="Segoe UI"/>
              <a:cs typeface="Segoe UI"/>
            </a:rPr>
            <a:t/>
          </a:fld>
          <a:endParaRPr lang="en-US" sz="700" b="0">
            <a:solidFill>
              <a:srgbClr val="5D7295"/>
            </a:solidFill>
            <a:latin typeface="Segoe UI"/>
            <a:cs typeface="Segoe UI"/>
          </a:endParaRPr>
        </a:p>
      </xdr:txBody>
    </xdr:sp>
    <xdr:clientData/>
  </xdr:twoCellAnchor>
  <xdr:twoCellAnchor editAs="absolute">
    <xdr:from>
      <xdr:col>58</xdr:col>
      <xdr:colOff>76200</xdr:colOff>
      <xdr:row>50</xdr:row>
      <xdr:rowOff>133350</xdr:rowOff>
    </xdr:from>
    <xdr:to>
      <xdr:col>67</xdr:col>
      <xdr:colOff>95250</xdr:colOff>
      <xdr:row>51</xdr:row>
      <xdr:rowOff>114300</xdr:rowOff>
    </xdr:to>
    <xdr:sp macro="" textlink="">
      <xdr:nvSpPr>
        <xdr:cNvPr id="207" name="TextBox 206"/>
        <xdr:cNvSpPr txBox="1"/>
      </xdr:nvSpPr>
      <xdr:spPr>
        <a:xfrm>
          <a:off x="11125200" y="9658350"/>
          <a:ext cx="17335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Precio del crudo · US$/bbl</a:t>
          </a:r>
        </a:p>
      </xdr:txBody>
    </xdr:sp>
    <xdr:clientData/>
  </xdr:twoCellAnchor>
  <xdr:twoCellAnchor editAs="absolute">
    <xdr:from>
      <xdr:col>58</xdr:col>
      <xdr:colOff>76200</xdr:colOff>
      <xdr:row>51</xdr:row>
      <xdr:rowOff>114300</xdr:rowOff>
    </xdr:from>
    <xdr:to>
      <xdr:col>67</xdr:col>
      <xdr:colOff>95250</xdr:colOff>
      <xdr:row>53</xdr:row>
      <xdr:rowOff>38100</xdr:rowOff>
    </xdr:to>
    <xdr:sp macro="" textlink="'Tablero'!$N$265">
      <xdr:nvSpPr>
        <xdr:cNvPr id="208" name="TextBox 207"/>
        <xdr:cNvSpPr txBox="1"/>
      </xdr:nvSpPr>
      <xdr:spPr>
        <a:xfrm>
          <a:off x="11125200" y="9829800"/>
          <a:ext cx="17335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800" b="1">
              <a:solidFill>
                <a:srgbClr val="EAF2FF"/>
              </a:solidFill>
              <a:latin typeface="Segoe UI"/>
              <a:cs typeface="Segoe UI"/>
            </a:rPr>
            <a:t/>
          </a:fld>
          <a:endParaRPr lang="en-US" sz="1800" b="1">
            <a:solidFill>
              <a:srgbClr val="EAF2FF"/>
            </a:solidFill>
            <a:latin typeface="Segoe UI"/>
            <a:cs typeface="Segoe UI"/>
          </a:endParaRPr>
        </a:p>
      </xdr:txBody>
    </xdr:sp>
    <xdr:clientData/>
  </xdr:twoCellAnchor>
  <xdr:twoCellAnchor editAs="absolute">
    <xdr:from>
      <xdr:col>58</xdr:col>
      <xdr:colOff>76200</xdr:colOff>
      <xdr:row>53</xdr:row>
      <xdr:rowOff>38100</xdr:rowOff>
    </xdr:from>
    <xdr:to>
      <xdr:col>67</xdr:col>
      <xdr:colOff>95250</xdr:colOff>
      <xdr:row>54</xdr:row>
      <xdr:rowOff>38100</xdr:rowOff>
    </xdr:to>
    <xdr:sp macro="" textlink="'Tablero'!$Z$265">
      <xdr:nvSpPr>
        <xdr:cNvPr id="209" name="TextBox 208"/>
        <xdr:cNvSpPr txBox="1"/>
      </xdr:nvSpPr>
      <xdr:spPr>
        <a:xfrm>
          <a:off x="11125200" y="10134600"/>
          <a:ext cx="17335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22D3EE"/>
              </a:solidFill>
              <a:latin typeface="Segoe UI"/>
              <a:cs typeface="Segoe UI"/>
            </a:rPr>
            <a:t/>
          </a:fld>
          <a:endParaRPr lang="en-US" sz="900" b="1">
            <a:solidFill>
              <a:srgbClr val="22D3EE"/>
            </a:solidFill>
            <a:latin typeface="Segoe UI"/>
            <a:cs typeface="Segoe UI"/>
          </a:endParaRPr>
        </a:p>
      </xdr:txBody>
    </xdr:sp>
    <xdr:clientData/>
  </xdr:twoCellAnchor>
  <xdr:twoCellAnchor editAs="absolute">
    <xdr:from>
      <xdr:col>58</xdr:col>
      <xdr:colOff>76200</xdr:colOff>
      <xdr:row>54</xdr:row>
      <xdr:rowOff>19050</xdr:rowOff>
    </xdr:from>
    <xdr:to>
      <xdr:col>67</xdr:col>
      <xdr:colOff>95250</xdr:colOff>
      <xdr:row>55</xdr:row>
      <xdr:rowOff>0</xdr:rowOff>
    </xdr:to>
    <xdr:sp macro="" textlink="'Tablero'!$N$148">
      <xdr:nvSpPr>
        <xdr:cNvPr id="210" name="TextBox 209"/>
        <xdr:cNvSpPr txBox="1"/>
      </xdr:nvSpPr>
      <xdr:spPr>
        <a:xfrm>
          <a:off x="11125200" y="10306050"/>
          <a:ext cx="17335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700" b="0">
              <a:solidFill>
                <a:srgbClr val="5D7295"/>
              </a:solidFill>
              <a:latin typeface="Segoe UI"/>
              <a:cs typeface="Segoe UI"/>
            </a:rPr>
            <a:t/>
          </a:fld>
          <a:endParaRPr lang="en-US" sz="700" b="0">
            <a:solidFill>
              <a:srgbClr val="5D7295"/>
            </a:solidFill>
            <a:latin typeface="Segoe UI"/>
            <a:cs typeface="Segoe UI"/>
          </a:endParaRPr>
        </a:p>
      </xdr:txBody>
    </xdr:sp>
    <xdr:clientData/>
  </xdr:twoCellAnchor>
  <xdr:twoCellAnchor editAs="absolute">
    <xdr:from>
      <xdr:col>68</xdr:col>
      <xdr:colOff>19050</xdr:colOff>
      <xdr:row>50</xdr:row>
      <xdr:rowOff>133350</xdr:rowOff>
    </xdr:from>
    <xdr:to>
      <xdr:col>77</xdr:col>
      <xdr:colOff>38100</xdr:colOff>
      <xdr:row>51</xdr:row>
      <xdr:rowOff>114300</xdr:rowOff>
    </xdr:to>
    <xdr:sp macro="" textlink="">
      <xdr:nvSpPr>
        <xdr:cNvPr id="211" name="TextBox 210"/>
        <xdr:cNvSpPr txBox="1"/>
      </xdr:nvSpPr>
      <xdr:spPr>
        <a:xfrm>
          <a:off x="12973050" y="9658350"/>
          <a:ext cx="17335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Lifting cost · US$/boe</a:t>
          </a:r>
        </a:p>
      </xdr:txBody>
    </xdr:sp>
    <xdr:clientData/>
  </xdr:twoCellAnchor>
  <xdr:twoCellAnchor editAs="absolute">
    <xdr:from>
      <xdr:col>68</xdr:col>
      <xdr:colOff>19050</xdr:colOff>
      <xdr:row>51</xdr:row>
      <xdr:rowOff>114300</xdr:rowOff>
    </xdr:from>
    <xdr:to>
      <xdr:col>77</xdr:col>
      <xdr:colOff>38100</xdr:colOff>
      <xdr:row>53</xdr:row>
      <xdr:rowOff>38100</xdr:rowOff>
    </xdr:to>
    <xdr:sp macro="" textlink="'Tablero'!$N$266">
      <xdr:nvSpPr>
        <xdr:cNvPr id="212" name="TextBox 211"/>
        <xdr:cNvSpPr txBox="1"/>
      </xdr:nvSpPr>
      <xdr:spPr>
        <a:xfrm>
          <a:off x="12973050" y="9829800"/>
          <a:ext cx="17335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800" b="1">
              <a:solidFill>
                <a:srgbClr val="EAF2FF"/>
              </a:solidFill>
              <a:latin typeface="Segoe UI"/>
              <a:cs typeface="Segoe UI"/>
            </a:rPr>
            <a:t/>
          </a:fld>
          <a:endParaRPr lang="en-US" sz="1800" b="1">
            <a:solidFill>
              <a:srgbClr val="EAF2FF"/>
            </a:solidFill>
            <a:latin typeface="Segoe UI"/>
            <a:cs typeface="Segoe UI"/>
          </a:endParaRPr>
        </a:p>
      </xdr:txBody>
    </xdr:sp>
    <xdr:clientData/>
  </xdr:twoCellAnchor>
  <xdr:twoCellAnchor editAs="absolute">
    <xdr:from>
      <xdr:col>68</xdr:col>
      <xdr:colOff>19050</xdr:colOff>
      <xdr:row>53</xdr:row>
      <xdr:rowOff>38100</xdr:rowOff>
    </xdr:from>
    <xdr:to>
      <xdr:col>77</xdr:col>
      <xdr:colOff>38100</xdr:colOff>
      <xdr:row>54</xdr:row>
      <xdr:rowOff>38100</xdr:rowOff>
    </xdr:to>
    <xdr:sp macro="" textlink="'Tablero'!$Z$266">
      <xdr:nvSpPr>
        <xdr:cNvPr id="213" name="TextBox 212"/>
        <xdr:cNvSpPr txBox="1"/>
      </xdr:nvSpPr>
      <xdr:spPr>
        <a:xfrm>
          <a:off x="12973050" y="10134600"/>
          <a:ext cx="17335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900" b="1">
              <a:solidFill>
                <a:srgbClr val="22D3EE"/>
              </a:solidFill>
              <a:latin typeface="Segoe UI"/>
              <a:cs typeface="Segoe UI"/>
            </a:rPr>
            <a:t/>
          </a:fld>
          <a:endParaRPr lang="en-US" sz="900" b="1">
            <a:solidFill>
              <a:srgbClr val="22D3EE"/>
            </a:solidFill>
            <a:latin typeface="Segoe UI"/>
            <a:cs typeface="Segoe UI"/>
          </a:endParaRPr>
        </a:p>
      </xdr:txBody>
    </xdr:sp>
    <xdr:clientData/>
  </xdr:twoCellAnchor>
  <xdr:twoCellAnchor editAs="absolute">
    <xdr:from>
      <xdr:col>68</xdr:col>
      <xdr:colOff>19050</xdr:colOff>
      <xdr:row>54</xdr:row>
      <xdr:rowOff>19050</xdr:rowOff>
    </xdr:from>
    <xdr:to>
      <xdr:col>77</xdr:col>
      <xdr:colOff>38100</xdr:colOff>
      <xdr:row>55</xdr:row>
      <xdr:rowOff>0</xdr:rowOff>
    </xdr:to>
    <xdr:sp macro="" textlink="'Tablero'!$N$148">
      <xdr:nvSpPr>
        <xdr:cNvPr id="214" name="TextBox 213"/>
        <xdr:cNvSpPr txBox="1"/>
      </xdr:nvSpPr>
      <xdr:spPr>
        <a:xfrm>
          <a:off x="12973050" y="10306050"/>
          <a:ext cx="17335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700" b="0">
              <a:solidFill>
                <a:srgbClr val="5D7295"/>
              </a:solidFill>
              <a:latin typeface="Segoe UI"/>
              <a:cs typeface="Segoe UI"/>
            </a:rPr>
            <a:t/>
          </a:fld>
          <a:endParaRPr lang="en-US" sz="700" b="0">
            <a:solidFill>
              <a:srgbClr val="5D7295"/>
            </a:solidFill>
            <a:latin typeface="Segoe UI"/>
            <a:cs typeface="Segoe UI"/>
          </a:endParaRPr>
        </a:p>
      </xdr:txBody>
    </xdr:sp>
    <xdr:clientData/>
  </xdr:twoCellAnchor>
  <xdr:twoCellAnchor editAs="absolute">
    <xdr:from>
      <xdr:col>39</xdr:col>
      <xdr:colOff>0</xdr:colOff>
      <xdr:row>55</xdr:row>
      <xdr:rowOff>57150</xdr:rowOff>
    </xdr:from>
    <xdr:to>
      <xdr:col>47</xdr:col>
      <xdr:colOff>95250</xdr:colOff>
      <xdr:row>56</xdr:row>
      <xdr:rowOff>57150</xdr:rowOff>
    </xdr:to>
    <xdr:sp macro="" textlink="">
      <xdr:nvSpPr>
        <xdr:cNvPr id="215" name="TextBox 214"/>
        <xdr:cNvSpPr txBox="1"/>
      </xdr:nvSpPr>
      <xdr:spPr>
        <a:xfrm>
          <a:off x="7429500" y="10534650"/>
          <a:ext cx="16192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1">
              <a:solidFill>
                <a:srgbClr val="6B8BB8"/>
              </a:solidFill>
              <a:latin typeface="Segoe UI"/>
              <a:cs typeface="Segoe UI"/>
            </a:rPr>
            <a:t>■ Producción total, kboe/d</a:t>
          </a:r>
        </a:p>
      </xdr:txBody>
    </xdr:sp>
    <xdr:clientData/>
  </xdr:twoCellAnchor>
  <xdr:twoCellAnchor editAs="absolute">
    <xdr:from>
      <xdr:col>47</xdr:col>
      <xdr:colOff>133350</xdr:colOff>
      <xdr:row>55</xdr:row>
      <xdr:rowOff>57150</xdr:rowOff>
    </xdr:from>
    <xdr:to>
      <xdr:col>56</xdr:col>
      <xdr:colOff>38100</xdr:colOff>
      <xdr:row>56</xdr:row>
      <xdr:rowOff>57150</xdr:rowOff>
    </xdr:to>
    <xdr:sp macro="" textlink="">
      <xdr:nvSpPr>
        <xdr:cNvPr id="216" name="TextBox 215"/>
        <xdr:cNvSpPr txBox="1"/>
      </xdr:nvSpPr>
      <xdr:spPr>
        <a:xfrm>
          <a:off x="9086850" y="10534650"/>
          <a:ext cx="16192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1">
              <a:solidFill>
                <a:srgbClr val="22D3EE"/>
              </a:solidFill>
              <a:latin typeface="Segoe UI"/>
              <a:cs typeface="Segoe UI"/>
            </a:rPr>
            <a:t>■ Petróleo shale, kbbl/d</a:t>
          </a:r>
        </a:p>
      </xdr:txBody>
    </xdr:sp>
    <xdr:clientData/>
  </xdr:twoCellAnchor>
  <xdr:twoCellAnchor editAs="absolute">
    <xdr:from>
      <xdr:col>67</xdr:col>
      <xdr:colOff>38100</xdr:colOff>
      <xdr:row>55</xdr:row>
      <xdr:rowOff>57150</xdr:rowOff>
    </xdr:from>
    <xdr:to>
      <xdr:col>77</xdr:col>
      <xdr:colOff>38100</xdr:colOff>
      <xdr:row>56</xdr:row>
      <xdr:rowOff>57150</xdr:rowOff>
    </xdr:to>
    <xdr:sp macro="" textlink="">
      <xdr:nvSpPr>
        <xdr:cNvPr id="217" name="TextBox 216"/>
        <xdr:cNvSpPr txBox="1"/>
      </xdr:nvSpPr>
      <xdr:spPr>
        <a:xfrm>
          <a:off x="12801600" y="10534650"/>
          <a:ext cx="1905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1">
              <a:solidFill>
                <a:srgbClr val="FBBF24"/>
              </a:solidFill>
              <a:latin typeface="Segoe UI"/>
              <a:cs typeface="Segoe UI"/>
            </a:rPr>
            <a:t>━ Precio del crudo, US$/bbl</a:t>
          </a:r>
        </a:p>
      </xdr:txBody>
    </xdr:sp>
    <xdr:clientData/>
  </xdr:twoCellAnchor>
  <xdr:twoCellAnchor editAs="absolute">
    <xdr:from>
      <xdr:col>2</xdr:col>
      <xdr:colOff>152400</xdr:colOff>
      <xdr:row>73</xdr:row>
      <xdr:rowOff>104775</xdr:rowOff>
    </xdr:from>
    <xdr:to>
      <xdr:col>55</xdr:col>
      <xdr:colOff>76200</xdr:colOff>
      <xdr:row>74</xdr:row>
      <xdr:rowOff>161925</xdr:rowOff>
    </xdr:to>
    <xdr:sp macro="" textlink="">
      <xdr:nvSpPr>
        <xdr:cNvPr id="218" name="TextBox 217"/>
        <xdr:cNvSpPr txBox="1"/>
      </xdr:nvSpPr>
      <xdr:spPr>
        <a:xfrm>
          <a:off x="533400" y="14011275"/>
          <a:ext cx="10020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200" b="1">
              <a:solidFill>
                <a:srgbClr val="EAF2FF"/>
              </a:solidFill>
              <a:latin typeface="Segoe UI"/>
              <a:cs typeface="Segoe UI"/>
            </a:rPr>
            <a:t>Cómo reaccionó el mercado al balance</a:t>
          </a:r>
        </a:p>
      </xdr:txBody>
    </xdr:sp>
    <xdr:clientData/>
  </xdr:twoCellAnchor>
  <xdr:twoCellAnchor editAs="absolute">
    <xdr:from>
      <xdr:col>2</xdr:col>
      <xdr:colOff>152400</xdr:colOff>
      <xdr:row>74</xdr:row>
      <xdr:rowOff>133350</xdr:rowOff>
    </xdr:from>
    <xdr:to>
      <xdr:col>55</xdr:col>
      <xdr:colOff>76200</xdr:colOff>
      <xdr:row>75</xdr:row>
      <xdr:rowOff>133350</xdr:rowOff>
    </xdr:to>
    <xdr:sp macro="" textlink="'Tablero'!$N$375">
      <xdr:nvSpPr>
        <xdr:cNvPr id="219" name="TextBox 218"/>
        <xdr:cNvSpPr txBox="1"/>
      </xdr:nvSpPr>
      <xdr:spPr>
        <a:xfrm>
          <a:off x="533400" y="14230350"/>
          <a:ext cx="100203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0">
              <a:solidFill>
                <a:srgbClr val="5D7295"/>
              </a:solidFill>
              <a:latin typeface="Segoe UI"/>
              <a:cs typeface="Segoe UI"/>
            </a:rPr>
            <a:t/>
          </a:fld>
          <a:endParaRPr lang="en-US" sz="800" b="0">
            <a:solidFill>
              <a:srgbClr val="5D7295"/>
            </a:solidFill>
            <a:latin typeface="Segoe UI"/>
            <a:cs typeface="Segoe UI"/>
          </a:endParaRPr>
        </a:p>
      </xdr:txBody>
    </xdr:sp>
    <xdr:clientData/>
  </xdr:twoCellAnchor>
  <xdr:twoCellAnchor editAs="absolute">
    <xdr:from>
      <xdr:col>2</xdr:col>
      <xdr:colOff>152400</xdr:colOff>
      <xdr:row>76</xdr:row>
      <xdr:rowOff>38100</xdr:rowOff>
    </xdr:from>
    <xdr:to>
      <xdr:col>13</xdr:col>
      <xdr:colOff>9525</xdr:colOff>
      <xdr:row>77</xdr:row>
      <xdr:rowOff>19050</xdr:rowOff>
    </xdr:to>
    <xdr:sp macro="" textlink="">
      <xdr:nvSpPr>
        <xdr:cNvPr id="220" name="TextBox 219"/>
        <xdr:cNvSpPr txBox="1"/>
      </xdr:nvSpPr>
      <xdr:spPr>
        <a:xfrm>
          <a:off x="533400" y="14516100"/>
          <a:ext cx="19526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Precio del ADR</a:t>
          </a:r>
        </a:p>
      </xdr:txBody>
    </xdr:sp>
    <xdr:clientData/>
  </xdr:twoCellAnchor>
  <xdr:twoCellAnchor editAs="absolute">
    <xdr:from>
      <xdr:col>2</xdr:col>
      <xdr:colOff>152400</xdr:colOff>
      <xdr:row>77</xdr:row>
      <xdr:rowOff>19050</xdr:rowOff>
    </xdr:from>
    <xdr:to>
      <xdr:col>13</xdr:col>
      <xdr:colOff>9525</xdr:colOff>
      <xdr:row>78</xdr:row>
      <xdr:rowOff>152400</xdr:rowOff>
    </xdr:to>
    <xdr:sp macro="" textlink="'Tablero'!$T$374">
      <xdr:nvSpPr>
        <xdr:cNvPr id="221" name="TextBox 220"/>
        <xdr:cNvSpPr txBox="1"/>
      </xdr:nvSpPr>
      <xdr:spPr>
        <a:xfrm>
          <a:off x="533400" y="14687550"/>
          <a:ext cx="19526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2000" b="1">
              <a:solidFill>
                <a:srgbClr val="EAF2FF"/>
              </a:solidFill>
              <a:latin typeface="Segoe UI"/>
              <a:cs typeface="Segoe UI"/>
            </a:rPr>
            <a:t/>
          </a:fld>
          <a:endParaRPr lang="en-US" sz="2000" b="1">
            <a:solidFill>
              <a:srgbClr val="EAF2FF"/>
            </a:solidFill>
            <a:latin typeface="Segoe UI"/>
            <a:cs typeface="Segoe UI"/>
          </a:endParaRPr>
        </a:p>
      </xdr:txBody>
    </xdr:sp>
    <xdr:clientData/>
  </xdr:twoCellAnchor>
  <xdr:twoCellAnchor editAs="absolute">
    <xdr:from>
      <xdr:col>13</xdr:col>
      <xdr:colOff>123825</xdr:colOff>
      <xdr:row>76</xdr:row>
      <xdr:rowOff>38100</xdr:rowOff>
    </xdr:from>
    <xdr:to>
      <xdr:col>23</xdr:col>
      <xdr:colOff>171450</xdr:colOff>
      <xdr:row>77</xdr:row>
      <xdr:rowOff>19050</xdr:rowOff>
    </xdr:to>
    <xdr:sp macro="" textlink="">
      <xdr:nvSpPr>
        <xdr:cNvPr id="222" name="TextBox 221"/>
        <xdr:cNvSpPr txBox="1"/>
      </xdr:nvSpPr>
      <xdr:spPr>
        <a:xfrm>
          <a:off x="2600325" y="14516100"/>
          <a:ext cx="19526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Retorno del día</a:t>
          </a:r>
        </a:p>
      </xdr:txBody>
    </xdr:sp>
    <xdr:clientData/>
  </xdr:twoCellAnchor>
  <xdr:twoCellAnchor editAs="absolute">
    <xdr:from>
      <xdr:col>13</xdr:col>
      <xdr:colOff>123825</xdr:colOff>
      <xdr:row>77</xdr:row>
      <xdr:rowOff>19050</xdr:rowOff>
    </xdr:from>
    <xdr:to>
      <xdr:col>23</xdr:col>
      <xdr:colOff>171450</xdr:colOff>
      <xdr:row>78</xdr:row>
      <xdr:rowOff>152400</xdr:rowOff>
    </xdr:to>
    <xdr:sp macro="" textlink="'Tablero'!$Z$374">
      <xdr:nvSpPr>
        <xdr:cNvPr id="223" name="TextBox 222"/>
        <xdr:cNvSpPr txBox="1"/>
      </xdr:nvSpPr>
      <xdr:spPr>
        <a:xfrm>
          <a:off x="2600325" y="14687550"/>
          <a:ext cx="19526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2000" b="1">
              <a:solidFill>
                <a:srgbClr val="EAF2FF"/>
              </a:solidFill>
              <a:latin typeface="Segoe UI"/>
              <a:cs typeface="Segoe UI"/>
            </a:rPr>
            <a:t/>
          </a:fld>
          <a:endParaRPr lang="en-US" sz="2000" b="1">
            <a:solidFill>
              <a:srgbClr val="EAF2FF"/>
            </a:solidFill>
            <a:latin typeface="Segoe UI"/>
            <a:cs typeface="Segoe UI"/>
          </a:endParaRPr>
        </a:p>
      </xdr:txBody>
    </xdr:sp>
    <xdr:clientData/>
  </xdr:twoCellAnchor>
  <xdr:twoCellAnchor editAs="absolute">
    <xdr:from>
      <xdr:col>2</xdr:col>
      <xdr:colOff>152400</xdr:colOff>
      <xdr:row>80</xdr:row>
      <xdr:rowOff>0</xdr:rowOff>
    </xdr:from>
    <xdr:to>
      <xdr:col>13</xdr:col>
      <xdr:colOff>9525</xdr:colOff>
      <xdr:row>80</xdr:row>
      <xdr:rowOff>171450</xdr:rowOff>
    </xdr:to>
    <xdr:sp macro="" textlink="">
      <xdr:nvSpPr>
        <xdr:cNvPr id="224" name="TextBox 223"/>
        <xdr:cNvSpPr txBox="1"/>
      </xdr:nvSpPr>
      <xdr:spPr>
        <a:xfrm>
          <a:off x="533400" y="15240000"/>
          <a:ext cx="19526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Anormal, contra Vista y Brent</a:t>
          </a:r>
        </a:p>
      </xdr:txBody>
    </xdr:sp>
    <xdr:clientData/>
  </xdr:twoCellAnchor>
  <xdr:twoCellAnchor editAs="absolute">
    <xdr:from>
      <xdr:col>2</xdr:col>
      <xdr:colOff>152400</xdr:colOff>
      <xdr:row>80</xdr:row>
      <xdr:rowOff>171450</xdr:rowOff>
    </xdr:from>
    <xdr:to>
      <xdr:col>13</xdr:col>
      <xdr:colOff>9525</xdr:colOff>
      <xdr:row>82</xdr:row>
      <xdr:rowOff>114300</xdr:rowOff>
    </xdr:to>
    <xdr:sp macro="" textlink="'Tablero'!$AF$374">
      <xdr:nvSpPr>
        <xdr:cNvPr id="225" name="TextBox 224"/>
        <xdr:cNvSpPr txBox="1"/>
      </xdr:nvSpPr>
      <xdr:spPr>
        <a:xfrm>
          <a:off x="533400" y="15411450"/>
          <a:ext cx="19526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2000" b="1">
              <a:solidFill>
                <a:srgbClr val="22D3EE"/>
              </a:solidFill>
              <a:latin typeface="Segoe UI"/>
              <a:cs typeface="Segoe UI"/>
            </a:rPr>
            <a:t/>
          </a:fld>
          <a:endParaRPr lang="en-US" sz="2000" b="1">
            <a:solidFill>
              <a:srgbClr val="22D3EE"/>
            </a:solidFill>
            <a:latin typeface="Segoe UI"/>
            <a:cs typeface="Segoe UI"/>
          </a:endParaRPr>
        </a:p>
      </xdr:txBody>
    </xdr:sp>
    <xdr:clientData/>
  </xdr:twoCellAnchor>
  <xdr:twoCellAnchor editAs="absolute">
    <xdr:from>
      <xdr:col>13</xdr:col>
      <xdr:colOff>123825</xdr:colOff>
      <xdr:row>80</xdr:row>
      <xdr:rowOff>0</xdr:rowOff>
    </xdr:from>
    <xdr:to>
      <xdr:col>23</xdr:col>
      <xdr:colOff>171450</xdr:colOff>
      <xdr:row>80</xdr:row>
      <xdr:rowOff>171450</xdr:rowOff>
    </xdr:to>
    <xdr:sp macro="" textlink="">
      <xdr:nvSpPr>
        <xdr:cNvPr id="226" name="TextBox 225"/>
        <xdr:cNvSpPr txBox="1"/>
      </xdr:nvSpPr>
      <xdr:spPr>
        <a:xfrm>
          <a:off x="2600325" y="15240000"/>
          <a:ext cx="195262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Acumulado, cuatro ruedas</a:t>
          </a:r>
        </a:p>
      </xdr:txBody>
    </xdr:sp>
    <xdr:clientData/>
  </xdr:twoCellAnchor>
  <xdr:twoCellAnchor editAs="absolute">
    <xdr:from>
      <xdr:col>13</xdr:col>
      <xdr:colOff>123825</xdr:colOff>
      <xdr:row>80</xdr:row>
      <xdr:rowOff>171450</xdr:rowOff>
    </xdr:from>
    <xdr:to>
      <xdr:col>23</xdr:col>
      <xdr:colOff>171450</xdr:colOff>
      <xdr:row>82</xdr:row>
      <xdr:rowOff>114300</xdr:rowOff>
    </xdr:to>
    <xdr:sp macro="" textlink="'Tablero'!$AL$374">
      <xdr:nvSpPr>
        <xdr:cNvPr id="227" name="TextBox 226"/>
        <xdr:cNvSpPr txBox="1"/>
      </xdr:nvSpPr>
      <xdr:spPr>
        <a:xfrm>
          <a:off x="2600325" y="15411450"/>
          <a:ext cx="19526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2000" b="1">
              <a:solidFill>
                <a:srgbClr val="22D3EE"/>
              </a:solidFill>
              <a:latin typeface="Segoe UI"/>
              <a:cs typeface="Segoe UI"/>
            </a:rPr>
            <a:t/>
          </a:fld>
          <a:endParaRPr lang="en-US" sz="2000" b="1">
            <a:solidFill>
              <a:srgbClr val="22D3EE"/>
            </a:solidFill>
            <a:latin typeface="Segoe UI"/>
            <a:cs typeface="Segoe UI"/>
          </a:endParaRPr>
        </a:p>
      </xdr:txBody>
    </xdr:sp>
    <xdr:clientData/>
  </xdr:twoCellAnchor>
  <xdr:twoCellAnchor editAs="absolute">
    <xdr:from>
      <xdr:col>2</xdr:col>
      <xdr:colOff>152400</xdr:colOff>
      <xdr:row>84</xdr:row>
      <xdr:rowOff>0</xdr:rowOff>
    </xdr:from>
    <xdr:to>
      <xdr:col>11</xdr:col>
      <xdr:colOff>57150</xdr:colOff>
      <xdr:row>85</xdr:row>
      <xdr:rowOff>0</xdr:rowOff>
    </xdr:to>
    <xdr:sp macro="" textlink="'Tablero'!$N$376">
      <xdr:nvSpPr>
        <xdr:cNvPr id="228" name="TextBox 227"/>
        <xdr:cNvSpPr txBox="1"/>
      </xdr:nvSpPr>
      <xdr:spPr>
        <a:xfrm>
          <a:off x="533400" y="16002000"/>
          <a:ext cx="16192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FBBF24"/>
              </a:solidFill>
              <a:latin typeface="Segoe UI"/>
              <a:cs typeface="Segoe UI"/>
            </a:rPr>
            <a:t/>
          </a:fld>
          <a:endParaRPr lang="en-US" sz="800" b="1">
            <a:solidFill>
              <a:srgbClr val="FBBF24"/>
            </a:solidFill>
            <a:latin typeface="Segoe UI"/>
            <a:cs typeface="Segoe UI"/>
          </a:endParaRPr>
        </a:p>
      </xdr:txBody>
    </xdr:sp>
    <xdr:clientData/>
  </xdr:twoCellAnchor>
  <xdr:twoCellAnchor editAs="absolute">
    <xdr:from>
      <xdr:col>11</xdr:col>
      <xdr:colOff>38100</xdr:colOff>
      <xdr:row>84</xdr:row>
      <xdr:rowOff>0</xdr:rowOff>
    </xdr:from>
    <xdr:to>
      <xdr:col>12</xdr:col>
      <xdr:colOff>171450</xdr:colOff>
      <xdr:row>85</xdr:row>
      <xdr:rowOff>0</xdr:rowOff>
    </xdr:to>
    <xdr:sp macro="" textlink="">
      <xdr:nvSpPr>
        <xdr:cNvPr id="229" name="TextBox 228"/>
        <xdr:cNvSpPr txBox="1"/>
      </xdr:nvSpPr>
      <xdr:spPr>
        <a:xfrm>
          <a:off x="2133600" y="16002000"/>
          <a:ext cx="3238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t =</a:t>
          </a:r>
        </a:p>
      </xdr:txBody>
    </xdr:sp>
    <xdr:clientData/>
  </xdr:twoCellAnchor>
  <xdr:twoCellAnchor editAs="absolute">
    <xdr:from>
      <xdr:col>12</xdr:col>
      <xdr:colOff>171450</xdr:colOff>
      <xdr:row>84</xdr:row>
      <xdr:rowOff>0</xdr:rowOff>
    </xdr:from>
    <xdr:to>
      <xdr:col>15</xdr:col>
      <xdr:colOff>76200</xdr:colOff>
      <xdr:row>85</xdr:row>
      <xdr:rowOff>0</xdr:rowOff>
    </xdr:to>
    <xdr:sp macro="" textlink="'Tablero'!$AR$374">
      <xdr:nvSpPr>
        <xdr:cNvPr id="230" name="TextBox 229"/>
        <xdr:cNvSpPr txBox="1"/>
      </xdr:nvSpPr>
      <xdr:spPr>
        <a:xfrm>
          <a:off x="2457450" y="16002000"/>
          <a:ext cx="4762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2</xdr:col>
      <xdr:colOff>152400</xdr:colOff>
      <xdr:row>85</xdr:row>
      <xdr:rowOff>19050</xdr:rowOff>
    </xdr:from>
    <xdr:to>
      <xdr:col>10</xdr:col>
      <xdr:colOff>57150</xdr:colOff>
      <xdr:row>86</xdr:row>
      <xdr:rowOff>19050</xdr:rowOff>
    </xdr:to>
    <xdr:sp macro="" textlink="">
      <xdr:nvSpPr>
        <xdr:cNvPr id="231" name="TextBox 230"/>
        <xdr:cNvSpPr txBox="1"/>
      </xdr:nvSpPr>
      <xdr:spPr>
        <a:xfrm>
          <a:off x="533400" y="16211550"/>
          <a:ext cx="14287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Riesgo país ese día</a:t>
          </a:r>
        </a:p>
      </xdr:txBody>
    </xdr:sp>
    <xdr:clientData/>
  </xdr:twoCellAnchor>
  <xdr:twoCellAnchor editAs="absolute">
    <xdr:from>
      <xdr:col>9</xdr:col>
      <xdr:colOff>133350</xdr:colOff>
      <xdr:row>85</xdr:row>
      <xdr:rowOff>19050</xdr:rowOff>
    </xdr:from>
    <xdr:to>
      <xdr:col>15</xdr:col>
      <xdr:colOff>38100</xdr:colOff>
      <xdr:row>86</xdr:row>
      <xdr:rowOff>19050</xdr:rowOff>
    </xdr:to>
    <xdr:sp macro="" textlink="'Tablero'!$BJ$374">
      <xdr:nvSpPr>
        <xdr:cNvPr id="232" name="TextBox 231"/>
        <xdr:cNvSpPr txBox="1"/>
      </xdr:nvSpPr>
      <xdr:spPr>
        <a:xfrm>
          <a:off x="1847850" y="16211550"/>
          <a:ext cx="10477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800" b="1">
              <a:solidFill>
                <a:srgbClr val="EAF2FF"/>
              </a:solidFill>
              <a:latin typeface="Segoe UI"/>
              <a:cs typeface="Segoe UI"/>
            </a:rPr>
            <a:t/>
          </a:fld>
          <a:endParaRPr lang="en-US" sz="800" b="1">
            <a:solidFill>
              <a:srgbClr val="EAF2FF"/>
            </a:solidFill>
            <a:latin typeface="Segoe UI"/>
            <a:cs typeface="Segoe UI"/>
          </a:endParaRPr>
        </a:p>
      </xdr:txBody>
    </xdr:sp>
    <xdr:clientData/>
  </xdr:twoCellAnchor>
  <xdr:twoCellAnchor editAs="absolute">
    <xdr:from>
      <xdr:col>2</xdr:col>
      <xdr:colOff>152400</xdr:colOff>
      <xdr:row>86</xdr:row>
      <xdr:rowOff>0</xdr:rowOff>
    </xdr:from>
    <xdr:to>
      <xdr:col>24</xdr:col>
      <xdr:colOff>57150</xdr:colOff>
      <xdr:row>87</xdr:row>
      <xdr:rowOff>19050</xdr:rowOff>
    </xdr:to>
    <xdr:sp macro="" textlink="">
      <xdr:nvSpPr>
        <xdr:cNvPr id="233" name="TextBox 232"/>
        <xdr:cNvSpPr txBox="1"/>
      </xdr:nvSpPr>
      <xdr:spPr>
        <a:xfrm>
          <a:off x="533400" y="16383000"/>
          <a:ext cx="40957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700" b="0">
              <a:solidFill>
                <a:srgbClr val="5D7295"/>
              </a:solidFill>
              <a:latin typeface="Segoe UI"/>
              <a:cs typeface="Segoe UI"/>
            </a:rPr>
            <a:t>Anormal: lo que se movió la acción más allá de lo que explican Vista y el Brent ese día.</a:t>
          </a:r>
        </a:p>
      </xdr:txBody>
    </xdr:sp>
    <xdr:clientData/>
  </xdr:twoCellAnchor>
  <xdr:twoCellAnchor editAs="absolute">
    <xdr:from>
      <xdr:col>25</xdr:col>
      <xdr:colOff>133350</xdr:colOff>
      <xdr:row>75</xdr:row>
      <xdr:rowOff>171450</xdr:rowOff>
    </xdr:from>
    <xdr:to>
      <xdr:col>40</xdr:col>
      <xdr:colOff>133350</xdr:colOff>
      <xdr:row>76</xdr:row>
      <xdr:rowOff>171450</xdr:rowOff>
    </xdr:to>
    <xdr:sp macro="" textlink="">
      <xdr:nvSpPr>
        <xdr:cNvPr id="234" name="TextBox 233"/>
        <xdr:cNvSpPr txBox="1"/>
      </xdr:nvSpPr>
      <xdr:spPr>
        <a:xfrm>
          <a:off x="4895850" y="14458950"/>
          <a:ext cx="2857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8EA3C4"/>
              </a:solidFill>
              <a:latin typeface="Segoe UI"/>
              <a:cs typeface="Segoe UI"/>
            </a:rPr>
            <a:t>Retorno anormal en cada balance, doce trimestres</a:t>
          </a:r>
        </a:p>
      </xdr:txBody>
    </xdr:sp>
    <xdr:clientData/>
  </xdr:twoCellAnchor>
  <xdr:twoCellAnchor editAs="absolute">
    <xdr:from>
      <xdr:col>45</xdr:col>
      <xdr:colOff>76200</xdr:colOff>
      <xdr:row>75</xdr:row>
      <xdr:rowOff>171450</xdr:rowOff>
    </xdr:from>
    <xdr:to>
      <xdr:col>55</xdr:col>
      <xdr:colOff>76200</xdr:colOff>
      <xdr:row>76</xdr:row>
      <xdr:rowOff>171450</xdr:rowOff>
    </xdr:to>
    <xdr:sp macro="" textlink="">
      <xdr:nvSpPr>
        <xdr:cNvPr id="235" name="TextBox 234"/>
        <xdr:cNvSpPr txBox="1"/>
      </xdr:nvSpPr>
      <xdr:spPr>
        <a:xfrm>
          <a:off x="8648700" y="14458950"/>
          <a:ext cx="1905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1">
              <a:solidFill>
                <a:srgbClr val="818CF8"/>
              </a:solidFill>
              <a:latin typeface="Segoe UI"/>
              <a:cs typeface="Segoe UI"/>
            </a:rPr>
            <a:t>◆ anormal acumulado, 4 ruedas</a:t>
          </a:r>
        </a:p>
      </xdr:txBody>
    </xdr:sp>
    <xdr:clientData/>
  </xdr:twoCellAnchor>
  <xdr:twoCellAnchor editAs="absolute">
    <xdr:from>
      <xdr:col>57</xdr:col>
      <xdr:colOff>152400</xdr:colOff>
      <xdr:row>73</xdr:row>
      <xdr:rowOff>104775</xdr:rowOff>
    </xdr:from>
    <xdr:to>
      <xdr:col>77</xdr:col>
      <xdr:colOff>38100</xdr:colOff>
      <xdr:row>74</xdr:row>
      <xdr:rowOff>161925</xdr:rowOff>
    </xdr:to>
    <xdr:sp macro="" textlink="">
      <xdr:nvSpPr>
        <xdr:cNvPr id="236" name="TextBox 235"/>
        <xdr:cNvSpPr txBox="1"/>
      </xdr:nvSpPr>
      <xdr:spPr>
        <a:xfrm>
          <a:off x="11010900" y="14011275"/>
          <a:ext cx="36957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1200" b="1">
              <a:solidFill>
                <a:srgbClr val="EAF2FF"/>
              </a:solidFill>
              <a:latin typeface="Segoe UI"/>
              <a:cs typeface="Segoe UI"/>
            </a:rPr>
            <a:t>Qué mueve a la acción</a:t>
          </a:r>
        </a:p>
      </xdr:txBody>
    </xdr:sp>
    <xdr:clientData/>
  </xdr:twoCellAnchor>
  <xdr:twoCellAnchor editAs="absolute">
    <xdr:from>
      <xdr:col>57</xdr:col>
      <xdr:colOff>152400</xdr:colOff>
      <xdr:row>74</xdr:row>
      <xdr:rowOff>133350</xdr:rowOff>
    </xdr:from>
    <xdr:to>
      <xdr:col>77</xdr:col>
      <xdr:colOff>38100</xdr:colOff>
      <xdr:row>75</xdr:row>
      <xdr:rowOff>133350</xdr:rowOff>
    </xdr:to>
    <xdr:sp macro="" textlink="">
      <xdr:nvSpPr>
        <xdr:cNvPr id="237" name="TextBox 236"/>
        <xdr:cNvSpPr txBox="1"/>
      </xdr:nvSpPr>
      <xdr:spPr>
        <a:xfrm>
          <a:off x="11010900" y="14230350"/>
          <a:ext cx="36957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5D7295"/>
              </a:solidFill>
              <a:latin typeface="Segoe UI"/>
              <a:cs typeface="Segoe UI"/>
            </a:rPr>
            <a:t>Retornos diarios desde 2021 (transform/market_reaction.py)</a:t>
          </a:r>
        </a:p>
      </xdr:txBody>
    </xdr:sp>
    <xdr:clientData/>
  </xdr:twoCellAnchor>
  <xdr:twoCellAnchor editAs="absolute">
    <xdr:from>
      <xdr:col>57</xdr:col>
      <xdr:colOff>152400</xdr:colOff>
      <xdr:row>76</xdr:row>
      <xdr:rowOff>38100</xdr:rowOff>
    </xdr:from>
    <xdr:to>
      <xdr:col>71</xdr:col>
      <xdr:colOff>171450</xdr:colOff>
      <xdr:row>77</xdr:row>
      <xdr:rowOff>38100</xdr:rowOff>
    </xdr:to>
    <xdr:sp macro="" textlink="">
      <xdr:nvSpPr>
        <xdr:cNvPr id="238" name="TextBox 237"/>
        <xdr:cNvSpPr txBox="1"/>
      </xdr:nvSpPr>
      <xdr:spPr>
        <a:xfrm>
          <a:off x="11010900" y="14516100"/>
          <a:ext cx="26860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900" b="0">
              <a:solidFill>
                <a:srgbClr val="8EA3C4"/>
              </a:solidFill>
              <a:latin typeface="Segoe UI"/>
              <a:cs typeface="Segoe UI"/>
            </a:rPr>
            <a:t>Cada 100 pb más de riesgo país</a:t>
          </a:r>
        </a:p>
      </xdr:txBody>
    </xdr:sp>
    <xdr:clientData/>
  </xdr:twoCellAnchor>
  <xdr:twoCellAnchor editAs="absolute">
    <xdr:from>
      <xdr:col>57</xdr:col>
      <xdr:colOff>152400</xdr:colOff>
      <xdr:row>77</xdr:row>
      <xdr:rowOff>19050</xdr:rowOff>
    </xdr:from>
    <xdr:to>
      <xdr:col>71</xdr:col>
      <xdr:colOff>171450</xdr:colOff>
      <xdr:row>78</xdr:row>
      <xdr:rowOff>0</xdr:rowOff>
    </xdr:to>
    <xdr:sp macro="" textlink="">
      <xdr:nvSpPr>
        <xdr:cNvPr id="239" name="TextBox 238"/>
        <xdr:cNvSpPr txBox="1"/>
      </xdr:nvSpPr>
      <xdr:spPr>
        <a:xfrm>
          <a:off x="11010900" y="14687550"/>
          <a:ext cx="26860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700" b="0">
              <a:solidFill>
                <a:srgbClr val="5D7295"/>
              </a:solidFill>
              <a:latin typeface="Segoe UI"/>
              <a:cs typeface="Segoe UI"/>
            </a:rPr>
            <a:t>en la acción, el mismo día</a:t>
          </a:r>
        </a:p>
      </xdr:txBody>
    </xdr:sp>
    <xdr:clientData/>
  </xdr:twoCellAnchor>
  <xdr:twoCellAnchor editAs="absolute">
    <xdr:from>
      <xdr:col>71</xdr:col>
      <xdr:colOff>57150</xdr:colOff>
      <xdr:row>76</xdr:row>
      <xdr:rowOff>38100</xdr:rowOff>
    </xdr:from>
    <xdr:to>
      <xdr:col>77</xdr:col>
      <xdr:colOff>38100</xdr:colOff>
      <xdr:row>77</xdr:row>
      <xdr:rowOff>152400</xdr:rowOff>
    </xdr:to>
    <xdr:sp macro="" textlink="'Tablero'!$N$395">
      <xdr:nvSpPr>
        <xdr:cNvPr id="240" name="TextBox 239"/>
        <xdr:cNvSpPr txBox="1"/>
      </xdr:nvSpPr>
      <xdr:spPr>
        <a:xfrm>
          <a:off x="13582650" y="14516100"/>
          <a:ext cx="1123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700" b="1">
              <a:solidFill>
                <a:srgbClr val="22D3EE"/>
              </a:solidFill>
              <a:latin typeface="Segoe UI"/>
              <a:cs typeface="Segoe UI"/>
            </a:rPr>
            <a:t/>
          </a:fld>
          <a:endParaRPr lang="en-US" sz="1700" b="1">
            <a:solidFill>
              <a:srgbClr val="22D3EE"/>
            </a:solidFill>
            <a:latin typeface="Segoe UI"/>
            <a:cs typeface="Segoe UI"/>
          </a:endParaRPr>
        </a:p>
      </xdr:txBody>
    </xdr:sp>
    <xdr:clientData/>
  </xdr:twoCellAnchor>
  <xdr:twoCellAnchor editAs="absolute">
    <xdr:from>
      <xdr:col>57</xdr:col>
      <xdr:colOff>152400</xdr:colOff>
      <xdr:row>79</xdr:row>
      <xdr:rowOff>19050</xdr:rowOff>
    </xdr:from>
    <xdr:to>
      <xdr:col>71</xdr:col>
      <xdr:colOff>171450</xdr:colOff>
      <xdr:row>80</xdr:row>
      <xdr:rowOff>19050</xdr:rowOff>
    </xdr:to>
    <xdr:sp macro="" textlink="">
      <xdr:nvSpPr>
        <xdr:cNvPr id="241" name="TextBox 240"/>
        <xdr:cNvSpPr txBox="1"/>
      </xdr:nvSpPr>
      <xdr:spPr>
        <a:xfrm>
          <a:off x="11010900" y="15068550"/>
          <a:ext cx="26860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900" b="0">
              <a:solidFill>
                <a:srgbClr val="8EA3C4"/>
              </a:solidFill>
              <a:latin typeface="Segoe UI"/>
              <a:cs typeface="Segoe UI"/>
            </a:rPr>
            <a:t>Beta contra el Brent</a:t>
          </a:r>
        </a:p>
      </xdr:txBody>
    </xdr:sp>
    <xdr:clientData/>
  </xdr:twoCellAnchor>
  <xdr:twoCellAnchor editAs="absolute">
    <xdr:from>
      <xdr:col>57</xdr:col>
      <xdr:colOff>152400</xdr:colOff>
      <xdr:row>80</xdr:row>
      <xdr:rowOff>0</xdr:rowOff>
    </xdr:from>
    <xdr:to>
      <xdr:col>71</xdr:col>
      <xdr:colOff>171450</xdr:colOff>
      <xdr:row>80</xdr:row>
      <xdr:rowOff>171450</xdr:rowOff>
    </xdr:to>
    <xdr:sp macro="" textlink="">
      <xdr:nvSpPr>
        <xdr:cNvPr id="242" name="TextBox 241"/>
        <xdr:cNvSpPr txBox="1"/>
      </xdr:nvSpPr>
      <xdr:spPr>
        <a:xfrm>
          <a:off x="11010900" y="15240000"/>
          <a:ext cx="26860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700" b="0">
              <a:solidFill>
                <a:srgbClr val="5D7295"/>
              </a:solidFill>
              <a:latin typeface="Segoe UI"/>
              <a:cs typeface="Segoe UI"/>
            </a:rPr>
            <a:t>por cada 1% que se mueve el crudo</a:t>
          </a:r>
        </a:p>
      </xdr:txBody>
    </xdr:sp>
    <xdr:clientData/>
  </xdr:twoCellAnchor>
  <xdr:twoCellAnchor editAs="absolute">
    <xdr:from>
      <xdr:col>71</xdr:col>
      <xdr:colOff>57150</xdr:colOff>
      <xdr:row>79</xdr:row>
      <xdr:rowOff>19050</xdr:rowOff>
    </xdr:from>
    <xdr:to>
      <xdr:col>77</xdr:col>
      <xdr:colOff>38100</xdr:colOff>
      <xdr:row>80</xdr:row>
      <xdr:rowOff>133350</xdr:rowOff>
    </xdr:to>
    <xdr:sp macro="" textlink="'Tablero'!$N$396">
      <xdr:nvSpPr>
        <xdr:cNvPr id="243" name="TextBox 242"/>
        <xdr:cNvSpPr txBox="1"/>
      </xdr:nvSpPr>
      <xdr:spPr>
        <a:xfrm>
          <a:off x="13582650" y="15068550"/>
          <a:ext cx="1123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700" b="1">
              <a:solidFill>
                <a:srgbClr val="22D3EE"/>
              </a:solidFill>
              <a:latin typeface="Segoe UI"/>
              <a:cs typeface="Segoe UI"/>
            </a:rPr>
            <a:t/>
          </a:fld>
          <a:endParaRPr lang="en-US" sz="1700" b="1">
            <a:solidFill>
              <a:srgbClr val="22D3EE"/>
            </a:solidFill>
            <a:latin typeface="Segoe UI"/>
            <a:cs typeface="Segoe UI"/>
          </a:endParaRPr>
        </a:p>
      </xdr:txBody>
    </xdr:sp>
    <xdr:clientData/>
  </xdr:twoCellAnchor>
  <xdr:twoCellAnchor editAs="absolute">
    <xdr:from>
      <xdr:col>57</xdr:col>
      <xdr:colOff>152400</xdr:colOff>
      <xdr:row>82</xdr:row>
      <xdr:rowOff>0</xdr:rowOff>
    </xdr:from>
    <xdr:to>
      <xdr:col>71</xdr:col>
      <xdr:colOff>171450</xdr:colOff>
      <xdr:row>83</xdr:row>
      <xdr:rowOff>0</xdr:rowOff>
    </xdr:to>
    <xdr:sp macro="" textlink="">
      <xdr:nvSpPr>
        <xdr:cNvPr id="244" name="TextBox 243"/>
        <xdr:cNvSpPr txBox="1"/>
      </xdr:nvSpPr>
      <xdr:spPr>
        <a:xfrm>
          <a:off x="11010900" y="15621000"/>
          <a:ext cx="26860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900" b="0">
              <a:solidFill>
                <a:srgbClr val="8EA3C4"/>
              </a:solidFill>
              <a:latin typeface="Segoe UI"/>
              <a:cs typeface="Segoe UI"/>
            </a:rPr>
            <a:t>Retorno anormal mediano</a:t>
          </a:r>
        </a:p>
      </xdr:txBody>
    </xdr:sp>
    <xdr:clientData/>
  </xdr:twoCellAnchor>
  <xdr:twoCellAnchor editAs="absolute">
    <xdr:from>
      <xdr:col>57</xdr:col>
      <xdr:colOff>152400</xdr:colOff>
      <xdr:row>82</xdr:row>
      <xdr:rowOff>171450</xdr:rowOff>
    </xdr:from>
    <xdr:to>
      <xdr:col>71</xdr:col>
      <xdr:colOff>171450</xdr:colOff>
      <xdr:row>83</xdr:row>
      <xdr:rowOff>152400</xdr:rowOff>
    </xdr:to>
    <xdr:sp macro="" textlink="">
      <xdr:nvSpPr>
        <xdr:cNvPr id="245" name="TextBox 244"/>
        <xdr:cNvSpPr txBox="1"/>
      </xdr:nvSpPr>
      <xdr:spPr>
        <a:xfrm>
          <a:off x="11010900" y="15792450"/>
          <a:ext cx="26860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700" b="0">
              <a:solidFill>
                <a:srgbClr val="5D7295"/>
              </a:solidFill>
              <a:latin typeface="Segoe UI"/>
              <a:cs typeface="Segoe UI"/>
            </a:rPr>
            <a:t>el día de cada balance</a:t>
          </a:r>
        </a:p>
      </xdr:txBody>
    </xdr:sp>
    <xdr:clientData/>
  </xdr:twoCellAnchor>
  <xdr:twoCellAnchor editAs="absolute">
    <xdr:from>
      <xdr:col>71</xdr:col>
      <xdr:colOff>57150</xdr:colOff>
      <xdr:row>82</xdr:row>
      <xdr:rowOff>0</xdr:rowOff>
    </xdr:from>
    <xdr:to>
      <xdr:col>77</xdr:col>
      <xdr:colOff>38100</xdr:colOff>
      <xdr:row>83</xdr:row>
      <xdr:rowOff>114300</xdr:rowOff>
    </xdr:to>
    <xdr:sp macro="" textlink="'Tablero'!$N$400">
      <xdr:nvSpPr>
        <xdr:cNvPr id="246" name="TextBox 245"/>
        <xdr:cNvSpPr txBox="1"/>
      </xdr:nvSpPr>
      <xdr:spPr>
        <a:xfrm>
          <a:off x="13582650" y="15621000"/>
          <a:ext cx="1123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700" b="1">
              <a:solidFill>
                <a:srgbClr val="22D3EE"/>
              </a:solidFill>
              <a:latin typeface="Segoe UI"/>
              <a:cs typeface="Segoe UI"/>
            </a:rPr>
            <a:t/>
          </a:fld>
          <a:endParaRPr lang="en-US" sz="1700" b="1">
            <a:solidFill>
              <a:srgbClr val="22D3EE"/>
            </a:solidFill>
            <a:latin typeface="Segoe UI"/>
            <a:cs typeface="Segoe UI"/>
          </a:endParaRPr>
        </a:p>
      </xdr:txBody>
    </xdr:sp>
    <xdr:clientData/>
  </xdr:twoCellAnchor>
  <xdr:twoCellAnchor editAs="absolute">
    <xdr:from>
      <xdr:col>57</xdr:col>
      <xdr:colOff>152400</xdr:colOff>
      <xdr:row>84</xdr:row>
      <xdr:rowOff>171450</xdr:rowOff>
    </xdr:from>
    <xdr:to>
      <xdr:col>60</xdr:col>
      <xdr:colOff>0</xdr:colOff>
      <xdr:row>86</xdr:row>
      <xdr:rowOff>76200</xdr:rowOff>
    </xdr:to>
    <xdr:sp macro="" textlink="'Tablero'!$N$398">
      <xdr:nvSpPr>
        <xdr:cNvPr id="247" name="TextBox 246"/>
        <xdr:cNvSpPr txBox="1"/>
      </xdr:nvSpPr>
      <xdr:spPr>
        <a:xfrm>
          <a:off x="11010900" y="16173450"/>
          <a:ext cx="419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700" b="1">
              <a:solidFill>
                <a:srgbClr val="FBBF24"/>
              </a:solidFill>
              <a:latin typeface="Segoe UI"/>
              <a:cs typeface="Segoe UI"/>
            </a:rPr>
            <a:t/>
          </a:fld>
          <a:endParaRPr lang="en-US" sz="1700" b="1">
            <a:solidFill>
              <a:srgbClr val="FBBF24"/>
            </a:solidFill>
            <a:latin typeface="Segoe UI"/>
            <a:cs typeface="Segoe UI"/>
          </a:endParaRPr>
        </a:p>
      </xdr:txBody>
    </xdr:sp>
    <xdr:clientData/>
  </xdr:twoCellAnchor>
  <xdr:twoCellAnchor editAs="absolute">
    <xdr:from>
      <xdr:col>60</xdr:col>
      <xdr:colOff>0</xdr:colOff>
      <xdr:row>85</xdr:row>
      <xdr:rowOff>0</xdr:rowOff>
    </xdr:from>
    <xdr:to>
      <xdr:col>62</xdr:col>
      <xdr:colOff>0</xdr:colOff>
      <xdr:row>86</xdr:row>
      <xdr:rowOff>57150</xdr:rowOff>
    </xdr:to>
    <xdr:sp macro="" textlink="">
      <xdr:nvSpPr>
        <xdr:cNvPr id="248" name="TextBox 247"/>
        <xdr:cNvSpPr txBox="1"/>
      </xdr:nvSpPr>
      <xdr:spPr>
        <a:xfrm>
          <a:off x="11430000" y="16192500"/>
          <a:ext cx="381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1"/>
        <a:lstStyle/>
        <a:p>
          <a:r>
            <a:rPr lang="en-US" sz="900" b="0">
              <a:solidFill>
                <a:srgbClr val="8EA3C4"/>
              </a:solidFill>
              <a:latin typeface="Segoe UI"/>
              <a:cs typeface="Segoe UI"/>
            </a:rPr>
            <a:t>de</a:t>
          </a:r>
        </a:p>
      </xdr:txBody>
    </xdr:sp>
    <xdr:clientData/>
  </xdr:twoCellAnchor>
  <xdr:twoCellAnchor editAs="absolute">
    <xdr:from>
      <xdr:col>62</xdr:col>
      <xdr:colOff>0</xdr:colOff>
      <xdr:row>84</xdr:row>
      <xdr:rowOff>171450</xdr:rowOff>
    </xdr:from>
    <xdr:to>
      <xdr:col>64</xdr:col>
      <xdr:colOff>38100</xdr:colOff>
      <xdr:row>86</xdr:row>
      <xdr:rowOff>76200</xdr:rowOff>
    </xdr:to>
    <xdr:sp macro="" textlink="'Tablero'!$N$399">
      <xdr:nvSpPr>
        <xdr:cNvPr id="249" name="TextBox 248"/>
        <xdr:cNvSpPr txBox="1"/>
      </xdr:nvSpPr>
      <xdr:spPr>
        <a:xfrm>
          <a:off x="11811000" y="16173450"/>
          <a:ext cx="419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fld id="{B8ADDEFE-BF52-4FD4-8C5D-6B85EF6FF707}" type="TxLink">
            <a:rPr lang="en-US" sz="1700" b="1">
              <a:solidFill>
                <a:srgbClr val="EAF2FF"/>
              </a:solidFill>
              <a:latin typeface="Segoe UI"/>
              <a:cs typeface="Segoe UI"/>
            </a:rPr>
            <a:t/>
          </a:fld>
          <a:endParaRPr lang="en-US" sz="1700" b="1">
            <a:solidFill>
              <a:srgbClr val="EAF2FF"/>
            </a:solidFill>
            <a:latin typeface="Segoe UI"/>
            <a:cs typeface="Segoe UI"/>
          </a:endParaRPr>
        </a:p>
      </xdr:txBody>
    </xdr:sp>
    <xdr:clientData/>
  </xdr:twoCellAnchor>
  <xdr:twoCellAnchor editAs="absolute">
    <xdr:from>
      <xdr:col>64</xdr:col>
      <xdr:colOff>38100</xdr:colOff>
      <xdr:row>84</xdr:row>
      <xdr:rowOff>152400</xdr:rowOff>
    </xdr:from>
    <xdr:to>
      <xdr:col>77</xdr:col>
      <xdr:colOff>38100</xdr:colOff>
      <xdr:row>86</xdr:row>
      <xdr:rowOff>114300</xdr:rowOff>
    </xdr:to>
    <xdr:sp macro="" textlink="">
      <xdr:nvSpPr>
        <xdr:cNvPr id="250" name="TextBox 249"/>
        <xdr:cNvSpPr txBox="1"/>
      </xdr:nvSpPr>
      <xdr:spPr>
        <a:xfrm>
          <a:off x="12230100" y="16154400"/>
          <a:ext cx="2476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800" b="0">
              <a:solidFill>
                <a:srgbClr val="8EA3C4"/>
              </a:solidFill>
              <a:latin typeface="Segoe UI"/>
              <a:cs typeface="Segoe UI"/>
            </a:rPr>
            <a:t>balances cayeron más de lo que explicaban Vista y el Brent</a:t>
          </a:r>
        </a:p>
      </xdr:txBody>
    </xdr:sp>
    <xdr:clientData/>
  </xdr:twoCellAnchor>
  <xdr:twoCellAnchor editAs="absolute">
    <xdr:from>
      <xdr:col>2</xdr:col>
      <xdr:colOff>38100</xdr:colOff>
      <xdr:row>87</xdr:row>
      <xdr:rowOff>104775</xdr:rowOff>
    </xdr:from>
    <xdr:to>
      <xdr:col>77</xdr:col>
      <xdr:colOff>152400</xdr:colOff>
      <xdr:row>88</xdr:row>
      <xdr:rowOff>104775</xdr:rowOff>
    </xdr:to>
    <xdr:sp macro="" textlink="">
      <xdr:nvSpPr>
        <xdr:cNvPr id="251" name="TextBox 250"/>
        <xdr:cNvSpPr txBox="1"/>
      </xdr:nvSpPr>
      <xdr:spPr>
        <a:xfrm>
          <a:off x="419100" y="16678275"/>
          <a:ext cx="144018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r>
            <a:rPr lang="en-US" sz="700" b="0">
              <a:solidFill>
                <a:srgbClr val="5D7295"/>
              </a:solidFill>
              <a:latin typeface="Segoe UI"/>
              <a:cs typeface="Segoe UI"/>
            </a:rPr>
            <a:t>Las cuatro listas cambian todo el tablero. Los botones llevan a cada hoja; los datos que alimentan cada tarjeta están al pie de esta hoja.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13</xdr:row>
      <xdr:rowOff>0</xdr:rowOff>
    </xdr:from>
    <xdr:to>
      <xdr:col>5</xdr:col>
      <xdr:colOff>190500</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13</xdr:row>
      <xdr:rowOff>0</xdr:rowOff>
    </xdr:from>
    <xdr:to>
      <xdr:col>13</xdr:col>
      <xdr:colOff>190500</xdr:colOff>
      <xdr:row>26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0</xdr:rowOff>
    </xdr:from>
    <xdr:to>
      <xdr:col>5</xdr:col>
      <xdr:colOff>190500</xdr:colOff>
      <xdr:row>40</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27</xdr:row>
      <xdr:rowOff>0</xdr:rowOff>
    </xdr:from>
    <xdr:to>
      <xdr:col>13</xdr:col>
      <xdr:colOff>190500</xdr:colOff>
      <xdr:row>40</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41</xdr:row>
      <xdr:rowOff>0</xdr:rowOff>
    </xdr:from>
    <xdr:to>
      <xdr:col>5</xdr:col>
      <xdr:colOff>190500</xdr:colOff>
      <xdr:row>54</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41</xdr:row>
      <xdr:rowOff>0</xdr:rowOff>
    </xdr:from>
    <xdr:to>
      <xdr:col>13</xdr:col>
      <xdr:colOff>190500</xdr:colOff>
      <xdr:row>54</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3</xdr:row>
      <xdr:rowOff>0</xdr:rowOff>
    </xdr:from>
    <xdr:to>
      <xdr:col>8</xdr:col>
      <xdr:colOff>762000</xdr:colOff>
      <xdr:row>16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sheetPr>
    <tabColor rgb="FF00246B"/>
  </sheetPr>
  <dimension ref="B2:C91"/>
  <sheetViews>
    <sheetView showGridLines="0" workbookViewId="0"/>
  </sheetViews>
  <sheetFormatPr defaultRowHeight="15"/>
  <cols>
    <col min="1" max="1" width="3.7109375" customWidth="1"/>
    <col min="2" max="2" width="30.7109375" customWidth="1"/>
    <col min="3" max="3" width="92.7109375" customWidth="1"/>
  </cols>
  <sheetData>
    <row r="2" spans="2:3">
      <c r="B2" s="1" t="s">
        <v>0</v>
      </c>
    </row>
    <row r="3" spans="2:3">
      <c r="B3" s="2" t="s">
        <v>1</v>
      </c>
    </row>
    <row r="5" spans="2:3">
      <c r="B5" s="3" t="s">
        <v>2</v>
      </c>
      <c r="C5" s="4" t="s">
        <v>3</v>
      </c>
    </row>
    <row r="6" spans="2:3">
      <c r="B6" s="3" t="s">
        <v>4</v>
      </c>
      <c r="C6" s="4" t="s">
        <v>5</v>
      </c>
    </row>
    <row r="7" spans="2:3">
      <c r="B7" s="3" t="s">
        <v>6</v>
      </c>
      <c r="C7" s="4" t="s">
        <v>7</v>
      </c>
    </row>
    <row r="8" spans="2:3">
      <c r="B8" s="3" t="s">
        <v>8</v>
      </c>
      <c r="C8" s="4" t="s">
        <v>9</v>
      </c>
    </row>
    <row r="9" spans="2:3">
      <c r="B9" s="3" t="s">
        <v>10</v>
      </c>
      <c r="C9" s="4" t="s">
        <v>11</v>
      </c>
    </row>
    <row r="10" spans="2:3">
      <c r="B10" s="3" t="s">
        <v>12</v>
      </c>
      <c r="C10" s="4" t="s">
        <v>13</v>
      </c>
    </row>
    <row r="11" spans="2:3">
      <c r="B11" s="3" t="s">
        <v>14</v>
      </c>
      <c r="C11" s="4" t="s">
        <v>15</v>
      </c>
    </row>
    <row r="12" spans="2:3">
      <c r="B12" s="3" t="s">
        <v>16</v>
      </c>
      <c r="C12" s="4" t="s">
        <v>17</v>
      </c>
    </row>
    <row r="13" spans="2:3">
      <c r="B13" s="3" t="s">
        <v>18</v>
      </c>
      <c r="C13" s="4" t="s">
        <v>19</v>
      </c>
    </row>
    <row r="15" spans="2:3">
      <c r="B15" s="5" t="s">
        <v>20</v>
      </c>
    </row>
    <row r="16" spans="2:3">
      <c r="B16" s="3" t="s">
        <v>21</v>
      </c>
      <c r="C16" s="4" t="s">
        <v>22</v>
      </c>
    </row>
    <row r="17" spans="2:3">
      <c r="B17" s="3" t="s">
        <v>23</v>
      </c>
      <c r="C17" s="4" t="s">
        <v>24</v>
      </c>
    </row>
    <row r="18" spans="2:3">
      <c r="B18" s="3" t="s">
        <v>25</v>
      </c>
      <c r="C18" s="4" t="s">
        <v>26</v>
      </c>
    </row>
    <row r="19" spans="2:3">
      <c r="B19" s="3" t="s">
        <v>27</v>
      </c>
      <c r="C19" s="4" t="s">
        <v>28</v>
      </c>
    </row>
    <row r="20" spans="2:3">
      <c r="B20" s="3" t="s">
        <v>29</v>
      </c>
      <c r="C20" s="4" t="s">
        <v>30</v>
      </c>
    </row>
    <row r="21" spans="2:3">
      <c r="B21" s="3" t="s">
        <v>31</v>
      </c>
      <c r="C21" s="4" t="s">
        <v>32</v>
      </c>
    </row>
    <row r="23" spans="2:3">
      <c r="B23" s="5" t="s">
        <v>33</v>
      </c>
    </row>
    <row r="24" spans="2:3" ht="46" customHeight="1">
      <c r="B24" s="3" t="s">
        <v>34</v>
      </c>
      <c r="C24" s="4" t="s">
        <v>35</v>
      </c>
    </row>
    <row r="25" spans="2:3" ht="46" customHeight="1">
      <c r="B25" s="3" t="s">
        <v>36</v>
      </c>
      <c r="C25" s="4" t="s">
        <v>37</v>
      </c>
    </row>
    <row r="26" spans="2:3" ht="46" customHeight="1">
      <c r="B26" s="3" t="s">
        <v>38</v>
      </c>
      <c r="C26" s="4" t="s">
        <v>39</v>
      </c>
    </row>
    <row r="27" spans="2:3" ht="46" customHeight="1">
      <c r="B27" s="3" t="s">
        <v>40</v>
      </c>
      <c r="C27" s="4" t="s">
        <v>41</v>
      </c>
    </row>
    <row r="28" spans="2:3" ht="46" customHeight="1">
      <c r="B28" s="3" t="s">
        <v>42</v>
      </c>
      <c r="C28" s="4" t="s">
        <v>43</v>
      </c>
    </row>
    <row r="29" spans="2:3" ht="46" customHeight="1">
      <c r="B29" s="3" t="s">
        <v>44</v>
      </c>
      <c r="C29" s="4" t="s">
        <v>45</v>
      </c>
    </row>
    <row r="30" spans="2:3" ht="46" customHeight="1">
      <c r="B30" s="3" t="s">
        <v>46</v>
      </c>
      <c r="C30" s="4" t="s">
        <v>47</v>
      </c>
    </row>
    <row r="31" spans="2:3" ht="46" customHeight="1">
      <c r="B31" s="3" t="s">
        <v>48</v>
      </c>
      <c r="C31" s="4" t="s">
        <v>49</v>
      </c>
    </row>
    <row r="32" spans="2:3" ht="46" customHeight="1">
      <c r="B32" s="3" t="s">
        <v>50</v>
      </c>
      <c r="C32" s="4" t="s">
        <v>51</v>
      </c>
    </row>
    <row r="34" spans="2:3">
      <c r="B34" s="5" t="s">
        <v>52</v>
      </c>
    </row>
    <row r="35" spans="2:3">
      <c r="B35" s="3" t="s">
        <v>21</v>
      </c>
      <c r="C35" s="4" t="s">
        <v>53</v>
      </c>
    </row>
    <row r="36" spans="2:3">
      <c r="B36" s="3" t="s">
        <v>23</v>
      </c>
      <c r="C36" s="4" t="s">
        <v>54</v>
      </c>
    </row>
    <row r="37" spans="2:3">
      <c r="B37" s="3" t="s">
        <v>25</v>
      </c>
      <c r="C37" s="4" t="s">
        <v>55</v>
      </c>
    </row>
    <row r="38" spans="2:3">
      <c r="B38" s="3" t="s">
        <v>56</v>
      </c>
      <c r="C38" s="4" t="s">
        <v>57</v>
      </c>
    </row>
    <row r="39" spans="2:3">
      <c r="B39" s="3" t="s">
        <v>58</v>
      </c>
      <c r="C39" s="4" t="s">
        <v>59</v>
      </c>
    </row>
    <row r="40" spans="2:3">
      <c r="B40" s="3" t="s">
        <v>60</v>
      </c>
      <c r="C40" s="4" t="s">
        <v>61</v>
      </c>
    </row>
    <row r="41" spans="2:3">
      <c r="B41" s="3" t="s">
        <v>62</v>
      </c>
      <c r="C41" s="4" t="s">
        <v>63</v>
      </c>
    </row>
    <row r="42" spans="2:3">
      <c r="B42" s="3" t="s">
        <v>64</v>
      </c>
      <c r="C42" s="4" t="s">
        <v>65</v>
      </c>
    </row>
    <row r="43" spans="2:3">
      <c r="B43" s="3" t="s">
        <v>66</v>
      </c>
      <c r="C43" s="4" t="s">
        <v>67</v>
      </c>
    </row>
    <row r="44" spans="2:3">
      <c r="B44" s="3" t="s">
        <v>68</v>
      </c>
      <c r="C44" s="4" t="s">
        <v>69</v>
      </c>
    </row>
    <row r="45" spans="2:3">
      <c r="B45" s="3" t="s">
        <v>70</v>
      </c>
      <c r="C45" s="4" t="s">
        <v>71</v>
      </c>
    </row>
    <row r="46" spans="2:3">
      <c r="B46" s="3" t="s">
        <v>72</v>
      </c>
      <c r="C46" s="4" t="s">
        <v>73</v>
      </c>
    </row>
    <row r="47" spans="2:3">
      <c r="B47" s="3" t="s">
        <v>74</v>
      </c>
      <c r="C47" s="4" t="s">
        <v>75</v>
      </c>
    </row>
    <row r="49" spans="2:3">
      <c r="B49" s="5" t="s">
        <v>16</v>
      </c>
    </row>
    <row r="50" spans="2:3">
      <c r="B50" s="3" t="s">
        <v>76</v>
      </c>
      <c r="C50" s="4" t="s">
        <v>77</v>
      </c>
    </row>
    <row r="51" spans="2:3">
      <c r="B51" s="4" t="s">
        <v>78</v>
      </c>
      <c r="C51" s="4" t="s">
        <v>79</v>
      </c>
    </row>
    <row r="52" spans="2:3">
      <c r="B52" s="4" t="s">
        <v>80</v>
      </c>
      <c r="C52" s="4" t="s">
        <v>81</v>
      </c>
    </row>
    <row r="53" spans="2:3">
      <c r="B53" s="4" t="s">
        <v>82</v>
      </c>
      <c r="C53" s="4" t="s">
        <v>83</v>
      </c>
    </row>
    <row r="54" spans="2:3">
      <c r="B54" s="4" t="s">
        <v>84</v>
      </c>
      <c r="C54" s="4" t="s">
        <v>85</v>
      </c>
    </row>
    <row r="55" spans="2:3">
      <c r="B55" s="4" t="s">
        <v>86</v>
      </c>
      <c r="C55" s="4" t="s">
        <v>87</v>
      </c>
    </row>
    <row r="56" spans="2:3">
      <c r="B56" s="4" t="s">
        <v>88</v>
      </c>
      <c r="C56" s="4" t="s">
        <v>89</v>
      </c>
    </row>
    <row r="57" spans="2:3">
      <c r="B57" s="4" t="s">
        <v>90</v>
      </c>
      <c r="C57" s="4" t="s">
        <v>91</v>
      </c>
    </row>
    <row r="58" spans="2:3">
      <c r="B58" s="4" t="s">
        <v>92</v>
      </c>
      <c r="C58" s="4" t="s">
        <v>93</v>
      </c>
    </row>
    <row r="59" spans="2:3">
      <c r="B59" s="4" t="s">
        <v>94</v>
      </c>
      <c r="C59" s="4" t="s">
        <v>95</v>
      </c>
    </row>
    <row r="60" spans="2:3">
      <c r="B60" s="4" t="s">
        <v>96</v>
      </c>
      <c r="C60" s="4" t="s">
        <v>97</v>
      </c>
    </row>
    <row r="61" spans="2:3">
      <c r="B61" s="4" t="s">
        <v>98</v>
      </c>
      <c r="C61" s="4" t="s">
        <v>99</v>
      </c>
    </row>
    <row r="62" spans="2:3">
      <c r="B62" s="4" t="s">
        <v>100</v>
      </c>
      <c r="C62" s="4" t="s">
        <v>101</v>
      </c>
    </row>
    <row r="63" spans="2:3">
      <c r="B63" s="4" t="s">
        <v>102</v>
      </c>
      <c r="C63" s="4" t="s">
        <v>103</v>
      </c>
    </row>
    <row r="64" spans="2:3">
      <c r="B64" s="4" t="s">
        <v>104</v>
      </c>
      <c r="C64" s="4" t="s">
        <v>105</v>
      </c>
    </row>
    <row r="65" spans="2:3">
      <c r="B65" s="4" t="s">
        <v>106</v>
      </c>
      <c r="C65" s="4" t="s">
        <v>107</v>
      </c>
    </row>
    <row r="66" spans="2:3">
      <c r="B66" s="4" t="s">
        <v>108</v>
      </c>
      <c r="C66" s="4" t="s">
        <v>109</v>
      </c>
    </row>
    <row r="67" spans="2:3">
      <c r="B67" s="4" t="s">
        <v>110</v>
      </c>
      <c r="C67" s="4" t="s">
        <v>111</v>
      </c>
    </row>
    <row r="68" spans="2:3">
      <c r="B68" s="4" t="s">
        <v>112</v>
      </c>
      <c r="C68" s="4" t="s">
        <v>113</v>
      </c>
    </row>
    <row r="69" spans="2:3">
      <c r="B69" s="4" t="s">
        <v>114</v>
      </c>
      <c r="C69" s="4" t="s">
        <v>115</v>
      </c>
    </row>
    <row r="70" spans="2:3">
      <c r="B70" s="4" t="s">
        <v>116</v>
      </c>
      <c r="C70" s="4" t="s">
        <v>117</v>
      </c>
    </row>
    <row r="71" spans="2:3">
      <c r="B71" s="4" t="s">
        <v>118</v>
      </c>
      <c r="C71" s="4" t="s">
        <v>117</v>
      </c>
    </row>
    <row r="72" spans="2:3">
      <c r="B72" s="4" t="s">
        <v>119</v>
      </c>
      <c r="C72" s="4" t="s">
        <v>120</v>
      </c>
    </row>
    <row r="73" spans="2:3">
      <c r="B73" s="4" t="s">
        <v>121</v>
      </c>
      <c r="C73" s="4" t="s">
        <v>122</v>
      </c>
    </row>
    <row r="74" spans="2:3">
      <c r="B74" s="4" t="s">
        <v>123</v>
      </c>
      <c r="C74" s="4" t="s">
        <v>124</v>
      </c>
    </row>
    <row r="75" spans="2:3">
      <c r="B75" s="4" t="s">
        <v>125</v>
      </c>
      <c r="C75" s="4" t="s">
        <v>126</v>
      </c>
    </row>
    <row r="76" spans="2:3">
      <c r="B76" s="4" t="s">
        <v>127</v>
      </c>
      <c r="C76" s="4" t="s">
        <v>128</v>
      </c>
    </row>
    <row r="77" spans="2:3">
      <c r="B77" s="4" t="s">
        <v>129</v>
      </c>
      <c r="C77" s="4" t="s">
        <v>130</v>
      </c>
    </row>
    <row r="78" spans="2:3">
      <c r="B78" s="4" t="s">
        <v>131</v>
      </c>
      <c r="C78" s="4" t="s">
        <v>132</v>
      </c>
    </row>
    <row r="79" spans="2:3">
      <c r="B79" s="4" t="s">
        <v>133</v>
      </c>
      <c r="C79" s="4" t="s">
        <v>134</v>
      </c>
    </row>
    <row r="80" spans="2:3">
      <c r="B80" s="4" t="s">
        <v>135</v>
      </c>
      <c r="C80" s="4" t="s">
        <v>136</v>
      </c>
    </row>
    <row r="81" spans="2:3">
      <c r="B81" s="4" t="s">
        <v>137</v>
      </c>
      <c r="C81" s="4" t="s">
        <v>138</v>
      </c>
    </row>
    <row r="82" spans="2:3">
      <c r="B82" s="4" t="s">
        <v>139</v>
      </c>
      <c r="C82" s="4" t="s">
        <v>140</v>
      </c>
    </row>
    <row r="83" spans="2:3">
      <c r="B83" s="4" t="s">
        <v>141</v>
      </c>
      <c r="C83" s="4" t="s">
        <v>142</v>
      </c>
    </row>
    <row r="84" spans="2:3">
      <c r="B84" s="4" t="s">
        <v>143</v>
      </c>
      <c r="C84" s="4" t="s">
        <v>144</v>
      </c>
    </row>
    <row r="85" spans="2:3">
      <c r="B85" s="4" t="s">
        <v>145</v>
      </c>
      <c r="C85" s="4" t="s">
        <v>146</v>
      </c>
    </row>
    <row r="86" spans="2:3">
      <c r="B86" s="4" t="s">
        <v>147</v>
      </c>
      <c r="C86" s="4" t="s">
        <v>148</v>
      </c>
    </row>
    <row r="87" spans="2:3">
      <c r="B87" s="4" t="s">
        <v>149</v>
      </c>
      <c r="C87" s="4" t="s">
        <v>150</v>
      </c>
    </row>
    <row r="88" spans="2:3">
      <c r="B88" s="4" t="s">
        <v>151</v>
      </c>
      <c r="C88" s="4" t="s">
        <v>152</v>
      </c>
    </row>
    <row r="89" spans="2:3">
      <c r="B89" s="4" t="s">
        <v>153</v>
      </c>
      <c r="C89" s="4" t="s">
        <v>154</v>
      </c>
    </row>
    <row r="91" spans="2:3">
      <c r="B91" s="6" t="s">
        <v>155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22D3EE"/>
    <pageSetUpPr fitToPage="1"/>
  </sheetPr>
  <dimension ref="A4:ED400"/>
  <sheetViews>
    <sheetView showGridLines="0" showRowColHeaders="0" tabSelected="1" zoomScale="90" zoomScaleNormal="90" workbookViewId="0"/>
  </sheetViews>
  <sheetFormatPr defaultRowHeight="15"/>
  <cols>
    <col min="1" max="134" width="2.85546875" style="7" customWidth="1"/>
  </cols>
  <sheetData>
    <row r="4" spans="33:76">
      <c r="AU4" s="8" t="s">
        <v>1144</v>
      </c>
      <c r="AV4" s="8"/>
      <c r="AW4" s="8"/>
      <c r="AX4" s="8"/>
      <c r="BE4" s="8" t="s">
        <v>1145</v>
      </c>
      <c r="BF4" s="8"/>
      <c r="BG4" s="8"/>
      <c r="BH4" s="8"/>
      <c r="BI4" s="8"/>
      <c r="BJ4" s="8"/>
      <c r="BK4" s="8"/>
      <c r="BL4" s="8"/>
      <c r="BM4" s="8"/>
    </row>
    <row r="8" spans="33:76">
      <c r="AG8" s="8" t="s">
        <v>456</v>
      </c>
      <c r="AH8" s="8"/>
      <c r="AI8" s="8"/>
      <c r="AJ8" s="8"/>
      <c r="AK8" s="8"/>
      <c r="AL8" s="8"/>
      <c r="AM8" s="8"/>
      <c r="AN8" s="8"/>
      <c r="BR8" s="8" t="s">
        <v>1146</v>
      </c>
      <c r="BS8" s="8"/>
      <c r="BT8" s="8"/>
      <c r="BU8" s="8"/>
      <c r="BV8" s="8"/>
      <c r="BW8" s="8"/>
      <c r="BX8" s="8"/>
    </row>
    <row r="93" spans="2:43">
      <c r="B93" s="9" t="s">
        <v>1142</v>
      </c>
    </row>
    <row r="94" spans="2:43">
      <c r="B94" s="10" t="s">
        <v>1143</v>
      </c>
    </row>
    <row r="96" spans="2:43">
      <c r="B96" s="11" t="s">
        <v>1147</v>
      </c>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row>
    <row r="97" spans="2:43">
      <c r="B97" s="12"/>
      <c r="C97" s="12"/>
      <c r="D97" s="12"/>
      <c r="E97" s="12"/>
      <c r="F97" s="12"/>
      <c r="G97" s="12"/>
      <c r="H97" s="12"/>
      <c r="I97" s="12"/>
      <c r="J97" s="12"/>
      <c r="K97" s="12"/>
      <c r="L97" s="12"/>
      <c r="M97" s="12"/>
      <c r="N97" s="12" t="s">
        <v>753</v>
      </c>
      <c r="O97" s="12"/>
      <c r="P97" s="12"/>
      <c r="Q97" s="12"/>
      <c r="R97" s="12"/>
      <c r="S97" s="12"/>
      <c r="T97" s="12" t="s">
        <v>1148</v>
      </c>
      <c r="U97" s="12"/>
      <c r="V97" s="12"/>
      <c r="W97" s="12"/>
      <c r="X97" s="12"/>
      <c r="Y97" s="12"/>
      <c r="Z97" s="12" t="s">
        <v>1149</v>
      </c>
      <c r="AA97" s="12"/>
      <c r="AB97" s="12"/>
      <c r="AC97" s="12"/>
      <c r="AD97" s="12"/>
      <c r="AE97" s="12"/>
      <c r="AF97" s="12" t="s">
        <v>60</v>
      </c>
      <c r="AG97" s="12"/>
      <c r="AH97" s="12"/>
      <c r="AI97" s="12"/>
      <c r="AJ97" s="12"/>
      <c r="AK97" s="12"/>
      <c r="AL97" s="12" t="s">
        <v>1150</v>
      </c>
      <c r="AM97" s="12"/>
      <c r="AN97" s="12"/>
      <c r="AO97" s="12"/>
      <c r="AP97" s="12"/>
      <c r="AQ97" s="12"/>
    </row>
    <row r="98" spans="2:43">
      <c r="B98" s="13" t="s">
        <v>1151</v>
      </c>
      <c r="C98" s="13"/>
      <c r="D98" s="13"/>
      <c r="E98" s="13"/>
      <c r="F98" s="13"/>
      <c r="G98" s="13"/>
      <c r="H98" s="13"/>
      <c r="I98" s="13"/>
      <c r="J98" s="13"/>
      <c r="K98" s="13"/>
      <c r="L98" s="13"/>
      <c r="M98" s="13"/>
      <c r="N98" s="14" t="s">
        <v>159</v>
      </c>
      <c r="O98" s="14"/>
      <c r="P98" s="14"/>
      <c r="Q98" s="14"/>
      <c r="R98" s="14"/>
      <c r="S98" s="14"/>
      <c r="T98" s="14" t="s">
        <v>1144</v>
      </c>
      <c r="U98" s="14"/>
      <c r="V98" s="14"/>
      <c r="W98" s="14"/>
      <c r="X98" s="14"/>
      <c r="Y98" s="14"/>
      <c r="Z98" s="14" t="s">
        <v>456</v>
      </c>
      <c r="AA98" s="14"/>
      <c r="AB98" s="14"/>
      <c r="AC98" s="14"/>
      <c r="AD98" s="14"/>
      <c r="AE98" s="14"/>
      <c r="AF98" s="14" t="s">
        <v>1145</v>
      </c>
      <c r="AG98" s="14"/>
      <c r="AH98" s="14"/>
      <c r="AI98" s="14"/>
      <c r="AJ98" s="14"/>
      <c r="AK98" s="14"/>
      <c r="AL98" s="14" t="s">
        <v>1146</v>
      </c>
      <c r="AM98" s="14"/>
      <c r="AN98" s="14"/>
      <c r="AO98" s="14"/>
      <c r="AP98" s="14"/>
      <c r="AQ98" s="14"/>
    </row>
    <row r="99" spans="2:43">
      <c r="B99" s="13" t="s">
        <v>1152</v>
      </c>
      <c r="C99" s="13"/>
      <c r="D99" s="13"/>
      <c r="E99" s="13"/>
      <c r="F99" s="13"/>
      <c r="G99" s="13"/>
      <c r="H99" s="13"/>
      <c r="I99" s="13"/>
      <c r="J99" s="13"/>
      <c r="K99" s="13"/>
      <c r="L99" s="13"/>
      <c r="M99" s="13"/>
      <c r="N99" s="14" t="s">
        <v>160</v>
      </c>
      <c r="O99" s="14"/>
      <c r="P99" s="14"/>
      <c r="Q99" s="14"/>
      <c r="R99" s="14"/>
      <c r="S99" s="14"/>
      <c r="T99" s="14" t="s">
        <v>1153</v>
      </c>
      <c r="U99" s="14"/>
      <c r="V99" s="14"/>
      <c r="W99" s="14"/>
      <c r="X99" s="14"/>
      <c r="Y99" s="14"/>
      <c r="Z99" s="14" t="s">
        <v>1154</v>
      </c>
      <c r="AA99" s="14"/>
      <c r="AB99" s="14"/>
      <c r="AC99" s="14"/>
      <c r="AD99" s="14"/>
      <c r="AE99" s="14"/>
      <c r="AF99" s="14" t="s">
        <v>479</v>
      </c>
      <c r="AG99" s="14"/>
      <c r="AH99" s="14"/>
      <c r="AI99" s="14"/>
      <c r="AJ99" s="14"/>
      <c r="AK99" s="14"/>
      <c r="AL99" s="14" t="s">
        <v>1155</v>
      </c>
      <c r="AM99" s="14"/>
      <c r="AN99" s="14"/>
      <c r="AO99" s="14"/>
      <c r="AP99" s="14"/>
      <c r="AQ99" s="14"/>
    </row>
    <row r="100" spans="2:43">
      <c r="B100" s="13" t="s">
        <v>1156</v>
      </c>
      <c r="C100" s="13"/>
      <c r="D100" s="13"/>
      <c r="E100" s="13"/>
      <c r="F100" s="13"/>
      <c r="G100" s="13"/>
      <c r="H100" s="13"/>
      <c r="I100" s="13"/>
      <c r="J100" s="13"/>
      <c r="K100" s="13"/>
      <c r="L100" s="13"/>
      <c r="M100" s="13"/>
      <c r="N100" s="14" t="s">
        <v>161</v>
      </c>
      <c r="O100" s="14"/>
      <c r="P100" s="14"/>
      <c r="Q100" s="14"/>
      <c r="R100" s="14"/>
      <c r="S100" s="14"/>
      <c r="T100" s="14" t="s">
        <v>1157</v>
      </c>
      <c r="U100" s="14"/>
      <c r="V100" s="14"/>
      <c r="W100" s="14"/>
      <c r="X100" s="14"/>
      <c r="Y100" s="14"/>
      <c r="Z100" s="14" t="s">
        <v>469</v>
      </c>
      <c r="AA100" s="14"/>
      <c r="AB100" s="14"/>
      <c r="AC100" s="14"/>
      <c r="AD100" s="14"/>
      <c r="AE100" s="14"/>
      <c r="AF100" s="14" t="s">
        <v>498</v>
      </c>
      <c r="AG100" s="14"/>
      <c r="AH100" s="14"/>
      <c r="AI100" s="14"/>
      <c r="AJ100" s="14"/>
      <c r="AK100" s="14"/>
      <c r="AL100" s="14"/>
      <c r="AM100" s="14"/>
      <c r="AN100" s="14"/>
      <c r="AO100" s="14"/>
      <c r="AP100" s="14"/>
      <c r="AQ100" s="14"/>
    </row>
    <row r="101" spans="2:43">
      <c r="B101" s="13" t="s">
        <v>1158</v>
      </c>
      <c r="C101" s="13"/>
      <c r="D101" s="13"/>
      <c r="E101" s="13"/>
      <c r="F101" s="13"/>
      <c r="G101" s="13"/>
      <c r="H101" s="13"/>
      <c r="I101" s="13"/>
      <c r="J101" s="13"/>
      <c r="K101" s="13"/>
      <c r="L101" s="13"/>
      <c r="M101" s="13"/>
      <c r="N101" s="14" t="s">
        <v>162</v>
      </c>
      <c r="O101" s="14"/>
      <c r="P101" s="14"/>
      <c r="Q101" s="14"/>
      <c r="R101" s="14"/>
      <c r="S101" s="14"/>
      <c r="T101" s="14" t="s">
        <v>1159</v>
      </c>
      <c r="U101" s="14"/>
      <c r="V101" s="14"/>
      <c r="W101" s="14"/>
      <c r="X101" s="14"/>
      <c r="Y101" s="14"/>
      <c r="Z101" s="14" t="s">
        <v>617</v>
      </c>
      <c r="AA101" s="14"/>
      <c r="AB101" s="14"/>
      <c r="AC101" s="14"/>
      <c r="AD101" s="14"/>
      <c r="AE101" s="14"/>
      <c r="AF101" s="14"/>
      <c r="AG101" s="14"/>
      <c r="AH101" s="14"/>
      <c r="AI101" s="14"/>
      <c r="AJ101" s="14"/>
      <c r="AK101" s="14"/>
      <c r="AL101" s="14"/>
      <c r="AM101" s="14"/>
      <c r="AN101" s="14"/>
      <c r="AO101" s="14"/>
      <c r="AP101" s="14"/>
      <c r="AQ101" s="14"/>
    </row>
    <row r="102" spans="2:43">
      <c r="B102" s="13" t="s">
        <v>1160</v>
      </c>
      <c r="C102" s="13"/>
      <c r="D102" s="13"/>
      <c r="E102" s="13"/>
      <c r="F102" s="13"/>
      <c r="G102" s="13"/>
      <c r="H102" s="13"/>
      <c r="I102" s="13"/>
      <c r="J102" s="13"/>
      <c r="K102" s="13"/>
      <c r="L102" s="13"/>
      <c r="M102" s="13"/>
      <c r="N102" s="14" t="s">
        <v>163</v>
      </c>
      <c r="O102" s="14"/>
      <c r="P102" s="14"/>
      <c r="Q102" s="14"/>
      <c r="R102" s="14"/>
      <c r="S102" s="14"/>
      <c r="T102" s="14" t="s">
        <v>1161</v>
      </c>
      <c r="U102" s="14"/>
      <c r="V102" s="14"/>
      <c r="W102" s="14"/>
      <c r="X102" s="14"/>
      <c r="Y102" s="14"/>
      <c r="Z102" s="14" t="s">
        <v>458</v>
      </c>
      <c r="AA102" s="14"/>
      <c r="AB102" s="14"/>
      <c r="AC102" s="14"/>
      <c r="AD102" s="14"/>
      <c r="AE102" s="14"/>
      <c r="AF102" s="14"/>
      <c r="AG102" s="14"/>
      <c r="AH102" s="14"/>
      <c r="AI102" s="14"/>
      <c r="AJ102" s="14"/>
      <c r="AK102" s="14"/>
      <c r="AL102" s="14"/>
      <c r="AM102" s="14"/>
      <c r="AN102" s="14"/>
      <c r="AO102" s="14"/>
      <c r="AP102" s="14"/>
      <c r="AQ102" s="14"/>
    </row>
    <row r="103" spans="2:43">
      <c r="B103" s="13" t="s">
        <v>1162</v>
      </c>
      <c r="C103" s="13"/>
      <c r="D103" s="13"/>
      <c r="E103" s="13"/>
      <c r="F103" s="13"/>
      <c r="G103" s="13"/>
      <c r="H103" s="13"/>
      <c r="I103" s="13"/>
      <c r="J103" s="13"/>
      <c r="K103" s="13"/>
      <c r="L103" s="13"/>
      <c r="M103" s="13"/>
      <c r="N103" s="14" t="s">
        <v>164</v>
      </c>
      <c r="O103" s="14"/>
      <c r="P103" s="14"/>
      <c r="Q103" s="14"/>
      <c r="R103" s="14"/>
      <c r="S103" s="14"/>
      <c r="T103" s="14" t="s">
        <v>1163</v>
      </c>
      <c r="U103" s="14"/>
      <c r="V103" s="14"/>
      <c r="W103" s="14"/>
      <c r="X103" s="14"/>
      <c r="Y103" s="14"/>
      <c r="Z103" s="14" t="s">
        <v>1140</v>
      </c>
      <c r="AA103" s="14"/>
      <c r="AB103" s="14"/>
      <c r="AC103" s="14"/>
      <c r="AD103" s="14"/>
      <c r="AE103" s="14"/>
      <c r="AF103" s="14"/>
      <c r="AG103" s="14"/>
      <c r="AH103" s="14"/>
      <c r="AI103" s="14"/>
      <c r="AJ103" s="14"/>
      <c r="AK103" s="14"/>
      <c r="AL103" s="14"/>
      <c r="AM103" s="14"/>
      <c r="AN103" s="14"/>
      <c r="AO103" s="14"/>
      <c r="AP103" s="14"/>
      <c r="AQ103" s="14"/>
    </row>
    <row r="104" spans="2:43">
      <c r="B104" s="13" t="s">
        <v>1164</v>
      </c>
      <c r="C104" s="13"/>
      <c r="D104" s="13"/>
      <c r="E104" s="13"/>
      <c r="F104" s="13"/>
      <c r="G104" s="13"/>
      <c r="H104" s="13"/>
      <c r="I104" s="13"/>
      <c r="J104" s="13"/>
      <c r="K104" s="13"/>
      <c r="L104" s="13"/>
      <c r="M104" s="13"/>
      <c r="N104" s="14" t="s">
        <v>165</v>
      </c>
      <c r="O104" s="14"/>
      <c r="P104" s="14"/>
      <c r="Q104" s="14"/>
      <c r="R104" s="14"/>
      <c r="S104" s="14"/>
      <c r="T104" s="14" t="s">
        <v>1165</v>
      </c>
      <c r="U104" s="14"/>
      <c r="V104" s="14"/>
      <c r="W104" s="14"/>
      <c r="X104" s="14"/>
      <c r="Y104" s="14"/>
      <c r="Z104" s="14" t="s">
        <v>616</v>
      </c>
      <c r="AA104" s="14"/>
      <c r="AB104" s="14"/>
      <c r="AC104" s="14"/>
      <c r="AD104" s="14"/>
      <c r="AE104" s="14"/>
      <c r="AF104" s="14"/>
      <c r="AG104" s="14"/>
      <c r="AH104" s="14"/>
      <c r="AI104" s="14"/>
      <c r="AJ104" s="14"/>
      <c r="AK104" s="14"/>
      <c r="AL104" s="14"/>
      <c r="AM104" s="14"/>
      <c r="AN104" s="14"/>
      <c r="AO104" s="14"/>
      <c r="AP104" s="14"/>
      <c r="AQ104" s="14"/>
    </row>
    <row r="105" spans="2:43">
      <c r="B105" s="13" t="s">
        <v>1166</v>
      </c>
      <c r="C105" s="13"/>
      <c r="D105" s="13"/>
      <c r="E105" s="13"/>
      <c r="F105" s="13"/>
      <c r="G105" s="13"/>
      <c r="H105" s="13"/>
      <c r="I105" s="13"/>
      <c r="J105" s="13"/>
      <c r="K105" s="13"/>
      <c r="L105" s="13"/>
      <c r="M105" s="13"/>
      <c r="N105" s="14" t="s">
        <v>166</v>
      </c>
      <c r="O105" s="14"/>
      <c r="P105" s="14"/>
      <c r="Q105" s="14"/>
      <c r="R105" s="14"/>
      <c r="S105" s="14"/>
      <c r="T105" s="14" t="s">
        <v>1167</v>
      </c>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row>
    <row r="106" spans="2:43">
      <c r="B106" s="13" t="s">
        <v>1168</v>
      </c>
      <c r="C106" s="13"/>
      <c r="D106" s="13"/>
      <c r="E106" s="13"/>
      <c r="F106" s="13"/>
      <c r="G106" s="13"/>
      <c r="H106" s="13"/>
      <c r="I106" s="13"/>
      <c r="J106" s="13"/>
      <c r="K106" s="13"/>
      <c r="L106" s="13"/>
      <c r="M106" s="13"/>
      <c r="N106" s="14" t="s">
        <v>167</v>
      </c>
      <c r="O106" s="14"/>
      <c r="P106" s="14"/>
      <c r="Q106" s="14"/>
      <c r="R106" s="14"/>
      <c r="S106" s="14"/>
      <c r="T106" s="14" t="s">
        <v>1169</v>
      </c>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row>
    <row r="107" spans="2:43">
      <c r="B107" s="13" t="s">
        <v>1170</v>
      </c>
      <c r="C107" s="13"/>
      <c r="D107" s="13"/>
      <c r="E107" s="13"/>
      <c r="F107" s="13"/>
      <c r="G107" s="13"/>
      <c r="H107" s="13"/>
      <c r="I107" s="13"/>
      <c r="J107" s="13"/>
      <c r="K107" s="13"/>
      <c r="L107" s="13"/>
      <c r="M107" s="13"/>
      <c r="N107" s="14" t="s">
        <v>168</v>
      </c>
      <c r="O107" s="14"/>
      <c r="P107" s="14"/>
      <c r="Q107" s="14"/>
      <c r="R107" s="14"/>
      <c r="S107" s="14"/>
      <c r="T107" s="14" t="s">
        <v>1171</v>
      </c>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row>
    <row r="108" spans="2:43">
      <c r="B108" s="13" t="s">
        <v>1172</v>
      </c>
      <c r="C108" s="13"/>
      <c r="D108" s="13"/>
      <c r="E108" s="13"/>
      <c r="F108" s="13"/>
      <c r="G108" s="13"/>
      <c r="H108" s="13"/>
      <c r="I108" s="13"/>
      <c r="J108" s="13"/>
      <c r="K108" s="13"/>
      <c r="L108" s="13"/>
      <c r="M108" s="13"/>
      <c r="N108" s="14" t="s">
        <v>169</v>
      </c>
      <c r="O108" s="14"/>
      <c r="P108" s="14"/>
      <c r="Q108" s="14"/>
      <c r="R108" s="14"/>
      <c r="S108" s="14"/>
      <c r="T108" s="14" t="s">
        <v>1173</v>
      </c>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row>
    <row r="109" spans="2:43">
      <c r="B109" s="13" t="s">
        <v>1174</v>
      </c>
      <c r="C109" s="13"/>
      <c r="D109" s="13"/>
      <c r="E109" s="13"/>
      <c r="F109" s="13"/>
      <c r="G109" s="13"/>
      <c r="H109" s="13"/>
      <c r="I109" s="13"/>
      <c r="J109" s="13"/>
      <c r="K109" s="13"/>
      <c r="L109" s="13"/>
      <c r="M109" s="13"/>
      <c r="N109" s="14" t="s">
        <v>170</v>
      </c>
      <c r="O109" s="14"/>
      <c r="P109" s="14"/>
      <c r="Q109" s="14"/>
      <c r="R109" s="14"/>
      <c r="S109" s="14"/>
      <c r="T109" s="14" t="s">
        <v>1175</v>
      </c>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row>
    <row r="110" spans="2:43">
      <c r="B110" s="13" t="s">
        <v>1176</v>
      </c>
      <c r="C110" s="13"/>
      <c r="D110" s="13"/>
      <c r="E110" s="13"/>
      <c r="F110" s="13"/>
      <c r="G110" s="13"/>
      <c r="H110" s="13"/>
      <c r="I110" s="13"/>
      <c r="J110" s="13"/>
      <c r="K110" s="13"/>
      <c r="L110" s="13"/>
      <c r="M110" s="13"/>
      <c r="N110" s="14" t="s">
        <v>171</v>
      </c>
      <c r="O110" s="14"/>
      <c r="P110" s="14"/>
      <c r="Q110" s="14"/>
      <c r="R110" s="14"/>
      <c r="S110" s="14"/>
      <c r="T110" s="14" t="s">
        <v>1177</v>
      </c>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row>
    <row r="111" spans="2:43">
      <c r="B111" s="13" t="s">
        <v>1177</v>
      </c>
      <c r="C111" s="13"/>
      <c r="D111" s="13"/>
      <c r="E111" s="13"/>
      <c r="F111" s="13"/>
      <c r="G111" s="13"/>
      <c r="H111" s="13"/>
      <c r="I111" s="13"/>
      <c r="J111" s="13"/>
      <c r="K111" s="13"/>
      <c r="L111" s="13"/>
      <c r="M111" s="13"/>
      <c r="N111" s="14" t="s">
        <v>172</v>
      </c>
      <c r="O111" s="14"/>
      <c r="P111" s="14"/>
      <c r="Q111" s="14"/>
      <c r="R111" s="14"/>
      <c r="S111" s="14"/>
      <c r="T111" s="14" t="s">
        <v>1176</v>
      </c>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row>
    <row r="112" spans="2:43">
      <c r="B112" s="13" t="s">
        <v>1175</v>
      </c>
      <c r="C112" s="13"/>
      <c r="D112" s="13"/>
      <c r="E112" s="13"/>
      <c r="F112" s="13"/>
      <c r="G112" s="13"/>
      <c r="H112" s="13"/>
      <c r="I112" s="13"/>
      <c r="J112" s="13"/>
      <c r="K112" s="13"/>
      <c r="L112" s="13"/>
      <c r="M112" s="13"/>
      <c r="N112" s="14" t="s">
        <v>173</v>
      </c>
      <c r="O112" s="14"/>
      <c r="P112" s="14"/>
      <c r="Q112" s="14"/>
      <c r="R112" s="14"/>
      <c r="S112" s="14"/>
      <c r="T112" s="14" t="s">
        <v>1174</v>
      </c>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row>
    <row r="113" spans="2:43">
      <c r="B113" s="13" t="s">
        <v>1173</v>
      </c>
      <c r="C113" s="13"/>
      <c r="D113" s="13"/>
      <c r="E113" s="13"/>
      <c r="F113" s="13"/>
      <c r="G113" s="13"/>
      <c r="H113" s="13"/>
      <c r="I113" s="13"/>
      <c r="J113" s="13"/>
      <c r="K113" s="13"/>
      <c r="L113" s="13"/>
      <c r="M113" s="13"/>
      <c r="N113" s="14" t="s">
        <v>174</v>
      </c>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row>
    <row r="114" spans="2:43">
      <c r="B114" s="13" t="s">
        <v>1171</v>
      </c>
      <c r="C114" s="13"/>
      <c r="D114" s="13"/>
      <c r="E114" s="13"/>
      <c r="F114" s="13"/>
      <c r="G114" s="13"/>
      <c r="H114" s="13"/>
      <c r="I114" s="13"/>
      <c r="J114" s="13"/>
      <c r="K114" s="13"/>
      <c r="L114" s="13"/>
      <c r="M114" s="13"/>
      <c r="N114" s="14" t="s">
        <v>175</v>
      </c>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row>
    <row r="115" spans="2:43">
      <c r="B115" s="13" t="s">
        <v>1169</v>
      </c>
      <c r="C115" s="13"/>
      <c r="D115" s="13"/>
      <c r="E115" s="13"/>
      <c r="F115" s="13"/>
      <c r="G115" s="13"/>
      <c r="H115" s="13"/>
      <c r="I115" s="13"/>
      <c r="J115" s="13"/>
      <c r="K115" s="13"/>
      <c r="L115" s="13"/>
      <c r="M115" s="13"/>
      <c r="N115" s="14" t="s">
        <v>176</v>
      </c>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row>
    <row r="116" spans="2:43">
      <c r="B116" s="13" t="s">
        <v>1167</v>
      </c>
      <c r="C116" s="13"/>
      <c r="D116" s="13"/>
      <c r="E116" s="13"/>
      <c r="F116" s="13"/>
      <c r="G116" s="13"/>
      <c r="H116" s="13"/>
      <c r="I116" s="13"/>
      <c r="J116" s="13"/>
      <c r="K116" s="13"/>
      <c r="L116" s="13"/>
      <c r="M116" s="13"/>
      <c r="N116" s="14" t="s">
        <v>177</v>
      </c>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row>
    <row r="117" spans="2:43">
      <c r="B117" s="13" t="s">
        <v>1165</v>
      </c>
      <c r="C117" s="13"/>
      <c r="D117" s="13"/>
      <c r="E117" s="13"/>
      <c r="F117" s="13"/>
      <c r="G117" s="13"/>
      <c r="H117" s="13"/>
      <c r="I117" s="13"/>
      <c r="J117" s="13"/>
      <c r="K117" s="13"/>
      <c r="L117" s="13"/>
      <c r="M117" s="13"/>
      <c r="N117" s="14" t="s">
        <v>178</v>
      </c>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row>
    <row r="118" spans="2:43">
      <c r="B118" s="13" t="s">
        <v>1163</v>
      </c>
      <c r="C118" s="13"/>
      <c r="D118" s="13"/>
      <c r="E118" s="13"/>
      <c r="F118" s="13"/>
      <c r="G118" s="13"/>
      <c r="H118" s="13"/>
      <c r="I118" s="13"/>
      <c r="J118" s="13"/>
      <c r="K118" s="13"/>
      <c r="L118" s="13"/>
      <c r="M118" s="13"/>
      <c r="N118" s="14" t="s">
        <v>179</v>
      </c>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row>
    <row r="119" spans="2:43">
      <c r="B119" s="13" t="s">
        <v>1161</v>
      </c>
      <c r="C119" s="13"/>
      <c r="D119" s="13"/>
      <c r="E119" s="13"/>
      <c r="F119" s="13"/>
      <c r="G119" s="13"/>
      <c r="H119" s="13"/>
      <c r="I119" s="13"/>
      <c r="J119" s="13"/>
      <c r="K119" s="13"/>
      <c r="L119" s="13"/>
      <c r="M119" s="13"/>
      <c r="N119" s="14" t="s">
        <v>180</v>
      </c>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row>
    <row r="120" spans="2:43">
      <c r="B120" s="13" t="s">
        <v>1159</v>
      </c>
      <c r="C120" s="13"/>
      <c r="D120" s="13"/>
      <c r="E120" s="13"/>
      <c r="F120" s="13"/>
      <c r="G120" s="13"/>
      <c r="H120" s="13"/>
      <c r="I120" s="13"/>
      <c r="J120" s="13"/>
      <c r="K120" s="13"/>
      <c r="L120" s="13"/>
      <c r="M120" s="13"/>
      <c r="N120" s="14" t="s">
        <v>181</v>
      </c>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row>
    <row r="121" spans="2:43">
      <c r="B121" s="13" t="s">
        <v>1157</v>
      </c>
      <c r="C121" s="13"/>
      <c r="D121" s="13"/>
      <c r="E121" s="13"/>
      <c r="F121" s="13"/>
      <c r="G121" s="13"/>
      <c r="H121" s="13"/>
      <c r="I121" s="13"/>
      <c r="J121" s="13"/>
      <c r="K121" s="13"/>
      <c r="L121" s="13"/>
      <c r="M121" s="13"/>
      <c r="N121" s="14" t="s">
        <v>182</v>
      </c>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row>
    <row r="122" spans="2:43">
      <c r="B122" s="13" t="s">
        <v>1153</v>
      </c>
      <c r="C122" s="13"/>
      <c r="D122" s="13"/>
      <c r="E122" s="13"/>
      <c r="F122" s="13"/>
      <c r="G122" s="13"/>
      <c r="H122" s="13"/>
      <c r="I122" s="13"/>
      <c r="J122" s="13"/>
      <c r="K122" s="13"/>
      <c r="L122" s="13"/>
      <c r="M122" s="13"/>
      <c r="N122" s="14" t="s">
        <v>183</v>
      </c>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row>
    <row r="123" spans="2:43">
      <c r="B123" s="13" t="s">
        <v>1144</v>
      </c>
      <c r="C123" s="13"/>
      <c r="D123" s="13"/>
      <c r="E123" s="13"/>
      <c r="F123" s="13"/>
      <c r="G123" s="13"/>
      <c r="H123" s="13"/>
      <c r="I123" s="13"/>
      <c r="J123" s="13"/>
      <c r="K123" s="13"/>
      <c r="L123" s="13"/>
      <c r="M123" s="13"/>
      <c r="N123" s="14" t="s">
        <v>184</v>
      </c>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row>
    <row r="125" spans="2:43">
      <c r="B125" s="11" t="s">
        <v>1178</v>
      </c>
      <c r="C125" s="11"/>
      <c r="D125" s="11"/>
      <c r="E125" s="11"/>
      <c r="F125" s="11"/>
      <c r="G125" s="11"/>
      <c r="H125" s="11"/>
      <c r="I125" s="11"/>
      <c r="J125" s="11"/>
      <c r="K125" s="11"/>
      <c r="L125" s="11"/>
      <c r="M125" s="11"/>
      <c r="N125" s="11"/>
      <c r="O125" s="11"/>
      <c r="P125" s="11"/>
      <c r="Q125" s="11"/>
      <c r="R125" s="11"/>
      <c r="S125" s="11"/>
    </row>
    <row r="126" spans="2:43">
      <c r="B126" s="12"/>
      <c r="C126" s="12"/>
      <c r="D126" s="12"/>
      <c r="E126" s="12"/>
      <c r="F126" s="12"/>
      <c r="G126" s="12"/>
      <c r="H126" s="12"/>
      <c r="I126" s="12"/>
      <c r="J126" s="12"/>
      <c r="K126" s="12"/>
      <c r="L126" s="12"/>
      <c r="M126" s="12"/>
      <c r="N126" s="12" t="s">
        <v>1179</v>
      </c>
      <c r="O126" s="12"/>
      <c r="P126" s="12"/>
      <c r="Q126" s="12"/>
      <c r="R126" s="12"/>
      <c r="S126" s="12"/>
    </row>
    <row r="127" spans="2:43">
      <c r="B127" s="13" t="s">
        <v>1180</v>
      </c>
      <c r="C127" s="13"/>
      <c r="D127" s="13"/>
      <c r="E127" s="13"/>
      <c r="F127" s="13"/>
      <c r="G127" s="13"/>
      <c r="H127" s="13"/>
      <c r="I127" s="13"/>
      <c r="J127" s="13"/>
      <c r="K127" s="13"/>
      <c r="L127" s="13"/>
      <c r="M127" s="13"/>
      <c r="N127" s="14">
        <f>MATCH($AU$4,$B$98:$B$123,0)</f>
        <v/>
      </c>
      <c r="O127" s="14"/>
      <c r="P127" s="14"/>
      <c r="Q127" s="14"/>
      <c r="R127" s="14"/>
      <c r="S127" s="14"/>
    </row>
    <row r="128" spans="2:43">
      <c r="B128" s="13" t="s">
        <v>1181</v>
      </c>
      <c r="C128" s="13"/>
      <c r="D128" s="13"/>
      <c r="E128" s="13"/>
      <c r="F128" s="13"/>
      <c r="G128" s="13"/>
      <c r="H128" s="13"/>
      <c r="I128" s="13"/>
      <c r="J128" s="13"/>
      <c r="K128" s="13"/>
      <c r="L128" s="13"/>
      <c r="M128" s="13"/>
      <c r="N128" s="14">
        <f>INDEX($N$98:$N$123,$N$127)</f>
        <v/>
      </c>
      <c r="O128" s="14"/>
      <c r="P128" s="14"/>
      <c r="Q128" s="14"/>
      <c r="R128" s="14"/>
      <c r="S128" s="14"/>
    </row>
    <row r="129" spans="2:19">
      <c r="B129" s="13" t="s">
        <v>1182</v>
      </c>
      <c r="C129" s="13"/>
      <c r="D129" s="13"/>
      <c r="E129" s="13"/>
      <c r="F129" s="13"/>
      <c r="G129" s="13"/>
      <c r="H129" s="13"/>
      <c r="I129" s="13"/>
      <c r="J129" s="13"/>
      <c r="K129" s="13"/>
      <c r="L129" s="13"/>
      <c r="M129" s="13"/>
      <c r="N129" s="14">
        <f>MATCH($N$128,'Resultados'!$4:$4,0)</f>
        <v/>
      </c>
      <c r="O129" s="14"/>
      <c r="P129" s="14"/>
      <c r="Q129" s="14"/>
      <c r="R129" s="14"/>
      <c r="S129" s="14"/>
    </row>
    <row r="130" spans="2:19">
      <c r="B130" s="13" t="s">
        <v>1183</v>
      </c>
      <c r="C130" s="13"/>
      <c r="D130" s="13"/>
      <c r="E130" s="13"/>
      <c r="F130" s="13"/>
      <c r="G130" s="13"/>
      <c r="H130" s="13"/>
      <c r="I130" s="13"/>
      <c r="J130" s="13"/>
      <c r="K130" s="13"/>
      <c r="L130" s="13"/>
      <c r="M130" s="13"/>
      <c r="N130" s="14">
        <f>IF($BR$8="Trimestre anterior",1,4)</f>
        <v/>
      </c>
      <c r="O130" s="14"/>
      <c r="P130" s="14"/>
      <c r="Q130" s="14"/>
      <c r="R130" s="14"/>
      <c r="S130" s="14"/>
    </row>
    <row r="131" spans="2:19">
      <c r="B131" s="13" t="s">
        <v>1184</v>
      </c>
      <c r="C131" s="13"/>
      <c r="D131" s="13"/>
      <c r="E131" s="13"/>
      <c r="F131" s="13"/>
      <c r="G131" s="13"/>
      <c r="H131" s="13"/>
      <c r="I131" s="13"/>
      <c r="J131" s="13"/>
      <c r="K131" s="13"/>
      <c r="L131" s="13"/>
      <c r="M131" s="13"/>
      <c r="N131" s="14">
        <f>INDEX($B$98:$B$123,$N$127-$N$130)</f>
        <v/>
      </c>
      <c r="O131" s="14"/>
      <c r="P131" s="14"/>
      <c r="Q131" s="14"/>
      <c r="R131" s="14"/>
      <c r="S131" s="14"/>
    </row>
    <row r="132" spans="2:19">
      <c r="B132" s="13" t="s">
        <v>1185</v>
      </c>
      <c r="C132" s="13"/>
      <c r="D132" s="13"/>
      <c r="E132" s="13"/>
      <c r="F132" s="13"/>
      <c r="G132" s="13"/>
      <c r="H132" s="13"/>
      <c r="I132" s="13"/>
      <c r="J132" s="13"/>
      <c r="K132" s="13"/>
      <c r="L132" s="13"/>
      <c r="M132" s="13"/>
      <c r="N132" s="14">
        <f>VALUE(RIGHT($N$128,1))</f>
        <v/>
      </c>
      <c r="O132" s="14"/>
      <c r="P132" s="14"/>
      <c r="Q132" s="14"/>
      <c r="R132" s="14"/>
      <c r="S132" s="14"/>
    </row>
    <row r="133" spans="2:19">
      <c r="B133" s="13" t="s">
        <v>637</v>
      </c>
      <c r="C133" s="13"/>
      <c r="D133" s="13"/>
      <c r="E133" s="13"/>
      <c r="F133" s="13"/>
      <c r="G133" s="13"/>
      <c r="H133" s="13"/>
      <c r="I133" s="13"/>
      <c r="J133" s="13"/>
      <c r="K133" s="13"/>
      <c r="L133" s="13"/>
      <c r="M133" s="13"/>
      <c r="N133" s="14">
        <f>VALUE(LEFT($N$128,4))</f>
        <v/>
      </c>
      <c r="O133" s="14"/>
      <c r="P133" s="14"/>
      <c r="Q133" s="14"/>
      <c r="R133" s="14"/>
      <c r="S133" s="14"/>
    </row>
    <row r="134" spans="2:19">
      <c r="B134" s="13" t="s">
        <v>1186</v>
      </c>
      <c r="C134" s="13"/>
      <c r="D134" s="13"/>
      <c r="E134" s="13"/>
      <c r="F134" s="13"/>
      <c r="G134" s="13"/>
      <c r="H134" s="13"/>
      <c r="I134" s="13"/>
      <c r="J134" s="13"/>
      <c r="K134" s="13"/>
      <c r="L134" s="13"/>
      <c r="M134" s="13"/>
      <c r="N134" s="14">
        <f>MATCH($BE$4,$AF$98:$AF$100,0)</f>
        <v/>
      </c>
      <c r="O134" s="14"/>
      <c r="P134" s="14"/>
      <c r="Q134" s="14"/>
      <c r="R134" s="14"/>
      <c r="S134" s="14"/>
    </row>
    <row r="135" spans="2:19">
      <c r="B135" s="13" t="s">
        <v>1187</v>
      </c>
      <c r="C135" s="13"/>
      <c r="D135" s="13"/>
      <c r="E135" s="13"/>
      <c r="F135" s="13"/>
      <c r="G135" s="13"/>
      <c r="H135" s="13"/>
      <c r="I135" s="13"/>
      <c r="J135" s="13"/>
      <c r="K135" s="13"/>
      <c r="L135" s="13"/>
      <c r="M135" s="13"/>
      <c r="N135" s="14">
        <f>MATCH($AG$8,$Z$98:$Z$104,0)</f>
        <v/>
      </c>
      <c r="O135" s="14"/>
      <c r="P135" s="14"/>
      <c r="Q135" s="14"/>
      <c r="R135" s="14"/>
      <c r="S135" s="14"/>
    </row>
    <row r="136" spans="2:19">
      <c r="B136" s="13" t="s">
        <v>1188</v>
      </c>
      <c r="C136" s="13"/>
      <c r="D136" s="13"/>
      <c r="E136" s="13"/>
      <c r="F136" s="13"/>
      <c r="G136" s="13"/>
      <c r="H136" s="13"/>
      <c r="I136" s="13"/>
      <c r="J136" s="13"/>
      <c r="K136" s="13"/>
      <c r="L136" s="13"/>
      <c r="M136" s="13"/>
      <c r="N136" s="14">
        <f>CHOOSE($N$132,"1T","1S","9M","FY")&amp;RIGHT($N$133,2)</f>
        <v/>
      </c>
      <c r="O136" s="14"/>
      <c r="P136" s="14"/>
      <c r="Q136" s="14"/>
      <c r="R136" s="14"/>
      <c r="S136" s="14"/>
    </row>
    <row r="137" spans="2:19">
      <c r="B137" s="13" t="s">
        <v>1189</v>
      </c>
      <c r="C137" s="13"/>
      <c r="D137" s="13"/>
      <c r="E137" s="13"/>
      <c r="F137" s="13"/>
      <c r="G137" s="13"/>
      <c r="H137" s="13"/>
      <c r="I137" s="13"/>
      <c r="J137" s="13"/>
      <c r="K137" s="13"/>
      <c r="L137" s="13"/>
      <c r="M137" s="13"/>
      <c r="N137" s="14">
        <f>CHOOSE($N$132,"1T","1S","9M","FY")&amp;RIGHT($N$133-1,2)</f>
        <v/>
      </c>
      <c r="O137" s="14"/>
      <c r="P137" s="14"/>
      <c r="Q137" s="14"/>
      <c r="R137" s="14"/>
      <c r="S137" s="14"/>
    </row>
    <row r="138" spans="2:19">
      <c r="B138" s="13" t="s">
        <v>1190</v>
      </c>
      <c r="C138" s="13"/>
      <c r="D138" s="13"/>
      <c r="E138" s="13"/>
      <c r="F138" s="13"/>
      <c r="G138" s="13"/>
      <c r="H138" s="13"/>
      <c r="I138" s="13"/>
      <c r="J138" s="13"/>
      <c r="K138" s="13"/>
      <c r="L138" s="13"/>
      <c r="M138" s="13"/>
      <c r="N138" s="14">
        <f>$N$133-IF($N$132=4,0,1)</f>
        <v/>
      </c>
      <c r="O138" s="14"/>
      <c r="P138" s="14"/>
      <c r="Q138" s="14"/>
      <c r="R138" s="14"/>
      <c r="S138" s="14"/>
    </row>
    <row r="139" spans="2:19">
      <c r="B139" s="13" t="s">
        <v>1191</v>
      </c>
      <c r="C139" s="13"/>
      <c r="D139" s="13"/>
      <c r="E139" s="13"/>
      <c r="F139" s="13"/>
      <c r="G139" s="13"/>
      <c r="H139" s="13"/>
      <c r="I139" s="13"/>
      <c r="J139" s="13"/>
      <c r="K139" s="13"/>
      <c r="L139" s="13"/>
      <c r="M139" s="13"/>
      <c r="N139" s="14">
        <f>IF($N$134&gt;1," · "&amp;$BE$4,"")</f>
        <v/>
      </c>
      <c r="O139" s="14"/>
      <c r="P139" s="14"/>
      <c r="Q139" s="14"/>
      <c r="R139" s="14"/>
      <c r="S139" s="14"/>
    </row>
    <row r="140" spans="2:19">
      <c r="B140" s="13" t="s">
        <v>1192</v>
      </c>
      <c r="C140" s="13"/>
      <c r="D140" s="13"/>
      <c r="E140" s="13"/>
      <c r="F140" s="13"/>
      <c r="G140" s="13"/>
      <c r="H140" s="13"/>
      <c r="I140" s="13"/>
      <c r="J140" s="13"/>
      <c r="K140" s="13"/>
      <c r="L140" s="13"/>
      <c r="M140" s="13"/>
      <c r="N140" s="15">
        <f>"Trimestre "&amp;$AU$4&amp;" · "&amp;$BE$4</f>
        <v/>
      </c>
      <c r="O140" s="15"/>
      <c r="P140" s="15"/>
      <c r="Q140" s="15"/>
      <c r="R140" s="15"/>
      <c r="S140" s="15"/>
    </row>
    <row r="141" spans="2:19">
      <c r="B141" s="13" t="s">
        <v>1193</v>
      </c>
      <c r="C141" s="13"/>
      <c r="D141" s="13"/>
      <c r="E141" s="13"/>
      <c r="F141" s="13"/>
      <c r="G141" s="13"/>
      <c r="H141" s="13"/>
      <c r="I141" s="13"/>
      <c r="J141" s="13"/>
      <c r="K141" s="13"/>
      <c r="L141" s="13"/>
      <c r="M141" s="13"/>
      <c r="N141" s="15">
        <f>IF($N$134=1,"EBITDA ajustado · ","EBITDA · ")&amp;$AU$4&amp;$N$139</f>
        <v/>
      </c>
      <c r="O141" s="15"/>
      <c r="P141" s="15"/>
      <c r="Q141" s="15"/>
      <c r="R141" s="15"/>
      <c r="S141" s="15"/>
    </row>
    <row r="142" spans="2:19">
      <c r="B142" s="13" t="s">
        <v>1194</v>
      </c>
      <c r="C142" s="13"/>
      <c r="D142" s="13"/>
      <c r="E142" s="13"/>
      <c r="F142" s="13"/>
      <c r="G142" s="13"/>
      <c r="H142" s="13"/>
      <c r="I142" s="13"/>
      <c r="J142" s="13"/>
      <c r="K142" s="13"/>
      <c r="L142" s="13"/>
      <c r="M142" s="13"/>
      <c r="N142" s="15">
        <f>"EBITDA contra "&amp;$N$131</f>
        <v/>
      </c>
      <c r="O142" s="15"/>
      <c r="P142" s="15"/>
      <c r="Q142" s="15"/>
      <c r="R142" s="15"/>
      <c r="S142" s="15"/>
    </row>
    <row r="143" spans="2:19">
      <c r="B143" s="13" t="s">
        <v>1195</v>
      </c>
      <c r="C143" s="13"/>
      <c r="D143" s="13"/>
      <c r="E143" s="13"/>
      <c r="F143" s="13"/>
      <c r="G143" s="13"/>
      <c r="H143" s="13"/>
      <c r="I143" s="13"/>
      <c r="J143" s="13"/>
      <c r="K143" s="13"/>
      <c r="L143" s="13"/>
      <c r="M143" s="13"/>
      <c r="N143" s="15">
        <f>IF($N$134=1,"De los estados (res. operativo + D&amp;A)","")</f>
        <v/>
      </c>
      <c r="O143" s="15"/>
      <c r="P143" s="15"/>
      <c r="Q143" s="15"/>
      <c r="R143" s="15"/>
      <c r="S143" s="15"/>
    </row>
    <row r="144" spans="2:19">
      <c r="B144" s="13" t="s">
        <v>1196</v>
      </c>
      <c r="C144" s="13"/>
      <c r="D144" s="13"/>
      <c r="E144" s="13"/>
      <c r="F144" s="13"/>
      <c r="G144" s="13"/>
      <c r="H144" s="13"/>
      <c r="I144" s="13"/>
      <c r="J144" s="13"/>
      <c r="K144" s="13"/>
      <c r="L144" s="13"/>
      <c r="M144" s="13"/>
      <c r="N144" s="15">
        <f>IF($N$134&gt;1,"● Sin ajustes: resultado operativo + depreciación","")</f>
        <v/>
      </c>
      <c r="O144" s="15"/>
      <c r="P144" s="15"/>
      <c r="Q144" s="15"/>
      <c r="R144" s="15"/>
      <c r="S144" s="15"/>
    </row>
    <row r="145" spans="2:19">
      <c r="B145" s="13" t="s">
        <v>1197</v>
      </c>
      <c r="C145" s="13"/>
      <c r="D145" s="13"/>
      <c r="E145" s="13"/>
      <c r="F145" s="13"/>
      <c r="G145" s="13"/>
      <c r="H145" s="13"/>
      <c r="I145" s="13"/>
      <c r="J145" s="13"/>
      <c r="K145" s="13"/>
      <c r="L145" s="13"/>
      <c r="M145" s="13"/>
      <c r="N145" s="15">
        <f>IF($N$134&gt;1,"● Solo consolidado","")</f>
        <v/>
      </c>
      <c r="O145" s="15"/>
      <c r="P145" s="15"/>
      <c r="Q145" s="15"/>
      <c r="R145" s="15"/>
      <c r="S145" s="15"/>
    </row>
    <row r="146" spans="2:19">
      <c r="B146" s="13" t="s">
        <v>1198</v>
      </c>
      <c r="C146" s="13"/>
      <c r="D146" s="13"/>
      <c r="E146" s="13"/>
      <c r="F146" s="13"/>
      <c r="G146" s="13"/>
      <c r="H146" s="13"/>
      <c r="I146" s="13"/>
      <c r="J146" s="13"/>
      <c r="K146" s="13"/>
      <c r="L146" s="13"/>
      <c r="M146" s="13"/>
      <c r="N146" s="15">
        <f>"Shale operado por YPF · "&amp;$AU$4&amp;" contra "&amp;$N$131&amp;" · boe/d, bruto"</f>
        <v/>
      </c>
      <c r="O146" s="15"/>
      <c r="P146" s="15"/>
      <c r="Q146" s="15"/>
      <c r="R146" s="15"/>
      <c r="S146" s="15"/>
    </row>
    <row r="147" spans="2:19">
      <c r="B147" s="13" t="s">
        <v>1199</v>
      </c>
      <c r="C147" s="13"/>
      <c r="D147" s="13"/>
      <c r="E147" s="13"/>
      <c r="F147" s="13"/>
      <c r="G147" s="13"/>
      <c r="H147" s="13"/>
      <c r="I147" s="13"/>
      <c r="J147" s="13"/>
      <c r="K147" s="13"/>
      <c r="L147" s="13"/>
      <c r="M147" s="13"/>
      <c r="N147" s="15">
        <f>"Producción y precio del crudo, doce trimestres hasta "&amp;$AU$4</f>
        <v/>
      </c>
      <c r="O147" s="15"/>
      <c r="P147" s="15"/>
      <c r="Q147" s="15"/>
      <c r="R147" s="15"/>
      <c r="S147" s="15"/>
    </row>
    <row r="148" spans="2:19">
      <c r="B148" s="13" t="s">
        <v>1200</v>
      </c>
      <c r="C148" s="13"/>
      <c r="D148" s="13"/>
      <c r="E148" s="13"/>
      <c r="F148" s="13"/>
      <c r="G148" s="13"/>
      <c r="H148" s="13"/>
      <c r="I148" s="13"/>
      <c r="J148" s="13"/>
      <c r="K148" s="13"/>
      <c r="L148" s="13"/>
      <c r="M148" s="13"/>
      <c r="N148" s="15">
        <f>"contra "&amp;$N$131</f>
        <v/>
      </c>
      <c r="O148" s="15"/>
      <c r="P148" s="15"/>
      <c r="Q148" s="15"/>
      <c r="R148" s="15"/>
      <c r="S148" s="15"/>
    </row>
    <row r="149" spans="2:19">
      <c r="B149" s="13" t="s">
        <v>1201</v>
      </c>
      <c r="C149" s="13"/>
      <c r="D149" s="13"/>
      <c r="E149" s="13"/>
      <c r="F149" s="13"/>
      <c r="G149" s="13"/>
      <c r="H149" s="13"/>
      <c r="I149" s="13"/>
      <c r="J149" s="13"/>
      <c r="K149" s="13"/>
      <c r="L149" s="13"/>
      <c r="M149" s="13"/>
      <c r="N149" s="15">
        <f>IF($N$134&gt;1,"Capex devengado del segmento","")</f>
        <v/>
      </c>
      <c r="O149" s="15"/>
      <c r="P149" s="15"/>
      <c r="Q149" s="15"/>
      <c r="R149" s="15"/>
      <c r="S149" s="15"/>
    </row>
    <row r="150" spans="2:19">
      <c r="B150" s="13" t="s">
        <v>1202</v>
      </c>
      <c r="C150" s="13"/>
      <c r="D150" s="13"/>
      <c r="E150" s="13"/>
      <c r="F150" s="13"/>
      <c r="G150" s="13"/>
      <c r="H150" s="13"/>
      <c r="I150" s="13"/>
      <c r="J150" s="13"/>
      <c r="K150" s="13"/>
      <c r="L150" s="13"/>
      <c r="M150" s="13"/>
      <c r="N150" s="15">
        <f>IF($N$134&gt;1,SUBSTITUTE($AG$8,"ajustado","del segmento"),$AG$8)&amp;$N$139&amp;" · doce trimestres hasta "&amp;$AU$4&amp;", en millones de US$"</f>
        <v/>
      </c>
      <c r="O150" s="15"/>
      <c r="P150" s="15"/>
      <c r="Q150" s="15"/>
      <c r="R150" s="15"/>
      <c r="S150" s="15"/>
    </row>
    <row r="151" spans="2:19">
      <c r="B151" s="13" t="s">
        <v>1203</v>
      </c>
      <c r="C151" s="13"/>
      <c r="D151" s="13"/>
      <c r="E151" s="13"/>
      <c r="F151" s="13"/>
      <c r="G151" s="13"/>
      <c r="H151" s="13"/>
      <c r="I151" s="13"/>
      <c r="J151" s="13"/>
      <c r="K151" s="13"/>
      <c r="L151" s="13"/>
      <c r="M151" s="13"/>
      <c r="N151" s="15">
        <f>$AU$4&amp;" contra "&amp;$N$131&amp;", sobre ingresos"</f>
        <v/>
      </c>
      <c r="O151" s="15"/>
      <c r="P151" s="15"/>
      <c r="Q151" s="15"/>
      <c r="R151" s="15"/>
      <c r="S151" s="15"/>
    </row>
    <row r="152" spans="2:19">
      <c r="B152" s="13" t="s">
        <v>1204</v>
      </c>
      <c r="C152" s="13"/>
      <c r="D152" s="13"/>
      <c r="E152" s="13"/>
      <c r="F152" s="13"/>
      <c r="G152" s="13"/>
      <c r="H152" s="13"/>
      <c r="I152" s="13"/>
      <c r="J152" s="13"/>
      <c r="K152" s="13"/>
      <c r="L152" s="13"/>
      <c r="M152" s="13"/>
      <c r="N152" s="15">
        <f>"■ "&amp;$AU$4</f>
        <v/>
      </c>
      <c r="O152" s="15"/>
      <c r="P152" s="15"/>
      <c r="Q152" s="15"/>
      <c r="R152" s="15"/>
      <c r="S152" s="15"/>
    </row>
    <row r="153" spans="2:19">
      <c r="B153" s="13" t="s">
        <v>1205</v>
      </c>
      <c r="C153" s="13"/>
      <c r="D153" s="13"/>
      <c r="E153" s="13"/>
      <c r="F153" s="13"/>
      <c r="G153" s="13"/>
      <c r="H153" s="13"/>
      <c r="I153" s="13"/>
      <c r="J153" s="13"/>
      <c r="K153" s="13"/>
      <c r="L153" s="13"/>
      <c r="M153" s="13"/>
      <c r="N153" s="15">
        <f>"■ "&amp;$N$131</f>
        <v/>
      </c>
      <c r="O153" s="15"/>
      <c r="P153" s="15"/>
      <c r="Q153" s="15"/>
      <c r="R153" s="15"/>
      <c r="S153" s="15"/>
    </row>
    <row r="154" spans="2:19">
      <c r="B154" s="13" t="s">
        <v>1206</v>
      </c>
      <c r="C154" s="13"/>
      <c r="D154" s="13"/>
      <c r="E154" s="13"/>
      <c r="F154" s="13"/>
      <c r="G154" s="13"/>
      <c r="H154" s="13"/>
      <c r="I154" s="13"/>
      <c r="J154" s="13"/>
      <c r="K154" s="13"/>
      <c r="L154" s="13"/>
      <c r="M154" s="13"/>
      <c r="N154" s="15">
        <f>$N$136&amp;" contra "&amp;$N$137</f>
        <v/>
      </c>
      <c r="O154" s="15"/>
      <c r="P154" s="15"/>
      <c r="Q154" s="15"/>
      <c r="R154" s="15"/>
      <c r="S154" s="15"/>
    </row>
    <row r="155" spans="2:19">
      <c r="B155" s="13" t="s">
        <v>1207</v>
      </c>
      <c r="C155" s="13"/>
      <c r="D155" s="13"/>
      <c r="E155" s="13"/>
      <c r="F155" s="13"/>
      <c r="G155" s="13"/>
      <c r="H155" s="13"/>
      <c r="I155" s="13"/>
      <c r="J155" s="13"/>
      <c r="K155" s="13"/>
      <c r="L155" s="13"/>
      <c r="M155" s="13"/>
      <c r="N155" s="15">
        <f>"Lo que va del año"&amp;$N$139&amp;"; la barra llena es el doble"</f>
        <v/>
      </c>
      <c r="O155" s="15"/>
      <c r="P155" s="15"/>
      <c r="Q155" s="15"/>
      <c r="R155" s="15"/>
      <c r="S155" s="15"/>
    </row>
    <row r="156" spans="2:19">
      <c r="B156" s="13" t="s">
        <v>1208</v>
      </c>
      <c r="C156" s="13"/>
      <c r="D156" s="13"/>
      <c r="E156" s="13"/>
      <c r="F156" s="13"/>
      <c r="G156" s="13"/>
      <c r="H156" s="13"/>
      <c r="I156" s="13"/>
      <c r="J156" s="13"/>
      <c r="K156" s="13"/>
      <c r="L156" s="13"/>
      <c r="M156" s="13"/>
      <c r="N156" s="15">
        <f>$AU$4&amp;", en millones de US$"</f>
        <v/>
      </c>
      <c r="O156" s="15"/>
      <c r="P156" s="15"/>
      <c r="Q156" s="15"/>
      <c r="R156" s="15"/>
      <c r="S156" s="15"/>
    </row>
    <row r="157" spans="2:19">
      <c r="B157" s="13" t="s">
        <v>1209</v>
      </c>
      <c r="C157" s="13"/>
      <c r="D157" s="13"/>
      <c r="E157" s="13"/>
      <c r="F157" s="13"/>
      <c r="G157" s="13"/>
      <c r="H157" s="13"/>
      <c r="I157" s="13"/>
      <c r="J157" s="13"/>
      <c r="K157" s="13"/>
      <c r="L157" s="13"/>
      <c r="M157" s="13"/>
      <c r="N157" s="15">
        <f>$AU$4&amp;": capex devengado por negocio, en millones de US$"</f>
        <v/>
      </c>
      <c r="O157" s="15"/>
      <c r="P157" s="15"/>
      <c r="Q157" s="15"/>
      <c r="R157" s="15"/>
      <c r="S157" s="15"/>
    </row>
    <row r="158" spans="2:19">
      <c r="B158" s="13" t="s">
        <v>1210</v>
      </c>
      <c r="C158" s="13"/>
      <c r="D158" s="13"/>
      <c r="E158" s="13"/>
      <c r="F158" s="13"/>
      <c r="G158" s="13"/>
      <c r="H158" s="13"/>
      <c r="I158" s="13"/>
      <c r="J158" s="13"/>
      <c r="K158" s="13"/>
      <c r="L158" s="13"/>
      <c r="M158" s="13"/>
      <c r="N158" s="15">
        <f>"Doce trimestres hasta "&amp;$AU$4&amp;$N$139</f>
        <v/>
      </c>
      <c r="O158" s="15"/>
      <c r="P158" s="15"/>
      <c r="Q158" s="15"/>
      <c r="R158" s="15"/>
      <c r="S158" s="15"/>
    </row>
    <row r="159" spans="2:19">
      <c r="B159" s="13" t="s">
        <v>1211</v>
      </c>
      <c r="C159" s="13"/>
      <c r="D159" s="13"/>
      <c r="E159" s="13"/>
      <c r="F159" s="13"/>
      <c r="G159" s="13"/>
      <c r="H159" s="13"/>
      <c r="I159" s="13"/>
      <c r="J159" s="13"/>
      <c r="K159" s="13"/>
      <c r="L159" s="13"/>
      <c r="M159" s="13"/>
      <c r="N159" s="15">
        <f>IF($N$134=1,"EBITDA ajustado contra capex pagado","EBITDA contra capex devengado")&amp;$N$139</f>
        <v/>
      </c>
      <c r="O159" s="15"/>
      <c r="P159" s="15"/>
      <c r="Q159" s="15"/>
      <c r="R159" s="15"/>
      <c r="S159" s="15"/>
    </row>
    <row r="160" spans="2:19">
      <c r="B160" s="13" t="s">
        <v>1212</v>
      </c>
      <c r="C160" s="13"/>
      <c r="D160" s="13"/>
      <c r="E160" s="13"/>
      <c r="F160" s="13"/>
      <c r="G160" s="13"/>
      <c r="H160" s="13"/>
      <c r="I160" s="13"/>
      <c r="J160" s="13"/>
      <c r="K160" s="13"/>
      <c r="L160" s="13"/>
      <c r="M160" s="13"/>
      <c r="N160" s="15">
        <f>IF($N$134&gt;1,"● Solo consolidado","")</f>
        <v/>
      </c>
      <c r="O160" s="15"/>
      <c r="P160" s="15"/>
      <c r="Q160" s="15"/>
      <c r="R160" s="15"/>
      <c r="S160" s="15"/>
    </row>
    <row r="161" spans="2:61">
      <c r="B161" s="13" t="s">
        <v>1213</v>
      </c>
      <c r="C161" s="13"/>
      <c r="D161" s="13"/>
      <c r="E161" s="13"/>
      <c r="F161" s="13"/>
      <c r="G161" s="13"/>
      <c r="H161" s="13"/>
      <c r="I161" s="13"/>
      <c r="J161" s="13"/>
      <c r="K161" s="13"/>
      <c r="L161" s="13"/>
      <c r="M161" s="13"/>
      <c r="N161" s="15">
        <f>IF(AND($N$134&gt;1,$N$135&gt;4),"● "&amp;$AG$8&amp;" solo existe consolidado","")</f>
        <v/>
      </c>
      <c r="O161" s="15"/>
      <c r="P161" s="15"/>
      <c r="Q161" s="15"/>
      <c r="R161" s="15"/>
      <c r="S161" s="15"/>
    </row>
    <row r="162" spans="2:61">
      <c r="B162" s="13" t="s">
        <v>1214</v>
      </c>
      <c r="C162" s="13"/>
      <c r="D162" s="13"/>
      <c r="E162" s="13"/>
      <c r="F162" s="13"/>
      <c r="G162" s="13"/>
      <c r="H162" s="13"/>
      <c r="I162" s="13"/>
      <c r="J162" s="13"/>
      <c r="K162" s="13"/>
      <c r="L162" s="13"/>
      <c r="M162" s="13"/>
      <c r="N162" s="15">
        <f>IF($N$134&gt;1,"● El flujo operativo no se abre por segmento","")</f>
        <v/>
      </c>
      <c r="O162" s="15"/>
      <c r="P162" s="15"/>
      <c r="Q162" s="15"/>
      <c r="R162" s="15"/>
      <c r="S162" s="15"/>
    </row>
    <row r="164" spans="2:61">
      <c r="B164" s="11" t="s">
        <v>1215</v>
      </c>
      <c r="C164" s="11"/>
      <c r="D164" s="11"/>
      <c r="E164" s="11"/>
      <c r="F164" s="11"/>
      <c r="G164" s="11"/>
      <c r="H164" s="11"/>
      <c r="I164" s="11"/>
      <c r="J164" s="11"/>
      <c r="K164" s="11"/>
      <c r="L164" s="11"/>
      <c r="M164" s="11"/>
      <c r="N164" s="11"/>
      <c r="O164" s="11"/>
      <c r="P164" s="11"/>
      <c r="Q164" s="11"/>
      <c r="R164" s="11"/>
      <c r="S164" s="11"/>
    </row>
    <row r="165" spans="2:61">
      <c r="B165" s="12"/>
      <c r="C165" s="12"/>
      <c r="D165" s="12"/>
      <c r="E165" s="12"/>
      <c r="F165" s="12"/>
      <c r="G165" s="12"/>
      <c r="H165" s="12"/>
      <c r="I165" s="12"/>
      <c r="J165" s="12"/>
      <c r="K165" s="12"/>
      <c r="L165" s="12"/>
      <c r="M165" s="12"/>
      <c r="N165" s="12" t="s">
        <v>1179</v>
      </c>
      <c r="O165" s="12"/>
      <c r="P165" s="12"/>
      <c r="Q165" s="12"/>
      <c r="R165" s="12"/>
      <c r="S165" s="12"/>
    </row>
    <row r="166" spans="2:61">
      <c r="B166" s="13" t="s">
        <v>1154</v>
      </c>
      <c r="C166" s="13"/>
      <c r="D166" s="13"/>
      <c r="E166" s="13"/>
      <c r="F166" s="13"/>
      <c r="G166" s="13"/>
      <c r="H166" s="13"/>
      <c r="I166" s="13"/>
      <c r="J166" s="13"/>
      <c r="K166" s="13"/>
      <c r="L166" s="13"/>
      <c r="M166" s="13"/>
      <c r="N166" s="16">
        <f>IF($N$134=1,N(INDEX('Análisis'!$73:$73,$N$129)),CHOOSE($N$134-1,(N(INDEX('Segmentos'!$98:$98,$N$129))+N(INDEX('Segmentos'!$113:$113,$N$129))),(N(INDEX('Segmentos'!$99:$99,$N$129))+N(INDEX('Segmentos'!$114:$114,$N$129)))))</f>
        <v/>
      </c>
      <c r="O166" s="16"/>
      <c r="P166" s="16"/>
      <c r="Q166" s="16"/>
      <c r="R166" s="16"/>
      <c r="S166" s="16"/>
    </row>
    <row r="167" spans="2:61">
      <c r="B167" s="13" t="s">
        <v>1216</v>
      </c>
      <c r="C167" s="13"/>
      <c r="D167" s="13"/>
      <c r="E167" s="13"/>
      <c r="F167" s="13"/>
      <c r="G167" s="13"/>
      <c r="H167" s="13"/>
      <c r="I167" s="13"/>
      <c r="J167" s="13"/>
      <c r="K167" s="13"/>
      <c r="L167" s="13"/>
      <c r="M167" s="13"/>
      <c r="N167" s="17">
        <f>IF($N$134=1,N(INDEX('Análisis'!$13:$13,$N$129)),"")</f>
        <v/>
      </c>
      <c r="O167" s="17"/>
      <c r="P167" s="17"/>
      <c r="Q167" s="17"/>
      <c r="R167" s="17"/>
      <c r="S167" s="17"/>
    </row>
    <row r="168" spans="2:61">
      <c r="B168" s="13" t="s">
        <v>456</v>
      </c>
      <c r="C168" s="13"/>
      <c r="D168" s="13"/>
      <c r="E168" s="13"/>
      <c r="F168" s="13"/>
      <c r="G168" s="13"/>
      <c r="H168" s="13"/>
      <c r="I168" s="13"/>
      <c r="J168" s="13"/>
      <c r="K168" s="13"/>
      <c r="L168" s="13"/>
      <c r="M168" s="13"/>
      <c r="N168" s="16">
        <f>IF($N$134=1,N(INDEX('Resultados'!$5:$5,$N$129)),CHOOSE($N$134-1,N(INDEX('Segmentos'!$90:$90,$N$129)),N(INDEX('Segmentos'!$91:$91,$N$129))))</f>
        <v/>
      </c>
      <c r="O168" s="16"/>
      <c r="P168" s="16"/>
      <c r="Q168" s="16"/>
      <c r="R168" s="16"/>
      <c r="S168" s="16"/>
    </row>
    <row r="169" spans="2:61">
      <c r="B169" s="13" t="s">
        <v>1217</v>
      </c>
      <c r="C169" s="13"/>
      <c r="D169" s="13"/>
      <c r="E169" s="13"/>
      <c r="F169" s="13"/>
      <c r="G169" s="13"/>
      <c r="H169" s="13"/>
      <c r="I169" s="13"/>
      <c r="J169" s="13"/>
      <c r="K169" s="13"/>
      <c r="L169" s="13"/>
      <c r="M169" s="13"/>
      <c r="N169" s="15">
        <f>IF(AND($N$134&gt;1,$N$168=0),"● "&amp;$BE$4&amp;" no se reportaba en "&amp;$AU$4,$N$144)</f>
        <v/>
      </c>
      <c r="O169" s="15"/>
      <c r="P169" s="15"/>
      <c r="Q169" s="15"/>
      <c r="R169" s="15"/>
      <c r="S169" s="15"/>
    </row>
    <row r="170" spans="2:61">
      <c r="B170" s="13" t="s">
        <v>407</v>
      </c>
      <c r="C170" s="13"/>
      <c r="D170" s="13"/>
      <c r="E170" s="13"/>
      <c r="F170" s="13"/>
      <c r="G170" s="13"/>
      <c r="H170" s="13"/>
      <c r="I170" s="13"/>
      <c r="J170" s="13"/>
      <c r="K170" s="13"/>
      <c r="L170" s="13"/>
      <c r="M170" s="13"/>
      <c r="N170" s="18">
        <f>IFERROR($N$166/$N$168,0)</f>
        <v/>
      </c>
      <c r="O170" s="18"/>
      <c r="P170" s="18"/>
      <c r="Q170" s="18"/>
      <c r="R170" s="18"/>
      <c r="S170" s="18"/>
    </row>
    <row r="171" spans="2:61">
      <c r="B171" s="13" t="s">
        <v>1218</v>
      </c>
      <c r="C171" s="13"/>
      <c r="D171" s="13"/>
      <c r="E171" s="13"/>
      <c r="F171" s="13"/>
      <c r="G171" s="13"/>
      <c r="H171" s="13"/>
      <c r="I171" s="13"/>
      <c r="J171" s="13"/>
      <c r="K171" s="13"/>
      <c r="L171" s="13"/>
      <c r="M171" s="13"/>
      <c r="N171" s="18">
        <f>MAX(0,1-MAX(0,$N$170))</f>
        <v/>
      </c>
      <c r="O171" s="18"/>
      <c r="P171" s="18"/>
      <c r="Q171" s="18"/>
      <c r="R171" s="18"/>
      <c r="S171" s="18"/>
    </row>
    <row r="172" spans="2:61">
      <c r="B172" s="13" t="s">
        <v>1219</v>
      </c>
      <c r="C172" s="13"/>
      <c r="D172" s="13"/>
      <c r="E172" s="13"/>
      <c r="F172" s="13"/>
      <c r="G172" s="13"/>
      <c r="H172" s="13"/>
      <c r="I172" s="13"/>
      <c r="J172" s="13"/>
      <c r="K172" s="13"/>
      <c r="L172" s="13"/>
      <c r="M172" s="13"/>
      <c r="N172" s="19">
        <f>IFERROR(IF(N(IF($N$134=1,N(INDEX('Análisis'!$73:$73,$N$129-$N$130)),CHOOSE($N$134-1,(N(INDEX('Segmentos'!$98:$98,$N$129-$N$130))+N(INDEX('Segmentos'!$113:$113,$N$129-$N$130))),(N(INDEX('Segmentos'!$99:$99,$N$129-$N$130))+N(INDEX('Segmentos'!$114:$114,$N$129-$N$130))))))=0,"",($N$166-IF($N$134=1,N(INDEX('Análisis'!$73:$73,$N$129-$N$130)),CHOOSE($N$134-1,(N(INDEX('Segmentos'!$98:$98,$N$129-$N$130))+N(INDEX('Segmentos'!$113:$113,$N$129-$N$130))),(N(INDEX('Segmentos'!$99:$99,$N$129-$N$130))+N(INDEX('Segmentos'!$114:$114,$N$129-$N$130))))))/ABS(IF($N$134=1,N(INDEX('Análisis'!$73:$73,$N$129-$N$130)),CHOOSE($N$134-1,(N(INDEX('Segmentos'!$98:$98,$N$129-$N$130))+N(INDEX('Segmentos'!$113:$113,$N$129-$N$130))),(N(INDEX('Segmentos'!$99:$99,$N$129-$N$130))+N(INDEX('Segmentos'!$114:$114,$N$129-$N$130))))))),"")</f>
        <v/>
      </c>
      <c r="O172" s="19"/>
      <c r="P172" s="19"/>
      <c r="Q172" s="19"/>
      <c r="R172" s="19"/>
      <c r="S172" s="19"/>
    </row>
    <row r="173" spans="2:61">
      <c r="B173" s="13" t="s">
        <v>438</v>
      </c>
      <c r="C173" s="13"/>
      <c r="D173" s="13"/>
      <c r="E173" s="13"/>
      <c r="F173" s="13"/>
      <c r="G173" s="13"/>
      <c r="H173" s="13"/>
      <c r="I173" s="13"/>
      <c r="J173" s="13"/>
      <c r="K173" s="13"/>
      <c r="L173" s="13"/>
      <c r="M173" s="13"/>
      <c r="N173" s="20">
        <f>IFERROR(INDEX('Análisis'!$38:$38,$N$129)*1,"")</f>
        <v/>
      </c>
      <c r="O173" s="20"/>
      <c r="P173" s="20"/>
      <c r="Q173" s="20"/>
      <c r="R173" s="20"/>
      <c r="S173" s="20"/>
    </row>
    <row r="174" spans="2:61">
      <c r="B174" s="13" t="s">
        <v>550</v>
      </c>
      <c r="C174" s="13"/>
      <c r="D174" s="13"/>
      <c r="E174" s="13"/>
      <c r="F174" s="13"/>
      <c r="G174" s="13"/>
      <c r="H174" s="13"/>
      <c r="I174" s="13"/>
      <c r="J174" s="13"/>
      <c r="K174" s="13"/>
      <c r="L174" s="13"/>
      <c r="M174" s="13"/>
      <c r="N174" s="20">
        <f>IFERROR(INDEX('Valuación'!$32:$32,$N$129)*1,"")</f>
        <v/>
      </c>
      <c r="O174" s="20"/>
      <c r="P174" s="20"/>
      <c r="Q174" s="20"/>
      <c r="R174" s="20"/>
      <c r="S174" s="20"/>
    </row>
    <row r="176" spans="2:61">
      <c r="B176" s="11" t="s">
        <v>1220</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row>
    <row r="177" spans="2:61">
      <c r="B177" s="12"/>
      <c r="C177" s="12"/>
      <c r="D177" s="12"/>
      <c r="E177" s="12"/>
      <c r="F177" s="12"/>
      <c r="G177" s="12"/>
      <c r="H177" s="12"/>
      <c r="I177" s="12"/>
      <c r="J177" s="12"/>
      <c r="K177" s="12"/>
      <c r="L177" s="12"/>
      <c r="M177" s="12"/>
      <c r="N177" s="12" t="s">
        <v>456</v>
      </c>
      <c r="O177" s="12"/>
      <c r="P177" s="12"/>
      <c r="Q177" s="12"/>
      <c r="R177" s="12"/>
      <c r="S177" s="12"/>
      <c r="T177" s="12" t="s">
        <v>1154</v>
      </c>
      <c r="U177" s="12"/>
      <c r="V177" s="12"/>
      <c r="W177" s="12"/>
      <c r="X177" s="12"/>
      <c r="Y177" s="12"/>
      <c r="Z177" s="12" t="s">
        <v>469</v>
      </c>
      <c r="AA177" s="12"/>
      <c r="AB177" s="12"/>
      <c r="AC177" s="12"/>
      <c r="AD177" s="12"/>
      <c r="AE177" s="12"/>
      <c r="AF177" s="12" t="s">
        <v>617</v>
      </c>
      <c r="AG177" s="12"/>
      <c r="AH177" s="12"/>
      <c r="AI177" s="12"/>
      <c r="AJ177" s="12"/>
      <c r="AK177" s="12"/>
      <c r="AL177" s="12" t="s">
        <v>458</v>
      </c>
      <c r="AM177" s="12"/>
      <c r="AN177" s="12"/>
      <c r="AO177" s="12"/>
      <c r="AP177" s="12"/>
      <c r="AQ177" s="12"/>
      <c r="AR177" s="12" t="s">
        <v>1140</v>
      </c>
      <c r="AS177" s="12"/>
      <c r="AT177" s="12"/>
      <c r="AU177" s="12"/>
      <c r="AV177" s="12"/>
      <c r="AW177" s="12"/>
      <c r="AX177" s="12" t="s">
        <v>616</v>
      </c>
      <c r="AY177" s="12"/>
      <c r="AZ177" s="12"/>
      <c r="BA177" s="12"/>
      <c r="BB177" s="12"/>
      <c r="BC177" s="12"/>
      <c r="BD177" s="12" t="s">
        <v>1221</v>
      </c>
      <c r="BE177" s="12"/>
      <c r="BF177" s="12"/>
      <c r="BG177" s="12"/>
      <c r="BH177" s="12"/>
      <c r="BI177" s="12"/>
    </row>
    <row r="178" spans="2:61">
      <c r="B178" s="13">
        <f>INDEX($B$98:$B$123,$N$127-11)</f>
        <v/>
      </c>
      <c r="C178" s="13"/>
      <c r="D178" s="13"/>
      <c r="E178" s="13"/>
      <c r="F178" s="13"/>
      <c r="G178" s="13"/>
      <c r="H178" s="13"/>
      <c r="I178" s="13"/>
      <c r="J178" s="13"/>
      <c r="K178" s="13"/>
      <c r="L178" s="13"/>
      <c r="M178" s="13"/>
      <c r="N178" s="16">
        <f>IF($N$134=1,N(INDEX('Resultados'!$5:$5,$N$129-11)),CHOOSE($N$134-1,N(INDEX('Segmentos'!$90:$90,$N$129-11)),N(INDEX('Segmentos'!$91:$91,$N$129-11))))</f>
        <v/>
      </c>
      <c r="O178" s="16"/>
      <c r="P178" s="16"/>
      <c r="Q178" s="16"/>
      <c r="R178" s="16"/>
      <c r="S178" s="16"/>
      <c r="T178" s="16">
        <f>IF($N$134=1,N(INDEX('Análisis'!$73:$73,$N$129-11)),CHOOSE($N$134-1,(N(INDEX('Segmentos'!$98:$98,$N$129-11))+N(INDEX('Segmentos'!$113:$113,$N$129-11))),(N(INDEX('Segmentos'!$99:$99,$N$129-11))+N(INDEX('Segmentos'!$114:$114,$N$129-11)))))</f>
        <v/>
      </c>
      <c r="U178" s="16"/>
      <c r="V178" s="16"/>
      <c r="W178" s="16"/>
      <c r="X178" s="16"/>
      <c r="Y178" s="16"/>
      <c r="Z178" s="16">
        <f>IF($N$134=1,N(INDEX('Resultados'!$13:$13,$N$129-11)),CHOOSE($N$134-1,N(INDEX('Segmentos'!$98:$98,$N$129-11)),N(INDEX('Segmentos'!$99:$99,$N$129-11))))</f>
        <v/>
      </c>
      <c r="AA178" s="16"/>
      <c r="AB178" s="16"/>
      <c r="AC178" s="16"/>
      <c r="AD178" s="16"/>
      <c r="AE178" s="16"/>
      <c r="AF178" s="16">
        <f>IF($N$134=1,(-N(INDEX('Flujo de efectivo'!$34:$34,$N$129-11))),CHOOSE($N$134-1,N(INDEX('Segmentos'!$106:$106,$N$129-11)),N(INDEX('Segmentos'!$107:$107,$N$129-11))))</f>
        <v/>
      </c>
      <c r="AG178" s="16"/>
      <c r="AH178" s="16"/>
      <c r="AI178" s="16"/>
      <c r="AJ178" s="16"/>
      <c r="AK178" s="16"/>
      <c r="AL178" s="16">
        <f>IF($N$134=1,N(INDEX('Flujo de efectivo'!$33:$33,$N$129-11)),NA())</f>
        <v/>
      </c>
      <c r="AM178" s="16"/>
      <c r="AN178" s="16"/>
      <c r="AO178" s="16"/>
      <c r="AP178" s="16"/>
      <c r="AQ178" s="16"/>
      <c r="AR178" s="16">
        <f>IF($N$134=1,N(INDEX('Análisis'!$15:$15,$N$129-11)),NA())</f>
        <v/>
      </c>
      <c r="AS178" s="16"/>
      <c r="AT178" s="16"/>
      <c r="AU178" s="16"/>
      <c r="AV178" s="16"/>
      <c r="AW178" s="16"/>
      <c r="AX178" s="16">
        <f>IF($N$134=1,N(INDEX('Resultados'!$21:$21,$N$129-11)),NA())</f>
        <v/>
      </c>
      <c r="AY178" s="16"/>
      <c r="AZ178" s="16"/>
      <c r="BA178" s="16"/>
      <c r="BB178" s="16"/>
      <c r="BC178" s="16"/>
      <c r="BD178" s="16">
        <f>CHOOSE($N$135,$N$178,$T$178,$Z$178,$AF$178,$AL$178,$AR$178,$AX$178)</f>
        <v/>
      </c>
      <c r="BE178" s="16"/>
      <c r="BF178" s="16"/>
      <c r="BG178" s="16"/>
      <c r="BH178" s="16"/>
      <c r="BI178" s="16"/>
    </row>
    <row r="179" spans="2:61">
      <c r="B179" s="13">
        <f>INDEX($B$98:$B$123,$N$127-10)</f>
        <v/>
      </c>
      <c r="C179" s="13"/>
      <c r="D179" s="13"/>
      <c r="E179" s="13"/>
      <c r="F179" s="13"/>
      <c r="G179" s="13"/>
      <c r="H179" s="13"/>
      <c r="I179" s="13"/>
      <c r="J179" s="13"/>
      <c r="K179" s="13"/>
      <c r="L179" s="13"/>
      <c r="M179" s="13"/>
      <c r="N179" s="16">
        <f>IF($N$134=1,N(INDEX('Resultados'!$5:$5,$N$129-10)),CHOOSE($N$134-1,N(INDEX('Segmentos'!$90:$90,$N$129-10)),N(INDEX('Segmentos'!$91:$91,$N$129-10))))</f>
        <v/>
      </c>
      <c r="O179" s="16"/>
      <c r="P179" s="16"/>
      <c r="Q179" s="16"/>
      <c r="R179" s="16"/>
      <c r="S179" s="16"/>
      <c r="T179" s="16">
        <f>IF($N$134=1,N(INDEX('Análisis'!$73:$73,$N$129-10)),CHOOSE($N$134-1,(N(INDEX('Segmentos'!$98:$98,$N$129-10))+N(INDEX('Segmentos'!$113:$113,$N$129-10))),(N(INDEX('Segmentos'!$99:$99,$N$129-10))+N(INDEX('Segmentos'!$114:$114,$N$129-10)))))</f>
        <v/>
      </c>
      <c r="U179" s="16"/>
      <c r="V179" s="16"/>
      <c r="W179" s="16"/>
      <c r="X179" s="16"/>
      <c r="Y179" s="16"/>
      <c r="Z179" s="16">
        <f>IF($N$134=1,N(INDEX('Resultados'!$13:$13,$N$129-10)),CHOOSE($N$134-1,N(INDEX('Segmentos'!$98:$98,$N$129-10)),N(INDEX('Segmentos'!$99:$99,$N$129-10))))</f>
        <v/>
      </c>
      <c r="AA179" s="16"/>
      <c r="AB179" s="16"/>
      <c r="AC179" s="16"/>
      <c r="AD179" s="16"/>
      <c r="AE179" s="16"/>
      <c r="AF179" s="16">
        <f>IF($N$134=1,(-N(INDEX('Flujo de efectivo'!$34:$34,$N$129-10))),CHOOSE($N$134-1,N(INDEX('Segmentos'!$106:$106,$N$129-10)),N(INDEX('Segmentos'!$107:$107,$N$129-10))))</f>
        <v/>
      </c>
      <c r="AG179" s="16"/>
      <c r="AH179" s="16"/>
      <c r="AI179" s="16"/>
      <c r="AJ179" s="16"/>
      <c r="AK179" s="16"/>
      <c r="AL179" s="16">
        <f>IF($N$134=1,N(INDEX('Flujo de efectivo'!$33:$33,$N$129-10)),NA())</f>
        <v/>
      </c>
      <c r="AM179" s="16"/>
      <c r="AN179" s="16"/>
      <c r="AO179" s="16"/>
      <c r="AP179" s="16"/>
      <c r="AQ179" s="16"/>
      <c r="AR179" s="16">
        <f>IF($N$134=1,N(INDEX('Análisis'!$15:$15,$N$129-10)),NA())</f>
        <v/>
      </c>
      <c r="AS179" s="16"/>
      <c r="AT179" s="16"/>
      <c r="AU179" s="16"/>
      <c r="AV179" s="16"/>
      <c r="AW179" s="16"/>
      <c r="AX179" s="16">
        <f>IF($N$134=1,N(INDEX('Resultados'!$21:$21,$N$129-10)),NA())</f>
        <v/>
      </c>
      <c r="AY179" s="16"/>
      <c r="AZ179" s="16"/>
      <c r="BA179" s="16"/>
      <c r="BB179" s="16"/>
      <c r="BC179" s="16"/>
      <c r="BD179" s="16">
        <f>CHOOSE($N$135,$N$179,$T$179,$Z$179,$AF$179,$AL$179,$AR$179,$AX$179)</f>
        <v/>
      </c>
      <c r="BE179" s="16"/>
      <c r="BF179" s="16"/>
      <c r="BG179" s="16"/>
      <c r="BH179" s="16"/>
      <c r="BI179" s="16"/>
    </row>
    <row r="180" spans="2:61">
      <c r="B180" s="13">
        <f>INDEX($B$98:$B$123,$N$127-9)</f>
        <v/>
      </c>
      <c r="C180" s="13"/>
      <c r="D180" s="13"/>
      <c r="E180" s="13"/>
      <c r="F180" s="13"/>
      <c r="G180" s="13"/>
      <c r="H180" s="13"/>
      <c r="I180" s="13"/>
      <c r="J180" s="13"/>
      <c r="K180" s="13"/>
      <c r="L180" s="13"/>
      <c r="M180" s="13"/>
      <c r="N180" s="16">
        <f>IF($N$134=1,N(INDEX('Resultados'!$5:$5,$N$129-9)),CHOOSE($N$134-1,N(INDEX('Segmentos'!$90:$90,$N$129-9)),N(INDEX('Segmentos'!$91:$91,$N$129-9))))</f>
        <v/>
      </c>
      <c r="O180" s="16"/>
      <c r="P180" s="16"/>
      <c r="Q180" s="16"/>
      <c r="R180" s="16"/>
      <c r="S180" s="16"/>
      <c r="T180" s="16">
        <f>IF($N$134=1,N(INDEX('Análisis'!$73:$73,$N$129-9)),CHOOSE($N$134-1,(N(INDEX('Segmentos'!$98:$98,$N$129-9))+N(INDEX('Segmentos'!$113:$113,$N$129-9))),(N(INDEX('Segmentos'!$99:$99,$N$129-9))+N(INDEX('Segmentos'!$114:$114,$N$129-9)))))</f>
        <v/>
      </c>
      <c r="U180" s="16"/>
      <c r="V180" s="16"/>
      <c r="W180" s="16"/>
      <c r="X180" s="16"/>
      <c r="Y180" s="16"/>
      <c r="Z180" s="16">
        <f>IF($N$134=1,N(INDEX('Resultados'!$13:$13,$N$129-9)),CHOOSE($N$134-1,N(INDEX('Segmentos'!$98:$98,$N$129-9)),N(INDEX('Segmentos'!$99:$99,$N$129-9))))</f>
        <v/>
      </c>
      <c r="AA180" s="16"/>
      <c r="AB180" s="16"/>
      <c r="AC180" s="16"/>
      <c r="AD180" s="16"/>
      <c r="AE180" s="16"/>
      <c r="AF180" s="16">
        <f>IF($N$134=1,(-N(INDEX('Flujo de efectivo'!$34:$34,$N$129-9))),CHOOSE($N$134-1,N(INDEX('Segmentos'!$106:$106,$N$129-9)),N(INDEX('Segmentos'!$107:$107,$N$129-9))))</f>
        <v/>
      </c>
      <c r="AG180" s="16"/>
      <c r="AH180" s="16"/>
      <c r="AI180" s="16"/>
      <c r="AJ180" s="16"/>
      <c r="AK180" s="16"/>
      <c r="AL180" s="16">
        <f>IF($N$134=1,N(INDEX('Flujo de efectivo'!$33:$33,$N$129-9)),NA())</f>
        <v/>
      </c>
      <c r="AM180" s="16"/>
      <c r="AN180" s="16"/>
      <c r="AO180" s="16"/>
      <c r="AP180" s="16"/>
      <c r="AQ180" s="16"/>
      <c r="AR180" s="16">
        <f>IF($N$134=1,N(INDEX('Análisis'!$15:$15,$N$129-9)),NA())</f>
        <v/>
      </c>
      <c r="AS180" s="16"/>
      <c r="AT180" s="16"/>
      <c r="AU180" s="16"/>
      <c r="AV180" s="16"/>
      <c r="AW180" s="16"/>
      <c r="AX180" s="16">
        <f>IF($N$134=1,N(INDEX('Resultados'!$21:$21,$N$129-9)),NA())</f>
        <v/>
      </c>
      <c r="AY180" s="16"/>
      <c r="AZ180" s="16"/>
      <c r="BA180" s="16"/>
      <c r="BB180" s="16"/>
      <c r="BC180" s="16"/>
      <c r="BD180" s="16">
        <f>CHOOSE($N$135,$N$180,$T$180,$Z$180,$AF$180,$AL$180,$AR$180,$AX$180)</f>
        <v/>
      </c>
      <c r="BE180" s="16"/>
      <c r="BF180" s="16"/>
      <c r="BG180" s="16"/>
      <c r="BH180" s="16"/>
      <c r="BI180" s="16"/>
    </row>
    <row r="181" spans="2:61">
      <c r="B181" s="13">
        <f>INDEX($B$98:$B$123,$N$127-8)</f>
        <v/>
      </c>
      <c r="C181" s="13"/>
      <c r="D181" s="13"/>
      <c r="E181" s="13"/>
      <c r="F181" s="13"/>
      <c r="G181" s="13"/>
      <c r="H181" s="13"/>
      <c r="I181" s="13"/>
      <c r="J181" s="13"/>
      <c r="K181" s="13"/>
      <c r="L181" s="13"/>
      <c r="M181" s="13"/>
      <c r="N181" s="16">
        <f>IF($N$134=1,N(INDEX('Resultados'!$5:$5,$N$129-8)),CHOOSE($N$134-1,N(INDEX('Segmentos'!$90:$90,$N$129-8)),N(INDEX('Segmentos'!$91:$91,$N$129-8))))</f>
        <v/>
      </c>
      <c r="O181" s="16"/>
      <c r="P181" s="16"/>
      <c r="Q181" s="16"/>
      <c r="R181" s="16"/>
      <c r="S181" s="16"/>
      <c r="T181" s="16">
        <f>IF($N$134=1,N(INDEX('Análisis'!$73:$73,$N$129-8)),CHOOSE($N$134-1,(N(INDEX('Segmentos'!$98:$98,$N$129-8))+N(INDEX('Segmentos'!$113:$113,$N$129-8))),(N(INDEX('Segmentos'!$99:$99,$N$129-8))+N(INDEX('Segmentos'!$114:$114,$N$129-8)))))</f>
        <v/>
      </c>
      <c r="U181" s="16"/>
      <c r="V181" s="16"/>
      <c r="W181" s="16"/>
      <c r="X181" s="16"/>
      <c r="Y181" s="16"/>
      <c r="Z181" s="16">
        <f>IF($N$134=1,N(INDEX('Resultados'!$13:$13,$N$129-8)),CHOOSE($N$134-1,N(INDEX('Segmentos'!$98:$98,$N$129-8)),N(INDEX('Segmentos'!$99:$99,$N$129-8))))</f>
        <v/>
      </c>
      <c r="AA181" s="16"/>
      <c r="AB181" s="16"/>
      <c r="AC181" s="16"/>
      <c r="AD181" s="16"/>
      <c r="AE181" s="16"/>
      <c r="AF181" s="16">
        <f>IF($N$134=1,(-N(INDEX('Flujo de efectivo'!$34:$34,$N$129-8))),CHOOSE($N$134-1,N(INDEX('Segmentos'!$106:$106,$N$129-8)),N(INDEX('Segmentos'!$107:$107,$N$129-8))))</f>
        <v/>
      </c>
      <c r="AG181" s="16"/>
      <c r="AH181" s="16"/>
      <c r="AI181" s="16"/>
      <c r="AJ181" s="16"/>
      <c r="AK181" s="16"/>
      <c r="AL181" s="16">
        <f>IF($N$134=1,N(INDEX('Flujo de efectivo'!$33:$33,$N$129-8)),NA())</f>
        <v/>
      </c>
      <c r="AM181" s="16"/>
      <c r="AN181" s="16"/>
      <c r="AO181" s="16"/>
      <c r="AP181" s="16"/>
      <c r="AQ181" s="16"/>
      <c r="AR181" s="16">
        <f>IF($N$134=1,N(INDEX('Análisis'!$15:$15,$N$129-8)),NA())</f>
        <v/>
      </c>
      <c r="AS181" s="16"/>
      <c r="AT181" s="16"/>
      <c r="AU181" s="16"/>
      <c r="AV181" s="16"/>
      <c r="AW181" s="16"/>
      <c r="AX181" s="16">
        <f>IF($N$134=1,N(INDEX('Resultados'!$21:$21,$N$129-8)),NA())</f>
        <v/>
      </c>
      <c r="AY181" s="16"/>
      <c r="AZ181" s="16"/>
      <c r="BA181" s="16"/>
      <c r="BB181" s="16"/>
      <c r="BC181" s="16"/>
      <c r="BD181" s="16">
        <f>CHOOSE($N$135,$N$181,$T$181,$Z$181,$AF$181,$AL$181,$AR$181,$AX$181)</f>
        <v/>
      </c>
      <c r="BE181" s="16"/>
      <c r="BF181" s="16"/>
      <c r="BG181" s="16"/>
      <c r="BH181" s="16"/>
      <c r="BI181" s="16"/>
    </row>
    <row r="182" spans="2:61">
      <c r="B182" s="13">
        <f>INDEX($B$98:$B$123,$N$127-7)</f>
        <v/>
      </c>
      <c r="C182" s="13"/>
      <c r="D182" s="13"/>
      <c r="E182" s="13"/>
      <c r="F182" s="13"/>
      <c r="G182" s="13"/>
      <c r="H182" s="13"/>
      <c r="I182" s="13"/>
      <c r="J182" s="13"/>
      <c r="K182" s="13"/>
      <c r="L182" s="13"/>
      <c r="M182" s="13"/>
      <c r="N182" s="16">
        <f>IF($N$134=1,N(INDEX('Resultados'!$5:$5,$N$129-7)),CHOOSE($N$134-1,N(INDEX('Segmentos'!$90:$90,$N$129-7)),N(INDEX('Segmentos'!$91:$91,$N$129-7))))</f>
        <v/>
      </c>
      <c r="O182" s="16"/>
      <c r="P182" s="16"/>
      <c r="Q182" s="16"/>
      <c r="R182" s="16"/>
      <c r="S182" s="16"/>
      <c r="T182" s="16">
        <f>IF($N$134=1,N(INDEX('Análisis'!$73:$73,$N$129-7)),CHOOSE($N$134-1,(N(INDEX('Segmentos'!$98:$98,$N$129-7))+N(INDEX('Segmentos'!$113:$113,$N$129-7))),(N(INDEX('Segmentos'!$99:$99,$N$129-7))+N(INDEX('Segmentos'!$114:$114,$N$129-7)))))</f>
        <v/>
      </c>
      <c r="U182" s="16"/>
      <c r="V182" s="16"/>
      <c r="W182" s="16"/>
      <c r="X182" s="16"/>
      <c r="Y182" s="16"/>
      <c r="Z182" s="16">
        <f>IF($N$134=1,N(INDEX('Resultados'!$13:$13,$N$129-7)),CHOOSE($N$134-1,N(INDEX('Segmentos'!$98:$98,$N$129-7)),N(INDEX('Segmentos'!$99:$99,$N$129-7))))</f>
        <v/>
      </c>
      <c r="AA182" s="16"/>
      <c r="AB182" s="16"/>
      <c r="AC182" s="16"/>
      <c r="AD182" s="16"/>
      <c r="AE182" s="16"/>
      <c r="AF182" s="16">
        <f>IF($N$134=1,(-N(INDEX('Flujo de efectivo'!$34:$34,$N$129-7))),CHOOSE($N$134-1,N(INDEX('Segmentos'!$106:$106,$N$129-7)),N(INDEX('Segmentos'!$107:$107,$N$129-7))))</f>
        <v/>
      </c>
      <c r="AG182" s="16"/>
      <c r="AH182" s="16"/>
      <c r="AI182" s="16"/>
      <c r="AJ182" s="16"/>
      <c r="AK182" s="16"/>
      <c r="AL182" s="16">
        <f>IF($N$134=1,N(INDEX('Flujo de efectivo'!$33:$33,$N$129-7)),NA())</f>
        <v/>
      </c>
      <c r="AM182" s="16"/>
      <c r="AN182" s="16"/>
      <c r="AO182" s="16"/>
      <c r="AP182" s="16"/>
      <c r="AQ182" s="16"/>
      <c r="AR182" s="16">
        <f>IF($N$134=1,N(INDEX('Análisis'!$15:$15,$N$129-7)),NA())</f>
        <v/>
      </c>
      <c r="AS182" s="16"/>
      <c r="AT182" s="16"/>
      <c r="AU182" s="16"/>
      <c r="AV182" s="16"/>
      <c r="AW182" s="16"/>
      <c r="AX182" s="16">
        <f>IF($N$134=1,N(INDEX('Resultados'!$21:$21,$N$129-7)),NA())</f>
        <v/>
      </c>
      <c r="AY182" s="16"/>
      <c r="AZ182" s="16"/>
      <c r="BA182" s="16"/>
      <c r="BB182" s="16"/>
      <c r="BC182" s="16"/>
      <c r="BD182" s="16">
        <f>CHOOSE($N$135,$N$182,$T$182,$Z$182,$AF$182,$AL$182,$AR$182,$AX$182)</f>
        <v/>
      </c>
      <c r="BE182" s="16"/>
      <c r="BF182" s="16"/>
      <c r="BG182" s="16"/>
      <c r="BH182" s="16"/>
      <c r="BI182" s="16"/>
    </row>
    <row r="183" spans="2:61">
      <c r="B183" s="13">
        <f>INDEX($B$98:$B$123,$N$127-6)</f>
        <v/>
      </c>
      <c r="C183" s="13"/>
      <c r="D183" s="13"/>
      <c r="E183" s="13"/>
      <c r="F183" s="13"/>
      <c r="G183" s="13"/>
      <c r="H183" s="13"/>
      <c r="I183" s="13"/>
      <c r="J183" s="13"/>
      <c r="K183" s="13"/>
      <c r="L183" s="13"/>
      <c r="M183" s="13"/>
      <c r="N183" s="16">
        <f>IF($N$134=1,N(INDEX('Resultados'!$5:$5,$N$129-6)),CHOOSE($N$134-1,N(INDEX('Segmentos'!$90:$90,$N$129-6)),N(INDEX('Segmentos'!$91:$91,$N$129-6))))</f>
        <v/>
      </c>
      <c r="O183" s="16"/>
      <c r="P183" s="16"/>
      <c r="Q183" s="16"/>
      <c r="R183" s="16"/>
      <c r="S183" s="16"/>
      <c r="T183" s="16">
        <f>IF($N$134=1,N(INDEX('Análisis'!$73:$73,$N$129-6)),CHOOSE($N$134-1,(N(INDEX('Segmentos'!$98:$98,$N$129-6))+N(INDEX('Segmentos'!$113:$113,$N$129-6))),(N(INDEX('Segmentos'!$99:$99,$N$129-6))+N(INDEX('Segmentos'!$114:$114,$N$129-6)))))</f>
        <v/>
      </c>
      <c r="U183" s="16"/>
      <c r="V183" s="16"/>
      <c r="W183" s="16"/>
      <c r="X183" s="16"/>
      <c r="Y183" s="16"/>
      <c r="Z183" s="16">
        <f>IF($N$134=1,N(INDEX('Resultados'!$13:$13,$N$129-6)),CHOOSE($N$134-1,N(INDEX('Segmentos'!$98:$98,$N$129-6)),N(INDEX('Segmentos'!$99:$99,$N$129-6))))</f>
        <v/>
      </c>
      <c r="AA183" s="16"/>
      <c r="AB183" s="16"/>
      <c r="AC183" s="16"/>
      <c r="AD183" s="16"/>
      <c r="AE183" s="16"/>
      <c r="AF183" s="16">
        <f>IF($N$134=1,(-N(INDEX('Flujo de efectivo'!$34:$34,$N$129-6))),CHOOSE($N$134-1,N(INDEX('Segmentos'!$106:$106,$N$129-6)),N(INDEX('Segmentos'!$107:$107,$N$129-6))))</f>
        <v/>
      </c>
      <c r="AG183" s="16"/>
      <c r="AH183" s="16"/>
      <c r="AI183" s="16"/>
      <c r="AJ183" s="16"/>
      <c r="AK183" s="16"/>
      <c r="AL183" s="16">
        <f>IF($N$134=1,N(INDEX('Flujo de efectivo'!$33:$33,$N$129-6)),NA())</f>
        <v/>
      </c>
      <c r="AM183" s="16"/>
      <c r="AN183" s="16"/>
      <c r="AO183" s="16"/>
      <c r="AP183" s="16"/>
      <c r="AQ183" s="16"/>
      <c r="AR183" s="16">
        <f>IF($N$134=1,N(INDEX('Análisis'!$15:$15,$N$129-6)),NA())</f>
        <v/>
      </c>
      <c r="AS183" s="16"/>
      <c r="AT183" s="16"/>
      <c r="AU183" s="16"/>
      <c r="AV183" s="16"/>
      <c r="AW183" s="16"/>
      <c r="AX183" s="16">
        <f>IF($N$134=1,N(INDEX('Resultados'!$21:$21,$N$129-6)),NA())</f>
        <v/>
      </c>
      <c r="AY183" s="16"/>
      <c r="AZ183" s="16"/>
      <c r="BA183" s="16"/>
      <c r="BB183" s="16"/>
      <c r="BC183" s="16"/>
      <c r="BD183" s="16">
        <f>CHOOSE($N$135,$N$183,$T$183,$Z$183,$AF$183,$AL$183,$AR$183,$AX$183)</f>
        <v/>
      </c>
      <c r="BE183" s="16"/>
      <c r="BF183" s="16"/>
      <c r="BG183" s="16"/>
      <c r="BH183" s="16"/>
      <c r="BI183" s="16"/>
    </row>
    <row r="184" spans="2:61">
      <c r="B184" s="13">
        <f>INDEX($B$98:$B$123,$N$127-5)</f>
        <v/>
      </c>
      <c r="C184" s="13"/>
      <c r="D184" s="13"/>
      <c r="E184" s="13"/>
      <c r="F184" s="13"/>
      <c r="G184" s="13"/>
      <c r="H184" s="13"/>
      <c r="I184" s="13"/>
      <c r="J184" s="13"/>
      <c r="K184" s="13"/>
      <c r="L184" s="13"/>
      <c r="M184" s="13"/>
      <c r="N184" s="16">
        <f>IF($N$134=1,N(INDEX('Resultados'!$5:$5,$N$129-5)),CHOOSE($N$134-1,N(INDEX('Segmentos'!$90:$90,$N$129-5)),N(INDEX('Segmentos'!$91:$91,$N$129-5))))</f>
        <v/>
      </c>
      <c r="O184" s="16"/>
      <c r="P184" s="16"/>
      <c r="Q184" s="16"/>
      <c r="R184" s="16"/>
      <c r="S184" s="16"/>
      <c r="T184" s="16">
        <f>IF($N$134=1,N(INDEX('Análisis'!$73:$73,$N$129-5)),CHOOSE($N$134-1,(N(INDEX('Segmentos'!$98:$98,$N$129-5))+N(INDEX('Segmentos'!$113:$113,$N$129-5))),(N(INDEX('Segmentos'!$99:$99,$N$129-5))+N(INDEX('Segmentos'!$114:$114,$N$129-5)))))</f>
        <v/>
      </c>
      <c r="U184" s="16"/>
      <c r="V184" s="16"/>
      <c r="W184" s="16"/>
      <c r="X184" s="16"/>
      <c r="Y184" s="16"/>
      <c r="Z184" s="16">
        <f>IF($N$134=1,N(INDEX('Resultados'!$13:$13,$N$129-5)),CHOOSE($N$134-1,N(INDEX('Segmentos'!$98:$98,$N$129-5)),N(INDEX('Segmentos'!$99:$99,$N$129-5))))</f>
        <v/>
      </c>
      <c r="AA184" s="16"/>
      <c r="AB184" s="16"/>
      <c r="AC184" s="16"/>
      <c r="AD184" s="16"/>
      <c r="AE184" s="16"/>
      <c r="AF184" s="16">
        <f>IF($N$134=1,(-N(INDEX('Flujo de efectivo'!$34:$34,$N$129-5))),CHOOSE($N$134-1,N(INDEX('Segmentos'!$106:$106,$N$129-5)),N(INDEX('Segmentos'!$107:$107,$N$129-5))))</f>
        <v/>
      </c>
      <c r="AG184" s="16"/>
      <c r="AH184" s="16"/>
      <c r="AI184" s="16"/>
      <c r="AJ184" s="16"/>
      <c r="AK184" s="16"/>
      <c r="AL184" s="16">
        <f>IF($N$134=1,N(INDEX('Flujo de efectivo'!$33:$33,$N$129-5)),NA())</f>
        <v/>
      </c>
      <c r="AM184" s="16"/>
      <c r="AN184" s="16"/>
      <c r="AO184" s="16"/>
      <c r="AP184" s="16"/>
      <c r="AQ184" s="16"/>
      <c r="AR184" s="16">
        <f>IF($N$134=1,N(INDEX('Análisis'!$15:$15,$N$129-5)),NA())</f>
        <v/>
      </c>
      <c r="AS184" s="16"/>
      <c r="AT184" s="16"/>
      <c r="AU184" s="16"/>
      <c r="AV184" s="16"/>
      <c r="AW184" s="16"/>
      <c r="AX184" s="16">
        <f>IF($N$134=1,N(INDEX('Resultados'!$21:$21,$N$129-5)),NA())</f>
        <v/>
      </c>
      <c r="AY184" s="16"/>
      <c r="AZ184" s="16"/>
      <c r="BA184" s="16"/>
      <c r="BB184" s="16"/>
      <c r="BC184" s="16"/>
      <c r="BD184" s="16">
        <f>CHOOSE($N$135,$N$184,$T$184,$Z$184,$AF$184,$AL$184,$AR$184,$AX$184)</f>
        <v/>
      </c>
      <c r="BE184" s="16"/>
      <c r="BF184" s="16"/>
      <c r="BG184" s="16"/>
      <c r="BH184" s="16"/>
      <c r="BI184" s="16"/>
    </row>
    <row r="185" spans="2:61">
      <c r="B185" s="13">
        <f>INDEX($B$98:$B$123,$N$127-4)</f>
        <v/>
      </c>
      <c r="C185" s="13"/>
      <c r="D185" s="13"/>
      <c r="E185" s="13"/>
      <c r="F185" s="13"/>
      <c r="G185" s="13"/>
      <c r="H185" s="13"/>
      <c r="I185" s="13"/>
      <c r="J185" s="13"/>
      <c r="K185" s="13"/>
      <c r="L185" s="13"/>
      <c r="M185" s="13"/>
      <c r="N185" s="16">
        <f>IF($N$134=1,N(INDEX('Resultados'!$5:$5,$N$129-4)),CHOOSE($N$134-1,N(INDEX('Segmentos'!$90:$90,$N$129-4)),N(INDEX('Segmentos'!$91:$91,$N$129-4))))</f>
        <v/>
      </c>
      <c r="O185" s="16"/>
      <c r="P185" s="16"/>
      <c r="Q185" s="16"/>
      <c r="R185" s="16"/>
      <c r="S185" s="16"/>
      <c r="T185" s="16">
        <f>IF($N$134=1,N(INDEX('Análisis'!$73:$73,$N$129-4)),CHOOSE($N$134-1,(N(INDEX('Segmentos'!$98:$98,$N$129-4))+N(INDEX('Segmentos'!$113:$113,$N$129-4))),(N(INDEX('Segmentos'!$99:$99,$N$129-4))+N(INDEX('Segmentos'!$114:$114,$N$129-4)))))</f>
        <v/>
      </c>
      <c r="U185" s="16"/>
      <c r="V185" s="16"/>
      <c r="W185" s="16"/>
      <c r="X185" s="16"/>
      <c r="Y185" s="16"/>
      <c r="Z185" s="16">
        <f>IF($N$134=1,N(INDEX('Resultados'!$13:$13,$N$129-4)),CHOOSE($N$134-1,N(INDEX('Segmentos'!$98:$98,$N$129-4)),N(INDEX('Segmentos'!$99:$99,$N$129-4))))</f>
        <v/>
      </c>
      <c r="AA185" s="16"/>
      <c r="AB185" s="16"/>
      <c r="AC185" s="16"/>
      <c r="AD185" s="16"/>
      <c r="AE185" s="16"/>
      <c r="AF185" s="16">
        <f>IF($N$134=1,(-N(INDEX('Flujo de efectivo'!$34:$34,$N$129-4))),CHOOSE($N$134-1,N(INDEX('Segmentos'!$106:$106,$N$129-4)),N(INDEX('Segmentos'!$107:$107,$N$129-4))))</f>
        <v/>
      </c>
      <c r="AG185" s="16"/>
      <c r="AH185" s="16"/>
      <c r="AI185" s="16"/>
      <c r="AJ185" s="16"/>
      <c r="AK185" s="16"/>
      <c r="AL185" s="16">
        <f>IF($N$134=1,N(INDEX('Flujo de efectivo'!$33:$33,$N$129-4)),NA())</f>
        <v/>
      </c>
      <c r="AM185" s="16"/>
      <c r="AN185" s="16"/>
      <c r="AO185" s="16"/>
      <c r="AP185" s="16"/>
      <c r="AQ185" s="16"/>
      <c r="AR185" s="16">
        <f>IF($N$134=1,N(INDEX('Análisis'!$15:$15,$N$129-4)),NA())</f>
        <v/>
      </c>
      <c r="AS185" s="16"/>
      <c r="AT185" s="16"/>
      <c r="AU185" s="16"/>
      <c r="AV185" s="16"/>
      <c r="AW185" s="16"/>
      <c r="AX185" s="16">
        <f>IF($N$134=1,N(INDEX('Resultados'!$21:$21,$N$129-4)),NA())</f>
        <v/>
      </c>
      <c r="AY185" s="16"/>
      <c r="AZ185" s="16"/>
      <c r="BA185" s="16"/>
      <c r="BB185" s="16"/>
      <c r="BC185" s="16"/>
      <c r="BD185" s="16">
        <f>CHOOSE($N$135,$N$185,$T$185,$Z$185,$AF$185,$AL$185,$AR$185,$AX$185)</f>
        <v/>
      </c>
      <c r="BE185" s="16"/>
      <c r="BF185" s="16"/>
      <c r="BG185" s="16"/>
      <c r="BH185" s="16"/>
      <c r="BI185" s="16"/>
    </row>
    <row r="186" spans="2:61">
      <c r="B186" s="13">
        <f>INDEX($B$98:$B$123,$N$127-3)</f>
        <v/>
      </c>
      <c r="C186" s="13"/>
      <c r="D186" s="13"/>
      <c r="E186" s="13"/>
      <c r="F186" s="13"/>
      <c r="G186" s="13"/>
      <c r="H186" s="13"/>
      <c r="I186" s="13"/>
      <c r="J186" s="13"/>
      <c r="K186" s="13"/>
      <c r="L186" s="13"/>
      <c r="M186" s="13"/>
      <c r="N186" s="16">
        <f>IF($N$134=1,N(INDEX('Resultados'!$5:$5,$N$129-3)),CHOOSE($N$134-1,N(INDEX('Segmentos'!$90:$90,$N$129-3)),N(INDEX('Segmentos'!$91:$91,$N$129-3))))</f>
        <v/>
      </c>
      <c r="O186" s="16"/>
      <c r="P186" s="16"/>
      <c r="Q186" s="16"/>
      <c r="R186" s="16"/>
      <c r="S186" s="16"/>
      <c r="T186" s="16">
        <f>IF($N$134=1,N(INDEX('Análisis'!$73:$73,$N$129-3)),CHOOSE($N$134-1,(N(INDEX('Segmentos'!$98:$98,$N$129-3))+N(INDEX('Segmentos'!$113:$113,$N$129-3))),(N(INDEX('Segmentos'!$99:$99,$N$129-3))+N(INDEX('Segmentos'!$114:$114,$N$129-3)))))</f>
        <v/>
      </c>
      <c r="U186" s="16"/>
      <c r="V186" s="16"/>
      <c r="W186" s="16"/>
      <c r="X186" s="16"/>
      <c r="Y186" s="16"/>
      <c r="Z186" s="16">
        <f>IF($N$134=1,N(INDEX('Resultados'!$13:$13,$N$129-3)),CHOOSE($N$134-1,N(INDEX('Segmentos'!$98:$98,$N$129-3)),N(INDEX('Segmentos'!$99:$99,$N$129-3))))</f>
        <v/>
      </c>
      <c r="AA186" s="16"/>
      <c r="AB186" s="16"/>
      <c r="AC186" s="16"/>
      <c r="AD186" s="16"/>
      <c r="AE186" s="16"/>
      <c r="AF186" s="16">
        <f>IF($N$134=1,(-N(INDEX('Flujo de efectivo'!$34:$34,$N$129-3))),CHOOSE($N$134-1,N(INDEX('Segmentos'!$106:$106,$N$129-3)),N(INDEX('Segmentos'!$107:$107,$N$129-3))))</f>
        <v/>
      </c>
      <c r="AG186" s="16"/>
      <c r="AH186" s="16"/>
      <c r="AI186" s="16"/>
      <c r="AJ186" s="16"/>
      <c r="AK186" s="16"/>
      <c r="AL186" s="16">
        <f>IF($N$134=1,N(INDEX('Flujo de efectivo'!$33:$33,$N$129-3)),NA())</f>
        <v/>
      </c>
      <c r="AM186" s="16"/>
      <c r="AN186" s="16"/>
      <c r="AO186" s="16"/>
      <c r="AP186" s="16"/>
      <c r="AQ186" s="16"/>
      <c r="AR186" s="16">
        <f>IF($N$134=1,N(INDEX('Análisis'!$15:$15,$N$129-3)),NA())</f>
        <v/>
      </c>
      <c r="AS186" s="16"/>
      <c r="AT186" s="16"/>
      <c r="AU186" s="16"/>
      <c r="AV186" s="16"/>
      <c r="AW186" s="16"/>
      <c r="AX186" s="16">
        <f>IF($N$134=1,N(INDEX('Resultados'!$21:$21,$N$129-3)),NA())</f>
        <v/>
      </c>
      <c r="AY186" s="16"/>
      <c r="AZ186" s="16"/>
      <c r="BA186" s="16"/>
      <c r="BB186" s="16"/>
      <c r="BC186" s="16"/>
      <c r="BD186" s="16">
        <f>CHOOSE($N$135,$N$186,$T$186,$Z$186,$AF$186,$AL$186,$AR$186,$AX$186)</f>
        <v/>
      </c>
      <c r="BE186" s="16"/>
      <c r="BF186" s="16"/>
      <c r="BG186" s="16"/>
      <c r="BH186" s="16"/>
      <c r="BI186" s="16"/>
    </row>
    <row r="187" spans="2:61">
      <c r="B187" s="13">
        <f>INDEX($B$98:$B$123,$N$127-2)</f>
        <v/>
      </c>
      <c r="C187" s="13"/>
      <c r="D187" s="13"/>
      <c r="E187" s="13"/>
      <c r="F187" s="13"/>
      <c r="G187" s="13"/>
      <c r="H187" s="13"/>
      <c r="I187" s="13"/>
      <c r="J187" s="13"/>
      <c r="K187" s="13"/>
      <c r="L187" s="13"/>
      <c r="M187" s="13"/>
      <c r="N187" s="16">
        <f>IF($N$134=1,N(INDEX('Resultados'!$5:$5,$N$129-2)),CHOOSE($N$134-1,N(INDEX('Segmentos'!$90:$90,$N$129-2)),N(INDEX('Segmentos'!$91:$91,$N$129-2))))</f>
        <v/>
      </c>
      <c r="O187" s="16"/>
      <c r="P187" s="16"/>
      <c r="Q187" s="16"/>
      <c r="R187" s="16"/>
      <c r="S187" s="16"/>
      <c r="T187" s="16">
        <f>IF($N$134=1,N(INDEX('Análisis'!$73:$73,$N$129-2)),CHOOSE($N$134-1,(N(INDEX('Segmentos'!$98:$98,$N$129-2))+N(INDEX('Segmentos'!$113:$113,$N$129-2))),(N(INDEX('Segmentos'!$99:$99,$N$129-2))+N(INDEX('Segmentos'!$114:$114,$N$129-2)))))</f>
        <v/>
      </c>
      <c r="U187" s="16"/>
      <c r="V187" s="16"/>
      <c r="W187" s="16"/>
      <c r="X187" s="16"/>
      <c r="Y187" s="16"/>
      <c r="Z187" s="16">
        <f>IF($N$134=1,N(INDEX('Resultados'!$13:$13,$N$129-2)),CHOOSE($N$134-1,N(INDEX('Segmentos'!$98:$98,$N$129-2)),N(INDEX('Segmentos'!$99:$99,$N$129-2))))</f>
        <v/>
      </c>
      <c r="AA187" s="16"/>
      <c r="AB187" s="16"/>
      <c r="AC187" s="16"/>
      <c r="AD187" s="16"/>
      <c r="AE187" s="16"/>
      <c r="AF187" s="16">
        <f>IF($N$134=1,(-N(INDEX('Flujo de efectivo'!$34:$34,$N$129-2))),CHOOSE($N$134-1,N(INDEX('Segmentos'!$106:$106,$N$129-2)),N(INDEX('Segmentos'!$107:$107,$N$129-2))))</f>
        <v/>
      </c>
      <c r="AG187" s="16"/>
      <c r="AH187" s="16"/>
      <c r="AI187" s="16"/>
      <c r="AJ187" s="16"/>
      <c r="AK187" s="16"/>
      <c r="AL187" s="16">
        <f>IF($N$134=1,N(INDEX('Flujo de efectivo'!$33:$33,$N$129-2)),NA())</f>
        <v/>
      </c>
      <c r="AM187" s="16"/>
      <c r="AN187" s="16"/>
      <c r="AO187" s="16"/>
      <c r="AP187" s="16"/>
      <c r="AQ187" s="16"/>
      <c r="AR187" s="16">
        <f>IF($N$134=1,N(INDEX('Análisis'!$15:$15,$N$129-2)),NA())</f>
        <v/>
      </c>
      <c r="AS187" s="16"/>
      <c r="AT187" s="16"/>
      <c r="AU187" s="16"/>
      <c r="AV187" s="16"/>
      <c r="AW187" s="16"/>
      <c r="AX187" s="16">
        <f>IF($N$134=1,N(INDEX('Resultados'!$21:$21,$N$129-2)),NA())</f>
        <v/>
      </c>
      <c r="AY187" s="16"/>
      <c r="AZ187" s="16"/>
      <c r="BA187" s="16"/>
      <c r="BB187" s="16"/>
      <c r="BC187" s="16"/>
      <c r="BD187" s="16">
        <f>CHOOSE($N$135,$N$187,$T$187,$Z$187,$AF$187,$AL$187,$AR$187,$AX$187)</f>
        <v/>
      </c>
      <c r="BE187" s="16"/>
      <c r="BF187" s="16"/>
      <c r="BG187" s="16"/>
      <c r="BH187" s="16"/>
      <c r="BI187" s="16"/>
    </row>
    <row r="188" spans="2:61">
      <c r="B188" s="13">
        <f>INDEX($B$98:$B$123,$N$127-1)</f>
        <v/>
      </c>
      <c r="C188" s="13"/>
      <c r="D188" s="13"/>
      <c r="E188" s="13"/>
      <c r="F188" s="13"/>
      <c r="G188" s="13"/>
      <c r="H188" s="13"/>
      <c r="I188" s="13"/>
      <c r="J188" s="13"/>
      <c r="K188" s="13"/>
      <c r="L188" s="13"/>
      <c r="M188" s="13"/>
      <c r="N188" s="16">
        <f>IF($N$134=1,N(INDEX('Resultados'!$5:$5,$N$129-1)),CHOOSE($N$134-1,N(INDEX('Segmentos'!$90:$90,$N$129-1)),N(INDEX('Segmentos'!$91:$91,$N$129-1))))</f>
        <v/>
      </c>
      <c r="O188" s="16"/>
      <c r="P188" s="16"/>
      <c r="Q188" s="16"/>
      <c r="R188" s="16"/>
      <c r="S188" s="16"/>
      <c r="T188" s="16">
        <f>IF($N$134=1,N(INDEX('Análisis'!$73:$73,$N$129-1)),CHOOSE($N$134-1,(N(INDEX('Segmentos'!$98:$98,$N$129-1))+N(INDEX('Segmentos'!$113:$113,$N$129-1))),(N(INDEX('Segmentos'!$99:$99,$N$129-1))+N(INDEX('Segmentos'!$114:$114,$N$129-1)))))</f>
        <v/>
      </c>
      <c r="U188" s="16"/>
      <c r="V188" s="16"/>
      <c r="W188" s="16"/>
      <c r="X188" s="16"/>
      <c r="Y188" s="16"/>
      <c r="Z188" s="16">
        <f>IF($N$134=1,N(INDEX('Resultados'!$13:$13,$N$129-1)),CHOOSE($N$134-1,N(INDEX('Segmentos'!$98:$98,$N$129-1)),N(INDEX('Segmentos'!$99:$99,$N$129-1))))</f>
        <v/>
      </c>
      <c r="AA188" s="16"/>
      <c r="AB188" s="16"/>
      <c r="AC188" s="16"/>
      <c r="AD188" s="16"/>
      <c r="AE188" s="16"/>
      <c r="AF188" s="16">
        <f>IF($N$134=1,(-N(INDEX('Flujo de efectivo'!$34:$34,$N$129-1))),CHOOSE($N$134-1,N(INDEX('Segmentos'!$106:$106,$N$129-1)),N(INDEX('Segmentos'!$107:$107,$N$129-1))))</f>
        <v/>
      </c>
      <c r="AG188" s="16"/>
      <c r="AH188" s="16"/>
      <c r="AI188" s="16"/>
      <c r="AJ188" s="16"/>
      <c r="AK188" s="16"/>
      <c r="AL188" s="16">
        <f>IF($N$134=1,N(INDEX('Flujo de efectivo'!$33:$33,$N$129-1)),NA())</f>
        <v/>
      </c>
      <c r="AM188" s="16"/>
      <c r="AN188" s="16"/>
      <c r="AO188" s="16"/>
      <c r="AP188" s="16"/>
      <c r="AQ188" s="16"/>
      <c r="AR188" s="16">
        <f>IF($N$134=1,N(INDEX('Análisis'!$15:$15,$N$129-1)),NA())</f>
        <v/>
      </c>
      <c r="AS188" s="16"/>
      <c r="AT188" s="16"/>
      <c r="AU188" s="16"/>
      <c r="AV188" s="16"/>
      <c r="AW188" s="16"/>
      <c r="AX188" s="16">
        <f>IF($N$134=1,N(INDEX('Resultados'!$21:$21,$N$129-1)),NA())</f>
        <v/>
      </c>
      <c r="AY188" s="16"/>
      <c r="AZ188" s="16"/>
      <c r="BA188" s="16"/>
      <c r="BB188" s="16"/>
      <c r="BC188" s="16"/>
      <c r="BD188" s="16">
        <f>CHOOSE($N$135,$N$188,$T$188,$Z$188,$AF$188,$AL$188,$AR$188,$AX$188)</f>
        <v/>
      </c>
      <c r="BE188" s="16"/>
      <c r="BF188" s="16"/>
      <c r="BG188" s="16"/>
      <c r="BH188" s="16"/>
      <c r="BI188" s="16"/>
    </row>
    <row r="189" spans="2:61">
      <c r="B189" s="13">
        <f>INDEX($B$98:$B$123,$N$127-0)</f>
        <v/>
      </c>
      <c r="C189" s="13"/>
      <c r="D189" s="13"/>
      <c r="E189" s="13"/>
      <c r="F189" s="13"/>
      <c r="G189" s="13"/>
      <c r="H189" s="13"/>
      <c r="I189" s="13"/>
      <c r="J189" s="13"/>
      <c r="K189" s="13"/>
      <c r="L189" s="13"/>
      <c r="M189" s="13"/>
      <c r="N189" s="16">
        <f>IF($N$134=1,N(INDEX('Resultados'!$5:$5,$N$129)),CHOOSE($N$134-1,N(INDEX('Segmentos'!$90:$90,$N$129)),N(INDEX('Segmentos'!$91:$91,$N$129))))</f>
        <v/>
      </c>
      <c r="O189" s="16"/>
      <c r="P189" s="16"/>
      <c r="Q189" s="16"/>
      <c r="R189" s="16"/>
      <c r="S189" s="16"/>
      <c r="T189" s="16">
        <f>IF($N$134=1,N(INDEX('Análisis'!$73:$73,$N$129)),CHOOSE($N$134-1,(N(INDEX('Segmentos'!$98:$98,$N$129))+N(INDEX('Segmentos'!$113:$113,$N$129))),(N(INDEX('Segmentos'!$99:$99,$N$129))+N(INDEX('Segmentos'!$114:$114,$N$129)))))</f>
        <v/>
      </c>
      <c r="U189" s="16"/>
      <c r="V189" s="16"/>
      <c r="W189" s="16"/>
      <c r="X189" s="16"/>
      <c r="Y189" s="16"/>
      <c r="Z189" s="16">
        <f>IF($N$134=1,N(INDEX('Resultados'!$13:$13,$N$129)),CHOOSE($N$134-1,N(INDEX('Segmentos'!$98:$98,$N$129)),N(INDEX('Segmentos'!$99:$99,$N$129))))</f>
        <v/>
      </c>
      <c r="AA189" s="16"/>
      <c r="AB189" s="16"/>
      <c r="AC189" s="16"/>
      <c r="AD189" s="16"/>
      <c r="AE189" s="16"/>
      <c r="AF189" s="16">
        <f>IF($N$134=1,(-N(INDEX('Flujo de efectivo'!$34:$34,$N$129))),CHOOSE($N$134-1,N(INDEX('Segmentos'!$106:$106,$N$129)),N(INDEX('Segmentos'!$107:$107,$N$129))))</f>
        <v/>
      </c>
      <c r="AG189" s="16"/>
      <c r="AH189" s="16"/>
      <c r="AI189" s="16"/>
      <c r="AJ189" s="16"/>
      <c r="AK189" s="16"/>
      <c r="AL189" s="16">
        <f>IF($N$134=1,N(INDEX('Flujo de efectivo'!$33:$33,$N$129)),NA())</f>
        <v/>
      </c>
      <c r="AM189" s="16"/>
      <c r="AN189" s="16"/>
      <c r="AO189" s="16"/>
      <c r="AP189" s="16"/>
      <c r="AQ189" s="16"/>
      <c r="AR189" s="16">
        <f>IF($N$134=1,N(INDEX('Análisis'!$15:$15,$N$129)),NA())</f>
        <v/>
      </c>
      <c r="AS189" s="16"/>
      <c r="AT189" s="16"/>
      <c r="AU189" s="16"/>
      <c r="AV189" s="16"/>
      <c r="AW189" s="16"/>
      <c r="AX189" s="16">
        <f>IF($N$134=1,N(INDEX('Resultados'!$21:$21,$N$129)),NA())</f>
        <v/>
      </c>
      <c r="AY189" s="16"/>
      <c r="AZ189" s="16"/>
      <c r="BA189" s="16"/>
      <c r="BB189" s="16"/>
      <c r="BC189" s="16"/>
      <c r="BD189" s="16">
        <f>CHOOSE($N$135,$N$189,$T$189,$Z$189,$AF$189,$AL$189,$AR$189,$AX$189)</f>
        <v/>
      </c>
      <c r="BE189" s="16"/>
      <c r="BF189" s="16"/>
      <c r="BG189" s="16"/>
      <c r="BH189" s="16"/>
      <c r="BI189" s="16"/>
    </row>
    <row r="190" spans="2:61">
      <c r="B190" s="13" t="s">
        <v>1222</v>
      </c>
      <c r="C190" s="13"/>
      <c r="D190" s="13"/>
      <c r="E190" s="13"/>
      <c r="F190" s="13"/>
      <c r="G190" s="13"/>
      <c r="H190" s="13"/>
      <c r="I190" s="13"/>
      <c r="J190" s="13"/>
      <c r="K190" s="13"/>
      <c r="L190" s="13"/>
      <c r="M190" s="13"/>
      <c r="N190" s="16">
        <f>IFERROR(SUM($BD$186:$BD$189),"")</f>
        <v/>
      </c>
      <c r="O190" s="16"/>
      <c r="P190" s="16"/>
      <c r="Q190" s="16"/>
      <c r="R190" s="16"/>
      <c r="S190" s="16"/>
    </row>
    <row r="192" spans="2:61">
      <c r="B192" s="11" t="s">
        <v>1223</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spans="2:43">
      <c r="B193" s="12"/>
      <c r="C193" s="12"/>
      <c r="D193" s="12"/>
      <c r="E193" s="12"/>
      <c r="F193" s="12"/>
      <c r="G193" s="12"/>
      <c r="H193" s="12"/>
      <c r="I193" s="12"/>
      <c r="J193" s="12"/>
      <c r="K193" s="12"/>
      <c r="L193" s="12"/>
      <c r="M193" s="12"/>
      <c r="N193" s="12">
        <f>$AU$4</f>
        <v/>
      </c>
      <c r="O193" s="12"/>
      <c r="P193" s="12"/>
      <c r="Q193" s="12"/>
      <c r="R193" s="12"/>
      <c r="S193" s="12"/>
      <c r="T193" s="12">
        <f>$N$131</f>
        <v/>
      </c>
      <c r="U193" s="12"/>
      <c r="V193" s="12"/>
      <c r="W193" s="12"/>
      <c r="X193" s="12"/>
      <c r="Y193" s="12"/>
      <c r="Z193" s="12" t="s">
        <v>1224</v>
      </c>
      <c r="AA193" s="12"/>
      <c r="AB193" s="12"/>
      <c r="AC193" s="12"/>
      <c r="AD193" s="12"/>
      <c r="AE193" s="12"/>
      <c r="AF193" s="12" t="s">
        <v>1225</v>
      </c>
      <c r="AG193" s="12"/>
      <c r="AH193" s="12"/>
      <c r="AI193" s="12"/>
      <c r="AJ193" s="12"/>
      <c r="AK193" s="12"/>
    </row>
    <row r="194" spans="2:43">
      <c r="B194" s="13" t="s">
        <v>1226</v>
      </c>
      <c r="C194" s="13"/>
      <c r="D194" s="13"/>
      <c r="E194" s="13"/>
      <c r="F194" s="13"/>
      <c r="G194" s="13"/>
      <c r="H194" s="13"/>
      <c r="I194" s="13"/>
      <c r="J194" s="13"/>
      <c r="K194" s="13"/>
      <c r="L194" s="13"/>
      <c r="M194" s="13"/>
      <c r="N194" s="21">
        <f>IFERROR(N(INDEX('Resultados'!$7:$7,$N$129))/N(INDEX('Resultados'!$5:$5,$N$129)),"")</f>
        <v/>
      </c>
      <c r="O194" s="21"/>
      <c r="P194" s="21"/>
      <c r="Q194" s="21"/>
      <c r="R194" s="21"/>
      <c r="S194" s="21"/>
      <c r="T194" s="21">
        <f>IFERROR(N(INDEX('Resultados'!$7:$7,$N$129-$N$130))/N(INDEX('Resultados'!$5:$5,$N$129-$N$130)),"")</f>
        <v/>
      </c>
      <c r="U194" s="21"/>
      <c r="V194" s="21"/>
      <c r="W194" s="21"/>
      <c r="X194" s="21"/>
      <c r="Y194" s="21"/>
      <c r="Z194" s="21">
        <f>IFERROR(MAX(0,$N$194),0)</f>
        <v/>
      </c>
      <c r="AA194" s="21"/>
      <c r="AB194" s="21"/>
      <c r="AC194" s="21"/>
      <c r="AD194" s="21"/>
      <c r="AE194" s="21"/>
      <c r="AF194" s="21">
        <f>IFERROR(MAX(0,$T$194),0)</f>
        <v/>
      </c>
      <c r="AG194" s="21"/>
      <c r="AH194" s="21"/>
      <c r="AI194" s="21"/>
      <c r="AJ194" s="21"/>
      <c r="AK194" s="21"/>
    </row>
    <row r="195" spans="2:43">
      <c r="B195" s="13" t="s">
        <v>62</v>
      </c>
      <c r="C195" s="13"/>
      <c r="D195" s="13"/>
      <c r="E195" s="13"/>
      <c r="F195" s="13"/>
      <c r="G195" s="13"/>
      <c r="H195" s="13"/>
      <c r="I195" s="13"/>
      <c r="J195" s="13"/>
      <c r="K195" s="13"/>
      <c r="L195" s="13"/>
      <c r="M195" s="13"/>
      <c r="N195" s="21">
        <f>IFERROR(N(INDEX('Resultados'!$13:$13,$N$129))/N(INDEX('Resultados'!$5:$5,$N$129)),"")</f>
        <v/>
      </c>
      <c r="O195" s="21"/>
      <c r="P195" s="21"/>
      <c r="Q195" s="21"/>
      <c r="R195" s="21"/>
      <c r="S195" s="21"/>
      <c r="T195" s="21">
        <f>IFERROR(N(INDEX('Resultados'!$13:$13,$N$129-$N$130))/N(INDEX('Resultados'!$5:$5,$N$129-$N$130)),"")</f>
        <v/>
      </c>
      <c r="U195" s="21"/>
      <c r="V195" s="21"/>
      <c r="W195" s="21"/>
      <c r="X195" s="21"/>
      <c r="Y195" s="21"/>
      <c r="Z195" s="21">
        <f>IFERROR(MAX(0,$N$195),0)</f>
        <v/>
      </c>
      <c r="AA195" s="21"/>
      <c r="AB195" s="21"/>
      <c r="AC195" s="21"/>
      <c r="AD195" s="21"/>
      <c r="AE195" s="21"/>
      <c r="AF195" s="21">
        <f>IFERROR(MAX(0,$T$195),0)</f>
        <v/>
      </c>
      <c r="AG195" s="21"/>
      <c r="AH195" s="21"/>
      <c r="AI195" s="21"/>
      <c r="AJ195" s="21"/>
      <c r="AK195" s="21"/>
    </row>
    <row r="196" spans="2:43">
      <c r="B196" s="13" t="s">
        <v>457</v>
      </c>
      <c r="C196" s="13"/>
      <c r="D196" s="13"/>
      <c r="E196" s="13"/>
      <c r="F196" s="13"/>
      <c r="G196" s="13"/>
      <c r="H196" s="13"/>
      <c r="I196" s="13"/>
      <c r="J196" s="13"/>
      <c r="K196" s="13"/>
      <c r="L196" s="13"/>
      <c r="M196" s="13"/>
      <c r="N196" s="21">
        <f>IFERROR(N(INDEX('Análisis'!$73:$73,$N$129))/N(INDEX('Resultados'!$5:$5,$N$129)),"")</f>
        <v/>
      </c>
      <c r="O196" s="21"/>
      <c r="P196" s="21"/>
      <c r="Q196" s="21"/>
      <c r="R196" s="21"/>
      <c r="S196" s="21"/>
      <c r="T196" s="21">
        <f>IFERROR(N(INDEX('Análisis'!$73:$73,$N$129-$N$130))/N(INDEX('Resultados'!$5:$5,$N$129-$N$130)),"")</f>
        <v/>
      </c>
      <c r="U196" s="21"/>
      <c r="V196" s="21"/>
      <c r="W196" s="21"/>
      <c r="X196" s="21"/>
      <c r="Y196" s="21"/>
      <c r="Z196" s="21">
        <f>IFERROR(MAX(0,$N$196),0)</f>
        <v/>
      </c>
      <c r="AA196" s="21"/>
      <c r="AB196" s="21"/>
      <c r="AC196" s="21"/>
      <c r="AD196" s="21"/>
      <c r="AE196" s="21"/>
      <c r="AF196" s="21">
        <f>IFERROR(MAX(0,$T$196),0)</f>
        <v/>
      </c>
      <c r="AG196" s="21"/>
      <c r="AH196" s="21"/>
      <c r="AI196" s="21"/>
      <c r="AJ196" s="21"/>
      <c r="AK196" s="21"/>
    </row>
    <row r="197" spans="2:43">
      <c r="B197" s="13" t="s">
        <v>1227</v>
      </c>
      <c r="C197" s="13"/>
      <c r="D197" s="13"/>
      <c r="E197" s="13"/>
      <c r="F197" s="13"/>
      <c r="G197" s="13"/>
      <c r="H197" s="13"/>
      <c r="I197" s="13"/>
      <c r="J197" s="13"/>
      <c r="K197" s="13"/>
      <c r="L197" s="13"/>
      <c r="M197" s="13"/>
      <c r="N197" s="21">
        <f>IFERROR(N(INDEX('Resultados'!$21:$21,$N$129))/N(INDEX('Resultados'!$5:$5,$N$129)),"")</f>
        <v/>
      </c>
      <c r="O197" s="21"/>
      <c r="P197" s="21"/>
      <c r="Q197" s="21"/>
      <c r="R197" s="21"/>
      <c r="S197" s="21"/>
      <c r="T197" s="21">
        <f>IFERROR(N(INDEX('Resultados'!$21:$21,$N$129-$N$130))/N(INDEX('Resultados'!$5:$5,$N$129-$N$130)),"")</f>
        <v/>
      </c>
      <c r="U197" s="21"/>
      <c r="V197" s="21"/>
      <c r="W197" s="21"/>
      <c r="X197" s="21"/>
      <c r="Y197" s="21"/>
      <c r="Z197" s="21">
        <f>IFERROR(MAX(0,$N$197),0)</f>
        <v/>
      </c>
      <c r="AA197" s="21"/>
      <c r="AB197" s="21"/>
      <c r="AC197" s="21"/>
      <c r="AD197" s="21"/>
      <c r="AE197" s="21"/>
      <c r="AF197" s="21">
        <f>IFERROR(MAX(0,$T$197),0)</f>
        <v/>
      </c>
      <c r="AG197" s="21"/>
      <c r="AH197" s="21"/>
      <c r="AI197" s="21"/>
      <c r="AJ197" s="21"/>
      <c r="AK197" s="21"/>
    </row>
    <row r="198" spans="2:43">
      <c r="B198" s="13" t="s">
        <v>458</v>
      </c>
      <c r="C198" s="13"/>
      <c r="D198" s="13"/>
      <c r="E198" s="13"/>
      <c r="F198" s="13"/>
      <c r="G198" s="13"/>
      <c r="H198" s="13"/>
      <c r="I198" s="13"/>
      <c r="J198" s="13"/>
      <c r="K198" s="13"/>
      <c r="L198" s="13"/>
      <c r="M198" s="13"/>
      <c r="N198" s="21">
        <f>IFERROR(N(INDEX('Flujo de efectivo'!$33:$33,$N$129))/N(INDEX('Resultados'!$5:$5,$N$129)),"")</f>
        <v/>
      </c>
      <c r="O198" s="21"/>
      <c r="P198" s="21"/>
      <c r="Q198" s="21"/>
      <c r="R198" s="21"/>
      <c r="S198" s="21"/>
      <c r="T198" s="21">
        <f>IFERROR(N(INDEX('Flujo de efectivo'!$33:$33,$N$129-$N$130))/N(INDEX('Resultados'!$5:$5,$N$129-$N$130)),"")</f>
        <v/>
      </c>
      <c r="U198" s="21"/>
      <c r="V198" s="21"/>
      <c r="W198" s="21"/>
      <c r="X198" s="21"/>
      <c r="Y198" s="21"/>
      <c r="Z198" s="21">
        <f>IFERROR(MAX(0,$N$198),0)</f>
        <v/>
      </c>
      <c r="AA198" s="21"/>
      <c r="AB198" s="21"/>
      <c r="AC198" s="21"/>
      <c r="AD198" s="21"/>
      <c r="AE198" s="21"/>
      <c r="AF198" s="21">
        <f>IFERROR(MAX(0,$T$198),0)</f>
        <v/>
      </c>
      <c r="AG198" s="21"/>
      <c r="AH198" s="21"/>
      <c r="AI198" s="21"/>
      <c r="AJ198" s="21"/>
      <c r="AK198" s="21"/>
    </row>
    <row r="199" spans="2:43">
      <c r="B199" s="13" t="s">
        <v>1228</v>
      </c>
      <c r="C199" s="13"/>
      <c r="D199" s="13"/>
      <c r="E199" s="13"/>
      <c r="F199" s="13"/>
      <c r="G199" s="13"/>
      <c r="H199" s="13"/>
      <c r="I199" s="13"/>
      <c r="J199" s="13"/>
      <c r="K199" s="13"/>
      <c r="L199" s="13"/>
      <c r="M199" s="13"/>
      <c r="N199" s="15">
        <f>IF($N$134&gt;1,"● Solo consolidado",IF(MIN($N$194:$T$198)&lt;0,"● Los márgenes negativos se dibujan en cero",""))</f>
        <v/>
      </c>
      <c r="O199" s="15"/>
      <c r="P199" s="15"/>
      <c r="Q199" s="15"/>
      <c r="R199" s="15"/>
      <c r="S199" s="15"/>
    </row>
    <row r="201" spans="2:43">
      <c r="B201" s="11" t="s">
        <v>1229</v>
      </c>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row>
    <row r="202" spans="2:43">
      <c r="B202" s="12"/>
      <c r="C202" s="12"/>
      <c r="D202" s="12"/>
      <c r="E202" s="12"/>
      <c r="F202" s="12"/>
      <c r="G202" s="12"/>
      <c r="H202" s="12"/>
      <c r="I202" s="12"/>
      <c r="J202" s="12"/>
      <c r="K202" s="12"/>
      <c r="L202" s="12"/>
      <c r="M202" s="12"/>
      <c r="N202" s="12">
        <f>$N$136</f>
        <v/>
      </c>
      <c r="O202" s="12"/>
      <c r="P202" s="12"/>
      <c r="Q202" s="12"/>
      <c r="R202" s="12"/>
      <c r="S202" s="12"/>
      <c r="T202" s="12">
        <f>$N$137</f>
        <v/>
      </c>
      <c r="U202" s="12"/>
      <c r="V202" s="12"/>
      <c r="W202" s="12"/>
      <c r="X202" s="12"/>
      <c r="Y202" s="12"/>
      <c r="Z202" s="12" t="s">
        <v>1230</v>
      </c>
      <c r="AA202" s="12"/>
      <c r="AB202" s="12"/>
      <c r="AC202" s="12"/>
      <c r="AD202" s="12"/>
      <c r="AE202" s="12"/>
      <c r="AF202" s="12" t="s">
        <v>1231</v>
      </c>
      <c r="AG202" s="12"/>
      <c r="AH202" s="12"/>
      <c r="AI202" s="12"/>
      <c r="AJ202" s="12"/>
      <c r="AK202" s="12"/>
      <c r="AL202" s="12" t="s">
        <v>1232</v>
      </c>
      <c r="AM202" s="12"/>
      <c r="AN202" s="12"/>
      <c r="AO202" s="12"/>
      <c r="AP202" s="12"/>
      <c r="AQ202" s="12"/>
    </row>
    <row r="203" spans="2:43">
      <c r="B203" s="13" t="s">
        <v>456</v>
      </c>
      <c r="C203" s="13"/>
      <c r="D203" s="13"/>
      <c r="E203" s="13"/>
      <c r="F203" s="13"/>
      <c r="G203" s="13"/>
      <c r="H203" s="13"/>
      <c r="I203" s="13"/>
      <c r="J203" s="13"/>
      <c r="K203" s="13"/>
      <c r="L203" s="13"/>
      <c r="M203" s="13"/>
      <c r="N203" s="16">
        <f>IF(TRUE,IF($N$132&gt;0,IF($N$134=1,N(INDEX('Resultados'!$5:$5,$N$129)),CHOOSE($N$134-1,N(INDEX('Segmentos'!$90:$90,$N$129)),N(INDEX('Segmentos'!$91:$91,$N$129)))),0)+IF($N$132&gt;1,IF($N$134=1,N(INDEX('Resultados'!$5:$5,$N$129-1)),CHOOSE($N$134-1,N(INDEX('Segmentos'!$90:$90,$N$129-1)),N(INDEX('Segmentos'!$91:$91,$N$129-1)))),0)+IF($N$132&gt;2,IF($N$134=1,N(INDEX('Resultados'!$5:$5,$N$129-2)),CHOOSE($N$134-1,N(INDEX('Segmentos'!$90:$90,$N$129-2)),N(INDEX('Segmentos'!$91:$91,$N$129-2)))),0)+IF($N$132&gt;3,IF($N$134=1,N(INDEX('Resultados'!$5:$5,$N$129-3)),CHOOSE($N$134-1,N(INDEX('Segmentos'!$90:$90,$N$129-3)),N(INDEX('Segmentos'!$91:$91,$N$129-3)))),0),"")</f>
        <v/>
      </c>
      <c r="O203" s="16"/>
      <c r="P203" s="16"/>
      <c r="Q203" s="16"/>
      <c r="R203" s="16"/>
      <c r="S203" s="16"/>
      <c r="T203" s="16">
        <f>IF(TRUE,IF($N$132&gt;0,IF($N$134=1,N(INDEX('Resultados'!$5:$5,$N$129-4)),CHOOSE($N$134-1,N(INDEX('Segmentos'!$90:$90,$N$129-4)),N(INDEX('Segmentos'!$91:$91,$N$129-4)))),0)+IF($N$132&gt;1,IF($N$134=1,N(INDEX('Resultados'!$5:$5,$N$129-5)),CHOOSE($N$134-1,N(INDEX('Segmentos'!$90:$90,$N$129-5)),N(INDEX('Segmentos'!$91:$91,$N$129-5)))),0)+IF($N$132&gt;2,IF($N$134=1,N(INDEX('Resultados'!$5:$5,$N$129-6)),CHOOSE($N$134-1,N(INDEX('Segmentos'!$90:$90,$N$129-6)),N(INDEX('Segmentos'!$91:$91,$N$129-6)))),0)+IF($N$132&gt;3,IF($N$134=1,N(INDEX('Resultados'!$5:$5,$N$129-7)),CHOOSE($N$134-1,N(INDEX('Segmentos'!$90:$90,$N$129-7)),N(INDEX('Segmentos'!$91:$91,$N$129-7)))),0),"")</f>
        <v/>
      </c>
      <c r="U203" s="16"/>
      <c r="V203" s="16"/>
      <c r="W203" s="16"/>
      <c r="X203" s="16"/>
      <c r="Y203" s="16"/>
      <c r="Z203" s="19">
        <f>IFERROR(IF(N($T$203)=0,"",($N$203-$T$203)/ABS($T$203)),"")</f>
        <v/>
      </c>
      <c r="AA203" s="19"/>
      <c r="AB203" s="19"/>
      <c r="AC203" s="19"/>
      <c r="AD203" s="19"/>
      <c r="AE203" s="19"/>
      <c r="AF203" s="22">
        <f>IFERROR(IF($T$203&gt;0,MIN(MAX($N$203/$T$203,0),2),IF($N$203&gt;$T$203,2,0)),0)</f>
        <v/>
      </c>
      <c r="AG203" s="22"/>
      <c r="AH203" s="22"/>
      <c r="AI203" s="22"/>
      <c r="AJ203" s="22"/>
      <c r="AK203" s="22"/>
      <c r="AL203" s="22">
        <f>2-$AF$203</f>
        <v/>
      </c>
      <c r="AM203" s="22"/>
      <c r="AN203" s="22"/>
      <c r="AO203" s="22"/>
      <c r="AP203" s="22"/>
      <c r="AQ203" s="22"/>
    </row>
    <row r="204" spans="2:43">
      <c r="B204" s="13" t="s">
        <v>1154</v>
      </c>
      <c r="C204" s="13"/>
      <c r="D204" s="13"/>
      <c r="E204" s="13"/>
      <c r="F204" s="13"/>
      <c r="G204" s="13"/>
      <c r="H204" s="13"/>
      <c r="I204" s="13"/>
      <c r="J204" s="13"/>
      <c r="K204" s="13"/>
      <c r="L204" s="13"/>
      <c r="M204" s="13"/>
      <c r="N204" s="16">
        <f>IF(TRUE,IF($N$132&gt;0,IF($N$134=1,N(INDEX('Análisis'!$73:$73,$N$129)),CHOOSE($N$134-1,(N(INDEX('Segmentos'!$98:$98,$N$129))+N(INDEX('Segmentos'!$113:$113,$N$129))),(N(INDEX('Segmentos'!$99:$99,$N$129))+N(INDEX('Segmentos'!$114:$114,$N$129))))),0)+IF($N$132&gt;1,IF($N$134=1,N(INDEX('Análisis'!$73:$73,$N$129-1)),CHOOSE($N$134-1,(N(INDEX('Segmentos'!$98:$98,$N$129-1))+N(INDEX('Segmentos'!$113:$113,$N$129-1))),(N(INDEX('Segmentos'!$99:$99,$N$129-1))+N(INDEX('Segmentos'!$114:$114,$N$129-1))))),0)+IF($N$132&gt;2,IF($N$134=1,N(INDEX('Análisis'!$73:$73,$N$129-2)),CHOOSE($N$134-1,(N(INDEX('Segmentos'!$98:$98,$N$129-2))+N(INDEX('Segmentos'!$113:$113,$N$129-2))),(N(INDEX('Segmentos'!$99:$99,$N$129-2))+N(INDEX('Segmentos'!$114:$114,$N$129-2))))),0)+IF($N$132&gt;3,IF($N$134=1,N(INDEX('Análisis'!$73:$73,$N$129-3)),CHOOSE($N$134-1,(N(INDEX('Segmentos'!$98:$98,$N$129-3))+N(INDEX('Segmentos'!$113:$113,$N$129-3))),(N(INDEX('Segmentos'!$99:$99,$N$129-3))+N(INDEX('Segmentos'!$114:$114,$N$129-3))))),0),"")</f>
        <v/>
      </c>
      <c r="O204" s="16"/>
      <c r="P204" s="16"/>
      <c r="Q204" s="16"/>
      <c r="R204" s="16"/>
      <c r="S204" s="16"/>
      <c r="T204" s="16">
        <f>IF(TRUE,IF($N$132&gt;0,IF($N$134=1,N(INDEX('Análisis'!$73:$73,$N$129-4)),CHOOSE($N$134-1,(N(INDEX('Segmentos'!$98:$98,$N$129-4))+N(INDEX('Segmentos'!$113:$113,$N$129-4))),(N(INDEX('Segmentos'!$99:$99,$N$129-4))+N(INDEX('Segmentos'!$114:$114,$N$129-4))))),0)+IF($N$132&gt;1,IF($N$134=1,N(INDEX('Análisis'!$73:$73,$N$129-5)),CHOOSE($N$134-1,(N(INDEX('Segmentos'!$98:$98,$N$129-5))+N(INDEX('Segmentos'!$113:$113,$N$129-5))),(N(INDEX('Segmentos'!$99:$99,$N$129-5))+N(INDEX('Segmentos'!$114:$114,$N$129-5))))),0)+IF($N$132&gt;2,IF($N$134=1,N(INDEX('Análisis'!$73:$73,$N$129-6)),CHOOSE($N$134-1,(N(INDEX('Segmentos'!$98:$98,$N$129-6))+N(INDEX('Segmentos'!$113:$113,$N$129-6))),(N(INDEX('Segmentos'!$99:$99,$N$129-6))+N(INDEX('Segmentos'!$114:$114,$N$129-6))))),0)+IF($N$132&gt;3,IF($N$134=1,N(INDEX('Análisis'!$73:$73,$N$129-7)),CHOOSE($N$134-1,(N(INDEX('Segmentos'!$98:$98,$N$129-7))+N(INDEX('Segmentos'!$113:$113,$N$129-7))),(N(INDEX('Segmentos'!$99:$99,$N$129-7))+N(INDEX('Segmentos'!$114:$114,$N$129-7))))),0),"")</f>
        <v/>
      </c>
      <c r="U204" s="16"/>
      <c r="V204" s="16"/>
      <c r="W204" s="16"/>
      <c r="X204" s="16"/>
      <c r="Y204" s="16"/>
      <c r="Z204" s="19">
        <f>IFERROR(IF(N($T$204)=0,"",($N$204-$T$204)/ABS($T$204)),"")</f>
        <v/>
      </c>
      <c r="AA204" s="19"/>
      <c r="AB204" s="19"/>
      <c r="AC204" s="19"/>
      <c r="AD204" s="19"/>
      <c r="AE204" s="19"/>
      <c r="AF204" s="22">
        <f>IFERROR(IF($T$204&gt;0,MIN(MAX($N$204/$T$204,0),2),IF($N$204&gt;$T$204,2,0)),0)</f>
        <v/>
      </c>
      <c r="AG204" s="22"/>
      <c r="AH204" s="22"/>
      <c r="AI204" s="22"/>
      <c r="AJ204" s="22"/>
      <c r="AK204" s="22"/>
      <c r="AL204" s="22">
        <f>2-$AF$204</f>
        <v/>
      </c>
      <c r="AM204" s="22"/>
      <c r="AN204" s="22"/>
      <c r="AO204" s="22"/>
      <c r="AP204" s="22"/>
      <c r="AQ204" s="22"/>
    </row>
    <row r="205" spans="2:43">
      <c r="B205" s="13" t="s">
        <v>458</v>
      </c>
      <c r="C205" s="13"/>
      <c r="D205" s="13"/>
      <c r="E205" s="13"/>
      <c r="F205" s="13"/>
      <c r="G205" s="13"/>
      <c r="H205" s="13"/>
      <c r="I205" s="13"/>
      <c r="J205" s="13"/>
      <c r="K205" s="13"/>
      <c r="L205" s="13"/>
      <c r="M205" s="13"/>
      <c r="N205" s="16">
        <f>IF($N$134=1,IF($N$132&gt;0,IF($N$134=1,N(INDEX('Flujo de efectivo'!$33:$33,$N$129)),0),0)+IF($N$132&gt;1,IF($N$134=1,N(INDEX('Flujo de efectivo'!$33:$33,$N$129-1)),0),0)+IF($N$132&gt;2,IF($N$134=1,N(INDEX('Flujo de efectivo'!$33:$33,$N$129-2)),0),0)+IF($N$132&gt;3,IF($N$134=1,N(INDEX('Flujo de efectivo'!$33:$33,$N$129-3)),0),0),"")</f>
        <v/>
      </c>
      <c r="O205" s="16"/>
      <c r="P205" s="16"/>
      <c r="Q205" s="16"/>
      <c r="R205" s="16"/>
      <c r="S205" s="16"/>
      <c r="T205" s="16">
        <f>IF($N$134=1,IF($N$132&gt;0,IF($N$134=1,N(INDEX('Flujo de efectivo'!$33:$33,$N$129-4)),0),0)+IF($N$132&gt;1,IF($N$134=1,N(INDEX('Flujo de efectivo'!$33:$33,$N$129-5)),0),0)+IF($N$132&gt;2,IF($N$134=1,N(INDEX('Flujo de efectivo'!$33:$33,$N$129-6)),0),0)+IF($N$132&gt;3,IF($N$134=1,N(INDEX('Flujo de efectivo'!$33:$33,$N$129-7)),0),0),"")</f>
        <v/>
      </c>
      <c r="U205" s="16"/>
      <c r="V205" s="16"/>
      <c r="W205" s="16"/>
      <c r="X205" s="16"/>
      <c r="Y205" s="16"/>
      <c r="Z205" s="19">
        <f>IFERROR(IF(N($T$205)=0,"",($N$205-$T$205)/ABS($T$205)),"")</f>
        <v/>
      </c>
      <c r="AA205" s="19"/>
      <c r="AB205" s="19"/>
      <c r="AC205" s="19"/>
      <c r="AD205" s="19"/>
      <c r="AE205" s="19"/>
      <c r="AF205" s="22">
        <f>IFERROR(IF($T$205&gt;0,MIN(MAX($N$205/$T$205,0),2),IF($N$205&gt;$T$205,2,0)),0)</f>
        <v/>
      </c>
      <c r="AG205" s="22"/>
      <c r="AH205" s="22"/>
      <c r="AI205" s="22"/>
      <c r="AJ205" s="22"/>
      <c r="AK205" s="22"/>
      <c r="AL205" s="22">
        <f>2-$AF$205</f>
        <v/>
      </c>
      <c r="AM205" s="22"/>
      <c r="AN205" s="22"/>
      <c r="AO205" s="22"/>
      <c r="AP205" s="22"/>
      <c r="AQ205" s="22"/>
    </row>
    <row r="206" spans="2:43">
      <c r="B206" s="13" t="s">
        <v>617</v>
      </c>
      <c r="C206" s="13"/>
      <c r="D206" s="13"/>
      <c r="E206" s="13"/>
      <c r="F206" s="13"/>
      <c r="G206" s="13"/>
      <c r="H206" s="13"/>
      <c r="I206" s="13"/>
      <c r="J206" s="13"/>
      <c r="K206" s="13"/>
      <c r="L206" s="13"/>
      <c r="M206" s="13"/>
      <c r="N206" s="16">
        <f>IF(TRUE,IF($N$132&gt;0,IF($N$134=1,(-N(INDEX('Flujo de efectivo'!$34:$34,$N$129))),CHOOSE($N$134-1,N(INDEX('Segmentos'!$106:$106,$N$129)),N(INDEX('Segmentos'!$107:$107,$N$129)))),0)+IF($N$132&gt;1,IF($N$134=1,(-N(INDEX('Flujo de efectivo'!$34:$34,$N$129-1))),CHOOSE($N$134-1,N(INDEX('Segmentos'!$106:$106,$N$129-1)),N(INDEX('Segmentos'!$107:$107,$N$129-1)))),0)+IF($N$132&gt;2,IF($N$134=1,(-N(INDEX('Flujo de efectivo'!$34:$34,$N$129-2))),CHOOSE($N$134-1,N(INDEX('Segmentos'!$106:$106,$N$129-2)),N(INDEX('Segmentos'!$107:$107,$N$129-2)))),0)+IF($N$132&gt;3,IF($N$134=1,(-N(INDEX('Flujo de efectivo'!$34:$34,$N$129-3))),CHOOSE($N$134-1,N(INDEX('Segmentos'!$106:$106,$N$129-3)),N(INDEX('Segmentos'!$107:$107,$N$129-3)))),0),"")</f>
        <v/>
      </c>
      <c r="O206" s="16"/>
      <c r="P206" s="16"/>
      <c r="Q206" s="16"/>
      <c r="R206" s="16"/>
      <c r="S206" s="16"/>
      <c r="T206" s="16">
        <f>IF(TRUE,IF($N$132&gt;0,IF($N$134=1,(-N(INDEX('Flujo de efectivo'!$34:$34,$N$129-4))),CHOOSE($N$134-1,N(INDEX('Segmentos'!$106:$106,$N$129-4)),N(INDEX('Segmentos'!$107:$107,$N$129-4)))),0)+IF($N$132&gt;1,IF($N$134=1,(-N(INDEX('Flujo de efectivo'!$34:$34,$N$129-5))),CHOOSE($N$134-1,N(INDEX('Segmentos'!$106:$106,$N$129-5)),N(INDEX('Segmentos'!$107:$107,$N$129-5)))),0)+IF($N$132&gt;2,IF($N$134=1,(-N(INDEX('Flujo de efectivo'!$34:$34,$N$129-6))),CHOOSE($N$134-1,N(INDEX('Segmentos'!$106:$106,$N$129-6)),N(INDEX('Segmentos'!$107:$107,$N$129-6)))),0)+IF($N$132&gt;3,IF($N$134=1,(-N(INDEX('Flujo de efectivo'!$34:$34,$N$129-7))),CHOOSE($N$134-1,N(INDEX('Segmentos'!$106:$106,$N$129-7)),N(INDEX('Segmentos'!$107:$107,$N$129-7)))),0),"")</f>
        <v/>
      </c>
      <c r="U206" s="16"/>
      <c r="V206" s="16"/>
      <c r="W206" s="16"/>
      <c r="X206" s="16"/>
      <c r="Y206" s="16"/>
      <c r="Z206" s="19">
        <f>IFERROR(IF(N($T$206)=0,"",($N$206-$T$206)/ABS($T$206)),"")</f>
        <v/>
      </c>
      <c r="AA206" s="19"/>
      <c r="AB206" s="19"/>
      <c r="AC206" s="19"/>
      <c r="AD206" s="19"/>
      <c r="AE206" s="19"/>
      <c r="AF206" s="22">
        <f>IFERROR(IF($T$206&gt;0,MIN(MAX($N$206/$T$206,0),2),IF($N$206&gt;$T$206,2,0)),0)</f>
        <v/>
      </c>
      <c r="AG206" s="22"/>
      <c r="AH206" s="22"/>
      <c r="AI206" s="22"/>
      <c r="AJ206" s="22"/>
      <c r="AK206" s="22"/>
      <c r="AL206" s="22">
        <f>2-$AF$206</f>
        <v/>
      </c>
      <c r="AM206" s="22"/>
      <c r="AN206" s="22"/>
      <c r="AO206" s="22"/>
      <c r="AP206" s="22"/>
      <c r="AQ206" s="22"/>
    </row>
    <row r="208" spans="2:43">
      <c r="B208" s="11" t="s">
        <v>1233</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row>
    <row r="209" spans="2:37">
      <c r="B209" s="12"/>
      <c r="C209" s="12"/>
      <c r="D209" s="12"/>
      <c r="E209" s="12"/>
      <c r="F209" s="12"/>
      <c r="G209" s="12"/>
      <c r="H209" s="12"/>
      <c r="I209" s="12"/>
      <c r="J209" s="12"/>
      <c r="K209" s="12"/>
      <c r="L209" s="12"/>
      <c r="M209" s="12"/>
      <c r="N209" s="12" t="s">
        <v>1234</v>
      </c>
      <c r="O209" s="12"/>
      <c r="P209" s="12"/>
      <c r="Q209" s="12"/>
      <c r="R209" s="12"/>
      <c r="S209" s="12"/>
      <c r="T209" s="12" t="s">
        <v>1235</v>
      </c>
      <c r="U209" s="12"/>
      <c r="V209" s="12"/>
      <c r="W209" s="12"/>
      <c r="X209" s="12"/>
      <c r="Y209" s="12"/>
      <c r="Z209" s="12" t="s">
        <v>1236</v>
      </c>
      <c r="AA209" s="12"/>
      <c r="AB209" s="12"/>
      <c r="AC209" s="12"/>
      <c r="AD209" s="12"/>
      <c r="AE209" s="12"/>
    </row>
    <row r="210" spans="2:37">
      <c r="B210" s="13" t="s">
        <v>1237</v>
      </c>
      <c r="C210" s="13"/>
      <c r="D210" s="13"/>
      <c r="E210" s="13"/>
      <c r="F210" s="13"/>
      <c r="G210" s="13"/>
      <c r="H210" s="13"/>
      <c r="I210" s="13"/>
      <c r="J210" s="13"/>
      <c r="K210" s="13"/>
      <c r="L210" s="13"/>
      <c r="M210" s="13"/>
      <c r="N210" s="16">
        <f>MAX(0,-N(INDEX('Resultados'!$6:$6,$N$129)))</f>
        <v/>
      </c>
      <c r="O210" s="16"/>
      <c r="P210" s="16"/>
      <c r="Q210" s="16"/>
      <c r="R210" s="16"/>
      <c r="S210" s="16"/>
      <c r="T210" s="23">
        <f>IFERROR($N$210/N(INDEX('Resultados'!$5:$5,$N$129)),0)</f>
        <v/>
      </c>
      <c r="U210" s="23"/>
      <c r="V210" s="23"/>
      <c r="W210" s="23"/>
      <c r="X210" s="23"/>
      <c r="Y210" s="23"/>
      <c r="Z210" s="16">
        <f>$N$210</f>
        <v/>
      </c>
      <c r="AA210" s="16"/>
      <c r="AB210" s="16"/>
      <c r="AC210" s="16"/>
      <c r="AD210" s="16"/>
      <c r="AE210" s="16"/>
    </row>
    <row r="211" spans="2:37">
      <c r="B211" s="13" t="s">
        <v>483</v>
      </c>
      <c r="C211" s="13"/>
      <c r="D211" s="13"/>
      <c r="E211" s="13"/>
      <c r="F211" s="13"/>
      <c r="G211" s="13"/>
      <c r="H211" s="13"/>
      <c r="I211" s="13"/>
      <c r="J211" s="13"/>
      <c r="K211" s="13"/>
      <c r="L211" s="13"/>
      <c r="M211" s="13"/>
      <c r="N211" s="16">
        <f>MAX(0,-N(INDEX('Resultados'!$8:$8,$N$129)))</f>
        <v/>
      </c>
      <c r="O211" s="16"/>
      <c r="P211" s="16"/>
      <c r="Q211" s="16"/>
      <c r="R211" s="16"/>
      <c r="S211" s="16"/>
      <c r="T211" s="23">
        <f>IFERROR($N$211/N(INDEX('Resultados'!$5:$5,$N$129)),0)</f>
        <v/>
      </c>
      <c r="U211" s="23"/>
      <c r="V211" s="23"/>
      <c r="W211" s="23"/>
      <c r="X211" s="23"/>
      <c r="Y211" s="23"/>
      <c r="Z211" s="16">
        <f>$N$211</f>
        <v/>
      </c>
      <c r="AA211" s="16"/>
      <c r="AB211" s="16"/>
      <c r="AC211" s="16"/>
      <c r="AD211" s="16"/>
      <c r="AE211" s="16"/>
    </row>
    <row r="212" spans="2:37">
      <c r="B212" s="13" t="s">
        <v>1238</v>
      </c>
      <c r="C212" s="13"/>
      <c r="D212" s="13"/>
      <c r="E212" s="13"/>
      <c r="F212" s="13"/>
      <c r="G212" s="13"/>
      <c r="H212" s="13"/>
      <c r="I212" s="13"/>
      <c r="J212" s="13"/>
      <c r="K212" s="13"/>
      <c r="L212" s="13"/>
      <c r="M212" s="13"/>
      <c r="N212" s="16">
        <f>MAX(0,-N(INDEX('Resultados'!$9:$9,$N$129)))</f>
        <v/>
      </c>
      <c r="O212" s="16"/>
      <c r="P212" s="16"/>
      <c r="Q212" s="16"/>
      <c r="R212" s="16"/>
      <c r="S212" s="16"/>
      <c r="T212" s="23">
        <f>IFERROR($N$212/N(INDEX('Resultados'!$5:$5,$N$129)),0)</f>
        <v/>
      </c>
      <c r="U212" s="23"/>
      <c r="V212" s="23"/>
      <c r="W212" s="23"/>
      <c r="X212" s="23"/>
      <c r="Y212" s="23"/>
      <c r="Z212" s="16">
        <f>$N$212</f>
        <v/>
      </c>
      <c r="AA212" s="16"/>
      <c r="AB212" s="16"/>
      <c r="AC212" s="16"/>
      <c r="AD212" s="16"/>
      <c r="AE212" s="16"/>
    </row>
    <row r="213" spans="2:37">
      <c r="B213" s="13" t="s">
        <v>1239</v>
      </c>
      <c r="C213" s="13"/>
      <c r="D213" s="13"/>
      <c r="E213" s="13"/>
      <c r="F213" s="13"/>
      <c r="G213" s="13"/>
      <c r="H213" s="13"/>
      <c r="I213" s="13"/>
      <c r="J213" s="13"/>
      <c r="K213" s="13"/>
      <c r="L213" s="13"/>
      <c r="M213" s="13"/>
      <c r="N213" s="16">
        <f>MAX(0,-N(INDEX('Resultados'!$10:$10,$N$129)))</f>
        <v/>
      </c>
      <c r="O213" s="16"/>
      <c r="P213" s="16"/>
      <c r="Q213" s="16"/>
      <c r="R213" s="16"/>
      <c r="S213" s="16"/>
      <c r="T213" s="23">
        <f>IFERROR($N$213/N(INDEX('Resultados'!$5:$5,$N$129)),0)</f>
        <v/>
      </c>
      <c r="U213" s="23"/>
      <c r="V213" s="23"/>
      <c r="W213" s="23"/>
      <c r="X213" s="23"/>
      <c r="Y213" s="23"/>
      <c r="Z213" s="16">
        <f>$N$213</f>
        <v/>
      </c>
      <c r="AA213" s="16"/>
      <c r="AB213" s="16"/>
      <c r="AC213" s="16"/>
      <c r="AD213" s="16"/>
      <c r="AE213" s="16"/>
    </row>
    <row r="214" spans="2:37">
      <c r="B214" s="13" t="s">
        <v>1240</v>
      </c>
      <c r="C214" s="13"/>
      <c r="D214" s="13"/>
      <c r="E214" s="13"/>
      <c r="F214" s="13"/>
      <c r="G214" s="13"/>
      <c r="H214" s="13"/>
      <c r="I214" s="13"/>
      <c r="J214" s="13"/>
      <c r="K214" s="13"/>
      <c r="L214" s="13"/>
      <c r="M214" s="13"/>
      <c r="N214" s="16">
        <f>MAX(0,N(INDEX('Resultados'!$5:$5,$N$129))-($N$210+$N$211+$N$212+$N$213)-N(INDEX('Resultados'!$13:$13,$N$129)))</f>
        <v/>
      </c>
      <c r="O214" s="16"/>
      <c r="P214" s="16"/>
      <c r="Q214" s="16"/>
      <c r="R214" s="16"/>
      <c r="S214" s="16"/>
      <c r="T214" s="23">
        <f>IFERROR($N$214/N(INDEX('Resultados'!$5:$5,$N$129)),0)</f>
        <v/>
      </c>
      <c r="U214" s="23"/>
      <c r="V214" s="23"/>
      <c r="W214" s="23"/>
      <c r="X214" s="23"/>
      <c r="Y214" s="23"/>
      <c r="Z214" s="16">
        <f>$N$214</f>
        <v/>
      </c>
      <c r="AA214" s="16"/>
      <c r="AB214" s="16"/>
      <c r="AC214" s="16"/>
      <c r="AD214" s="16"/>
      <c r="AE214" s="16"/>
    </row>
    <row r="215" spans="2:37">
      <c r="B215" s="13" t="s">
        <v>469</v>
      </c>
      <c r="C215" s="13"/>
      <c r="D215" s="13"/>
      <c r="E215" s="13"/>
      <c r="F215" s="13"/>
      <c r="G215" s="13"/>
      <c r="H215" s="13"/>
      <c r="I215" s="13"/>
      <c r="J215" s="13"/>
      <c r="K215" s="13"/>
      <c r="L215" s="13"/>
      <c r="M215" s="13"/>
      <c r="N215" s="16">
        <f>MAX(0,N(INDEX('Resultados'!$13:$13,$N$129)))</f>
        <v/>
      </c>
      <c r="O215" s="16"/>
      <c r="P215" s="16"/>
      <c r="Q215" s="16"/>
      <c r="R215" s="16"/>
      <c r="S215" s="16"/>
      <c r="T215" s="18">
        <f>IFERROR(N(INDEX('Resultados'!$13:$13,$N$129))/N(INDEX('Resultados'!$5:$5,$N$129)),0)</f>
        <v/>
      </c>
      <c r="U215" s="18"/>
      <c r="V215" s="18"/>
      <c r="W215" s="18"/>
      <c r="X215" s="18"/>
      <c r="Y215" s="18"/>
      <c r="Z215" s="16">
        <f>N(INDEX('Resultados'!$13:$13,$N$129))</f>
        <v/>
      </c>
      <c r="AA215" s="16"/>
      <c r="AB215" s="16"/>
      <c r="AC215" s="16"/>
      <c r="AD215" s="16"/>
      <c r="AE215" s="16"/>
    </row>
    <row r="216" spans="2:37">
      <c r="B216" s="13" t="s">
        <v>456</v>
      </c>
      <c r="C216" s="13"/>
      <c r="D216" s="13"/>
      <c r="E216" s="13"/>
      <c r="F216" s="13"/>
      <c r="G216" s="13"/>
      <c r="H216" s="13"/>
      <c r="I216" s="13"/>
      <c r="J216" s="13"/>
      <c r="K216" s="13"/>
      <c r="L216" s="13"/>
      <c r="M216" s="13"/>
      <c r="N216" s="16">
        <f>N(INDEX('Resultados'!$5:$5,$N$129))</f>
        <v/>
      </c>
      <c r="O216" s="16"/>
      <c r="P216" s="16"/>
      <c r="Q216" s="16"/>
      <c r="R216" s="16"/>
      <c r="S216" s="16"/>
      <c r="T216" s="14"/>
      <c r="U216" s="14"/>
      <c r="V216" s="14"/>
      <c r="W216" s="14"/>
      <c r="X216" s="14"/>
      <c r="Y216" s="14"/>
      <c r="Z216" s="14"/>
      <c r="AA216" s="14"/>
      <c r="AB216" s="14"/>
      <c r="AC216" s="14"/>
      <c r="AD216" s="14"/>
      <c r="AE216" s="14"/>
    </row>
    <row r="217" spans="2:37">
      <c r="B217" s="13" t="s">
        <v>1241</v>
      </c>
      <c r="C217" s="13"/>
      <c r="D217" s="13"/>
      <c r="E217" s="13"/>
      <c r="F217" s="13"/>
      <c r="G217" s="13"/>
      <c r="H217" s="13"/>
      <c r="I217" s="13"/>
      <c r="J217" s="13"/>
      <c r="K217" s="13"/>
      <c r="L217" s="13"/>
      <c r="M217" s="13"/>
      <c r="N217" s="15">
        <f>IF($N$134&gt;1,"● Solo consolidado",IF(N(INDEX('Resultados'!$13:$13,$N$129))&lt;0,"● Pérdida operativa: los gastos superaron a los ingresos",""))</f>
        <v/>
      </c>
      <c r="O217" s="15"/>
      <c r="P217" s="15"/>
      <c r="Q217" s="15"/>
      <c r="R217" s="15"/>
      <c r="S217" s="15"/>
    </row>
    <row r="219" spans="2:37">
      <c r="B219" s="11" t="s">
        <v>1242</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spans="2:37">
      <c r="B220" s="12"/>
      <c r="C220" s="12"/>
      <c r="D220" s="12"/>
      <c r="E220" s="12"/>
      <c r="F220" s="12"/>
      <c r="G220" s="12"/>
      <c r="H220" s="12"/>
      <c r="I220" s="12"/>
      <c r="J220" s="12"/>
      <c r="K220" s="12"/>
      <c r="L220" s="12"/>
      <c r="M220" s="12"/>
      <c r="N220" s="12" t="s">
        <v>1243</v>
      </c>
      <c r="O220" s="12"/>
      <c r="P220" s="12"/>
      <c r="Q220" s="12"/>
      <c r="R220" s="12"/>
      <c r="S220" s="12"/>
      <c r="T220" s="12" t="s">
        <v>1231</v>
      </c>
      <c r="U220" s="12"/>
      <c r="V220" s="12"/>
      <c r="W220" s="12"/>
      <c r="X220" s="12"/>
      <c r="Y220" s="12"/>
      <c r="Z220" s="12" t="s">
        <v>1232</v>
      </c>
      <c r="AA220" s="12"/>
      <c r="AB220" s="12"/>
      <c r="AC220" s="12"/>
      <c r="AD220" s="12"/>
      <c r="AE220" s="12"/>
      <c r="AF220" s="12" t="s">
        <v>1244</v>
      </c>
      <c r="AG220" s="12"/>
      <c r="AH220" s="12"/>
      <c r="AI220" s="12"/>
      <c r="AJ220" s="12"/>
      <c r="AK220" s="12"/>
    </row>
    <row r="221" spans="2:37">
      <c r="B221" s="13" t="s">
        <v>458</v>
      </c>
      <c r="C221" s="13"/>
      <c r="D221" s="13"/>
      <c r="E221" s="13"/>
      <c r="F221" s="13"/>
      <c r="G221" s="13"/>
      <c r="H221" s="13"/>
      <c r="I221" s="13"/>
      <c r="J221" s="13"/>
      <c r="K221" s="13"/>
      <c r="L221" s="13"/>
      <c r="M221" s="13"/>
      <c r="N221" s="16">
        <f>N(INDEX('Flujo de efectivo'!$33:$33,$N$129))</f>
        <v/>
      </c>
      <c r="O221" s="16"/>
      <c r="P221" s="16"/>
      <c r="Q221" s="16"/>
      <c r="R221" s="16"/>
      <c r="S221" s="16"/>
      <c r="T221" s="18">
        <f>IF($N$221&gt;0,1,0)</f>
        <v/>
      </c>
      <c r="U221" s="18"/>
      <c r="V221" s="18"/>
      <c r="W221" s="18"/>
      <c r="X221" s="18"/>
      <c r="Y221" s="18"/>
      <c r="Z221" s="18">
        <f>1-$T$221</f>
        <v/>
      </c>
      <c r="AA221" s="18"/>
      <c r="AB221" s="18"/>
      <c r="AC221" s="18"/>
      <c r="AD221" s="18"/>
      <c r="AE221" s="18"/>
      <c r="AF221" s="14"/>
      <c r="AG221" s="14"/>
      <c r="AH221" s="14"/>
      <c r="AI221" s="14"/>
      <c r="AJ221" s="14"/>
      <c r="AK221" s="14"/>
    </row>
    <row r="222" spans="2:37">
      <c r="B222" s="13" t="s">
        <v>1245</v>
      </c>
      <c r="C222" s="13"/>
      <c r="D222" s="13"/>
      <c r="E222" s="13"/>
      <c r="F222" s="13"/>
      <c r="G222" s="13"/>
      <c r="H222" s="13"/>
      <c r="I222" s="13"/>
      <c r="J222" s="13"/>
      <c r="K222" s="13"/>
      <c r="L222" s="13"/>
      <c r="M222" s="13"/>
      <c r="N222" s="16">
        <f>-N(INDEX('Flujo de efectivo'!$34:$34,$N$129))</f>
        <v/>
      </c>
      <c r="O222" s="16"/>
      <c r="P222" s="16"/>
      <c r="Q222" s="16"/>
      <c r="R222" s="16"/>
      <c r="S222" s="16"/>
      <c r="T222" s="18">
        <f>IFERROR(MAX(0,MIN($N$222/$N$221,1)),0)</f>
        <v/>
      </c>
      <c r="U222" s="18"/>
      <c r="V222" s="18"/>
      <c r="W222" s="18"/>
      <c r="X222" s="18"/>
      <c r="Y222" s="18"/>
      <c r="Z222" s="18">
        <f>1-$T$222</f>
        <v/>
      </c>
      <c r="AA222" s="18"/>
      <c r="AB222" s="18"/>
      <c r="AC222" s="18"/>
      <c r="AD222" s="18"/>
      <c r="AE222" s="18"/>
      <c r="AF222" s="18">
        <f>IFERROR(IF($N$221&gt;0,$N$222/$N$221,""),"")</f>
        <v/>
      </c>
      <c r="AG222" s="18"/>
      <c r="AH222" s="18"/>
      <c r="AI222" s="18"/>
      <c r="AJ222" s="18"/>
      <c r="AK222" s="18"/>
    </row>
    <row r="223" spans="2:37">
      <c r="B223" s="13" t="s">
        <v>1246</v>
      </c>
      <c r="C223" s="13"/>
      <c r="D223" s="13"/>
      <c r="E223" s="13"/>
      <c r="F223" s="13"/>
      <c r="G223" s="13"/>
      <c r="H223" s="13"/>
      <c r="I223" s="13"/>
      <c r="J223" s="13"/>
      <c r="K223" s="13"/>
      <c r="L223" s="13"/>
      <c r="M223" s="13"/>
      <c r="N223" s="16">
        <f>N(INDEX('Análisis'!$15:$15,$N$129))</f>
        <v/>
      </c>
      <c r="O223" s="16"/>
      <c r="P223" s="16"/>
      <c r="Q223" s="16"/>
      <c r="R223" s="16"/>
      <c r="S223" s="16"/>
      <c r="T223" s="14"/>
      <c r="U223" s="14"/>
      <c r="V223" s="14"/>
      <c r="W223" s="14"/>
      <c r="X223" s="14"/>
      <c r="Y223" s="14"/>
      <c r="Z223" s="14"/>
      <c r="AA223" s="14"/>
      <c r="AB223" s="14"/>
      <c r="AC223" s="14"/>
      <c r="AD223" s="14"/>
      <c r="AE223" s="14"/>
      <c r="AF223" s="14"/>
      <c r="AG223" s="14"/>
      <c r="AH223" s="14"/>
      <c r="AI223" s="14"/>
      <c r="AJ223" s="14"/>
      <c r="AK223" s="14"/>
    </row>
    <row r="224" spans="2:37">
      <c r="B224" s="13" t="s">
        <v>1247</v>
      </c>
      <c r="C224" s="13"/>
      <c r="D224" s="13"/>
      <c r="E224" s="13"/>
      <c r="F224" s="13"/>
      <c r="G224" s="13"/>
      <c r="H224" s="13"/>
      <c r="I224" s="13"/>
      <c r="J224" s="13"/>
      <c r="K224" s="13"/>
      <c r="L224" s="13"/>
      <c r="M224" s="13"/>
      <c r="N224" s="15">
        <f>IF($AF$222="","",TEXT($AF$222,"0%")&amp;" del flujo")</f>
        <v/>
      </c>
      <c r="O224" s="15"/>
      <c r="P224" s="15"/>
      <c r="Q224" s="15"/>
      <c r="R224" s="15"/>
      <c r="S224" s="15"/>
    </row>
    <row r="225" spans="2:25">
      <c r="B225" s="13" t="s">
        <v>1248</v>
      </c>
      <c r="C225" s="13"/>
      <c r="D225" s="13"/>
      <c r="E225" s="13"/>
      <c r="F225" s="13"/>
      <c r="G225" s="13"/>
      <c r="H225" s="13"/>
      <c r="I225" s="13"/>
      <c r="J225" s="13"/>
      <c r="K225" s="13"/>
      <c r="L225" s="13"/>
      <c r="M225" s="13"/>
      <c r="N225" s="15">
        <f>IF($N$134&gt;1,"● Solo consolidado",IF(OR($N$221&lt;=0,N($AF$222)&gt;1),"● El capex superó al flujo operativo",""))</f>
        <v/>
      </c>
      <c r="O225" s="15"/>
      <c r="P225" s="15"/>
      <c r="Q225" s="15"/>
      <c r="R225" s="15"/>
      <c r="S225" s="15"/>
    </row>
    <row r="226" spans="2:25">
      <c r="B226" s="13" t="s">
        <v>1249</v>
      </c>
      <c r="C226" s="13"/>
      <c r="D226" s="13"/>
      <c r="E226" s="13"/>
      <c r="F226" s="13"/>
      <c r="G226" s="13"/>
      <c r="H226" s="13"/>
      <c r="I226" s="13"/>
      <c r="J226" s="13"/>
      <c r="K226" s="13"/>
      <c r="L226" s="13"/>
      <c r="M226" s="13"/>
      <c r="N226" s="17">
        <f>IFERROR(INDEX('Análisis'!$79:$79,$N$129)*1,"")</f>
        <v/>
      </c>
      <c r="O226" s="17"/>
      <c r="P226" s="17"/>
      <c r="Q226" s="17"/>
      <c r="R226" s="17"/>
      <c r="S226" s="17"/>
    </row>
    <row r="227" spans="2:25">
      <c r="B227" s="13" t="s">
        <v>1250</v>
      </c>
      <c r="C227" s="13"/>
      <c r="D227" s="13"/>
      <c r="E227" s="13"/>
      <c r="F227" s="13"/>
      <c r="G227" s="13"/>
      <c r="H227" s="13"/>
      <c r="I227" s="13"/>
      <c r="J227" s="13"/>
      <c r="K227" s="13"/>
      <c r="L227" s="13"/>
      <c r="M227" s="13"/>
      <c r="N227" s="17">
        <f>IFERROR(INDEX('Análisis'!$80:$80,$N$129)*1,"")</f>
        <v/>
      </c>
      <c r="O227" s="17"/>
      <c r="P227" s="17"/>
      <c r="Q227" s="17"/>
      <c r="R227" s="17"/>
      <c r="S227" s="17"/>
    </row>
    <row r="229" spans="2:25">
      <c r="B229" s="11" t="s">
        <v>1251</v>
      </c>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spans="2:25">
      <c r="B230" s="12"/>
      <c r="C230" s="12"/>
      <c r="D230" s="12"/>
      <c r="E230" s="12"/>
      <c r="F230" s="12"/>
      <c r="G230" s="12"/>
      <c r="H230" s="12"/>
      <c r="I230" s="12"/>
      <c r="J230" s="12"/>
      <c r="K230" s="12"/>
      <c r="L230" s="12"/>
      <c r="M230" s="12"/>
      <c r="N230" s="12" t="s">
        <v>1243</v>
      </c>
      <c r="O230" s="12"/>
      <c r="P230" s="12"/>
      <c r="Q230" s="12"/>
      <c r="R230" s="12"/>
      <c r="S230" s="12"/>
      <c r="T230" s="12" t="s">
        <v>1252</v>
      </c>
      <c r="U230" s="12"/>
      <c r="V230" s="12"/>
      <c r="W230" s="12"/>
      <c r="X230" s="12"/>
      <c r="Y230" s="12"/>
    </row>
    <row r="231" spans="2:25">
      <c r="B231" s="13" t="s">
        <v>479</v>
      </c>
      <c r="C231" s="13"/>
      <c r="D231" s="13"/>
      <c r="E231" s="13"/>
      <c r="F231" s="13"/>
      <c r="G231" s="13"/>
      <c r="H231" s="13"/>
      <c r="I231" s="13"/>
      <c r="J231" s="13"/>
      <c r="K231" s="13"/>
      <c r="L231" s="13"/>
      <c r="M231" s="13"/>
      <c r="N231" s="16">
        <f>MAX(0,N(INDEX('Segmentos'!$34:$34,$N$129)))</f>
        <v/>
      </c>
      <c r="O231" s="16"/>
      <c r="P231" s="16"/>
      <c r="Q231" s="16"/>
      <c r="R231" s="16"/>
      <c r="S231" s="16"/>
      <c r="T231" s="22">
        <f>$N$231+12/1000</f>
        <v/>
      </c>
      <c r="U231" s="22"/>
      <c r="V231" s="22"/>
      <c r="W231" s="22"/>
      <c r="X231" s="22"/>
      <c r="Y231" s="22"/>
    </row>
    <row r="232" spans="2:25">
      <c r="B232" s="13" t="s">
        <v>480</v>
      </c>
      <c r="C232" s="13"/>
      <c r="D232" s="13"/>
      <c r="E232" s="13"/>
      <c r="F232" s="13"/>
      <c r="G232" s="13"/>
      <c r="H232" s="13"/>
      <c r="I232" s="13"/>
      <c r="J232" s="13"/>
      <c r="K232" s="13"/>
      <c r="L232" s="13"/>
      <c r="M232" s="13"/>
      <c r="N232" s="16">
        <f>MAX(0,N(INDEX('Segmentos'!$35:$35,$N$129)))</f>
        <v/>
      </c>
      <c r="O232" s="16"/>
      <c r="P232" s="16"/>
      <c r="Q232" s="16"/>
      <c r="R232" s="16"/>
      <c r="S232" s="16"/>
      <c r="T232" s="22">
        <f>$N$232+11/1000</f>
        <v/>
      </c>
      <c r="U232" s="22"/>
      <c r="V232" s="22"/>
      <c r="W232" s="22"/>
      <c r="X232" s="22"/>
      <c r="Y232" s="22"/>
    </row>
    <row r="233" spans="2:25">
      <c r="B233" s="13" t="s">
        <v>481</v>
      </c>
      <c r="C233" s="13"/>
      <c r="D233" s="13"/>
      <c r="E233" s="13"/>
      <c r="F233" s="13"/>
      <c r="G233" s="13"/>
      <c r="H233" s="13"/>
      <c r="I233" s="13"/>
      <c r="J233" s="13"/>
      <c r="K233" s="13"/>
      <c r="L233" s="13"/>
      <c r="M233" s="13"/>
      <c r="N233" s="16">
        <f>MAX(0,N(INDEX('Segmentos'!$36:$36,$N$129)))</f>
        <v/>
      </c>
      <c r="O233" s="16"/>
      <c r="P233" s="16"/>
      <c r="Q233" s="16"/>
      <c r="R233" s="16"/>
      <c r="S233" s="16"/>
      <c r="T233" s="22">
        <f>$N$233+10/1000</f>
        <v/>
      </c>
      <c r="U233" s="22"/>
      <c r="V233" s="22"/>
      <c r="W233" s="22"/>
      <c r="X233" s="22"/>
      <c r="Y233" s="22"/>
    </row>
    <row r="234" spans="2:25">
      <c r="B234" s="13" t="s">
        <v>482</v>
      </c>
      <c r="C234" s="13"/>
      <c r="D234" s="13"/>
      <c r="E234" s="13"/>
      <c r="F234" s="13"/>
      <c r="G234" s="13"/>
      <c r="H234" s="13"/>
      <c r="I234" s="13"/>
      <c r="J234" s="13"/>
      <c r="K234" s="13"/>
      <c r="L234" s="13"/>
      <c r="M234" s="13"/>
      <c r="N234" s="16">
        <f>MAX(0,N(INDEX('Segmentos'!$37:$37,$N$129)))</f>
        <v/>
      </c>
      <c r="O234" s="16"/>
      <c r="P234" s="16"/>
      <c r="Q234" s="16"/>
      <c r="R234" s="16"/>
      <c r="S234" s="16"/>
      <c r="T234" s="22">
        <f>$N$234+9/1000</f>
        <v/>
      </c>
      <c r="U234" s="22"/>
      <c r="V234" s="22"/>
      <c r="W234" s="22"/>
      <c r="X234" s="22"/>
      <c r="Y234" s="22"/>
    </row>
    <row r="235" spans="2:25">
      <c r="B235" s="13" t="s">
        <v>483</v>
      </c>
      <c r="C235" s="13"/>
      <c r="D235" s="13"/>
      <c r="E235" s="13"/>
      <c r="F235" s="13"/>
      <c r="G235" s="13"/>
      <c r="H235" s="13"/>
      <c r="I235" s="13"/>
      <c r="J235" s="13"/>
      <c r="K235" s="13"/>
      <c r="L235" s="13"/>
      <c r="M235" s="13"/>
      <c r="N235" s="16">
        <f>MAX(0,N(INDEX('Segmentos'!$38:$38,$N$129)))</f>
        <v/>
      </c>
      <c r="O235" s="16"/>
      <c r="P235" s="16"/>
      <c r="Q235" s="16"/>
      <c r="R235" s="16"/>
      <c r="S235" s="16"/>
      <c r="T235" s="22">
        <f>$N$235+8/1000</f>
        <v/>
      </c>
      <c r="U235" s="22"/>
      <c r="V235" s="22"/>
      <c r="W235" s="22"/>
      <c r="X235" s="22"/>
      <c r="Y235" s="22"/>
    </row>
    <row r="236" spans="2:25">
      <c r="B236" s="13" t="s">
        <v>484</v>
      </c>
      <c r="C236" s="13"/>
      <c r="D236" s="13"/>
      <c r="E236" s="13"/>
      <c r="F236" s="13"/>
      <c r="G236" s="13"/>
      <c r="H236" s="13"/>
      <c r="I236" s="13"/>
      <c r="J236" s="13"/>
      <c r="K236" s="13"/>
      <c r="L236" s="13"/>
      <c r="M236" s="13"/>
      <c r="N236" s="16">
        <f>MAX(0,N(INDEX('Segmentos'!$39:$39,$N$129)))</f>
        <v/>
      </c>
      <c r="O236" s="16"/>
      <c r="P236" s="16"/>
      <c r="Q236" s="16"/>
      <c r="R236" s="16"/>
      <c r="S236" s="16"/>
      <c r="T236" s="22">
        <f>$N$236+7/1000</f>
        <v/>
      </c>
      <c r="U236" s="22"/>
      <c r="V236" s="22"/>
      <c r="W236" s="22"/>
      <c r="X236" s="22"/>
      <c r="Y236" s="22"/>
    </row>
    <row r="237" spans="2:25">
      <c r="B237" s="13" t="s">
        <v>485</v>
      </c>
      <c r="C237" s="13"/>
      <c r="D237" s="13"/>
      <c r="E237" s="13"/>
      <c r="F237" s="13"/>
      <c r="G237" s="13"/>
      <c r="H237" s="13"/>
      <c r="I237" s="13"/>
      <c r="J237" s="13"/>
      <c r="K237" s="13"/>
      <c r="L237" s="13"/>
      <c r="M237" s="13"/>
      <c r="N237" s="16">
        <f>MAX(0,N(INDEX('Segmentos'!$40:$40,$N$129)))</f>
        <v/>
      </c>
      <c r="O237" s="16"/>
      <c r="P237" s="16"/>
      <c r="Q237" s="16"/>
      <c r="R237" s="16"/>
      <c r="S237" s="16"/>
      <c r="T237" s="22">
        <f>$N$237+6/1000</f>
        <v/>
      </c>
      <c r="U237" s="22"/>
      <c r="V237" s="22"/>
      <c r="W237" s="22"/>
      <c r="X237" s="22"/>
      <c r="Y237" s="22"/>
    </row>
    <row r="238" spans="2:25">
      <c r="B238" s="13" t="s">
        <v>486</v>
      </c>
      <c r="C238" s="13"/>
      <c r="D238" s="13"/>
      <c r="E238" s="13"/>
      <c r="F238" s="13"/>
      <c r="G238" s="13"/>
      <c r="H238" s="13"/>
      <c r="I238" s="13"/>
      <c r="J238" s="13"/>
      <c r="K238" s="13"/>
      <c r="L238" s="13"/>
      <c r="M238" s="13"/>
      <c r="N238" s="16">
        <f>MAX(0,N(INDEX('Segmentos'!$41:$41,$N$129)))</f>
        <v/>
      </c>
      <c r="O238" s="16"/>
      <c r="P238" s="16"/>
      <c r="Q238" s="16"/>
      <c r="R238" s="16"/>
      <c r="S238" s="16"/>
      <c r="T238" s="22">
        <f>$N$238+5/1000</f>
        <v/>
      </c>
      <c r="U238" s="22"/>
      <c r="V238" s="22"/>
      <c r="W238" s="22"/>
      <c r="X238" s="22"/>
      <c r="Y238" s="22"/>
    </row>
    <row r="239" spans="2:25">
      <c r="B239" s="13" t="s">
        <v>487</v>
      </c>
      <c r="C239" s="13"/>
      <c r="D239" s="13"/>
      <c r="E239" s="13"/>
      <c r="F239" s="13"/>
      <c r="G239" s="13"/>
      <c r="H239" s="13"/>
      <c r="I239" s="13"/>
      <c r="J239" s="13"/>
      <c r="K239" s="13"/>
      <c r="L239" s="13"/>
      <c r="M239" s="13"/>
      <c r="N239" s="16">
        <f>MAX(0,N(INDEX('Segmentos'!$42:$42,$N$129)))</f>
        <v/>
      </c>
      <c r="O239" s="16"/>
      <c r="P239" s="16"/>
      <c r="Q239" s="16"/>
      <c r="R239" s="16"/>
      <c r="S239" s="16"/>
      <c r="T239" s="22">
        <f>$N$239+4/1000</f>
        <v/>
      </c>
      <c r="U239" s="22"/>
      <c r="V239" s="22"/>
      <c r="W239" s="22"/>
      <c r="X239" s="22"/>
      <c r="Y239" s="22"/>
    </row>
    <row r="240" spans="2:25">
      <c r="B240" s="13" t="s">
        <v>479</v>
      </c>
      <c r="C240" s="13"/>
      <c r="D240" s="13"/>
      <c r="E240" s="13"/>
      <c r="F240" s="13"/>
      <c r="G240" s="13"/>
      <c r="H240" s="13"/>
      <c r="I240" s="13"/>
      <c r="J240" s="13"/>
      <c r="K240" s="13"/>
      <c r="L240" s="13"/>
      <c r="M240" s="13"/>
      <c r="N240" s="16">
        <f>IF(SUM($N$231:$N$239)=0,MAX(0,N(INDEX('Segmentos'!$106:$106,$N$129))),0)</f>
        <v/>
      </c>
      <c r="O240" s="16"/>
      <c r="P240" s="16"/>
      <c r="Q240" s="16"/>
      <c r="R240" s="16"/>
      <c r="S240" s="16"/>
      <c r="T240" s="22">
        <f>$N$240+3/1000</f>
        <v/>
      </c>
      <c r="U240" s="22"/>
      <c r="V240" s="22"/>
      <c r="W240" s="22"/>
      <c r="X240" s="22"/>
      <c r="Y240" s="22"/>
    </row>
    <row r="241" spans="2:43">
      <c r="B241" s="13" t="s">
        <v>498</v>
      </c>
      <c r="C241" s="13"/>
      <c r="D241" s="13"/>
      <c r="E241" s="13"/>
      <c r="F241" s="13"/>
      <c r="G241" s="13"/>
      <c r="H241" s="13"/>
      <c r="I241" s="13"/>
      <c r="J241" s="13"/>
      <c r="K241" s="13"/>
      <c r="L241" s="13"/>
      <c r="M241" s="13"/>
      <c r="N241" s="16">
        <f>IF(SUM($N$231:$N$239)=0,MAX(0,N(INDEX('Segmentos'!$107:$107,$N$129))),0)</f>
        <v/>
      </c>
      <c r="O241" s="16"/>
      <c r="P241" s="16"/>
      <c r="Q241" s="16"/>
      <c r="R241" s="16"/>
      <c r="S241" s="16"/>
      <c r="T241" s="22">
        <f>$N$241+2/1000</f>
        <v/>
      </c>
      <c r="U241" s="22"/>
      <c r="V241" s="22"/>
      <c r="W241" s="22"/>
      <c r="X241" s="22"/>
      <c r="Y241" s="22"/>
    </row>
    <row r="242" spans="2:43">
      <c r="B242" s="13" t="s">
        <v>487</v>
      </c>
      <c r="C242" s="13"/>
      <c r="D242" s="13"/>
      <c r="E242" s="13"/>
      <c r="F242" s="13"/>
      <c r="G242" s="13"/>
      <c r="H242" s="13"/>
      <c r="I242" s="13"/>
      <c r="J242" s="13"/>
      <c r="K242" s="13"/>
      <c r="L242" s="13"/>
      <c r="M242" s="13"/>
      <c r="N242" s="16">
        <f>IF(SUM($N$231:$N$239)=0,MAX(0,N(INDEX('Segmentos'!$108:$108,$N$129))),0)</f>
        <v/>
      </c>
      <c r="O242" s="16"/>
      <c r="P242" s="16"/>
      <c r="Q242" s="16"/>
      <c r="R242" s="16"/>
      <c r="S242" s="16"/>
      <c r="T242" s="22">
        <f>$N$242+1/1000</f>
        <v/>
      </c>
      <c r="U242" s="22"/>
      <c r="V242" s="22"/>
      <c r="W242" s="22"/>
      <c r="X242" s="22"/>
      <c r="Y242" s="22"/>
    </row>
    <row r="243" spans="2:43">
      <c r="B243" s="13" t="s">
        <v>1253</v>
      </c>
      <c r="C243" s="13"/>
      <c r="D243" s="13"/>
      <c r="E243" s="13"/>
      <c r="F243" s="13"/>
      <c r="G243" s="13"/>
      <c r="H243" s="13"/>
      <c r="I243" s="13"/>
      <c r="J243" s="13"/>
      <c r="K243" s="13"/>
      <c r="L243" s="13"/>
      <c r="M243" s="13"/>
      <c r="N243" s="15">
        <f>IF(AND(SUM($N$231:$N$239)=0,SUM($N$231:$N$242)&gt;0),"● Sin apertura reportada: se muestra la homologada","")</f>
        <v/>
      </c>
      <c r="O243" s="15"/>
      <c r="P243" s="15"/>
      <c r="Q243" s="15"/>
      <c r="R243" s="15"/>
      <c r="S243" s="15"/>
    </row>
    <row r="245" spans="2:43">
      <c r="B245" s="11" t="s">
        <v>1254</v>
      </c>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row>
    <row r="246" spans="2:43">
      <c r="B246" s="12"/>
      <c r="C246" s="12"/>
      <c r="D246" s="12"/>
      <c r="E246" s="12"/>
      <c r="F246" s="12"/>
      <c r="G246" s="12"/>
      <c r="H246" s="12"/>
      <c r="I246" s="12"/>
      <c r="J246" s="12"/>
      <c r="K246" s="12"/>
      <c r="L246" s="12"/>
      <c r="M246" s="12"/>
      <c r="N246" s="12" t="s">
        <v>1243</v>
      </c>
      <c r="O246" s="12"/>
      <c r="P246" s="12"/>
      <c r="Q246" s="12"/>
      <c r="R246" s="12"/>
      <c r="S246" s="12"/>
      <c r="T246" s="12" t="s">
        <v>1255</v>
      </c>
      <c r="U246" s="12"/>
      <c r="V246" s="12"/>
      <c r="W246" s="12"/>
      <c r="X246" s="12"/>
      <c r="Y246" s="12"/>
      <c r="Z246" s="12" t="s">
        <v>1256</v>
      </c>
      <c r="AA246" s="12"/>
      <c r="AB246" s="12"/>
      <c r="AC246" s="12"/>
      <c r="AD246" s="12"/>
      <c r="AE246" s="12"/>
      <c r="AF246" s="12" t="s">
        <v>1257</v>
      </c>
      <c r="AG246" s="12"/>
      <c r="AH246" s="12"/>
      <c r="AI246" s="12"/>
      <c r="AJ246" s="12"/>
      <c r="AK246" s="12"/>
      <c r="AL246" s="12" t="s">
        <v>1258</v>
      </c>
      <c r="AM246" s="12"/>
      <c r="AN246" s="12"/>
      <c r="AO246" s="12"/>
      <c r="AP246" s="12"/>
      <c r="AQ246" s="12"/>
    </row>
    <row r="247" spans="2:43">
      <c r="B247" s="13">
        <f>INDEX($B$231:$B$242,MATCH(LARGE($T$231:$T$242,1),$T$231:$T$242,0))</f>
        <v/>
      </c>
      <c r="C247" s="13"/>
      <c r="D247" s="13"/>
      <c r="E247" s="13"/>
      <c r="F247" s="13"/>
      <c r="G247" s="13"/>
      <c r="H247" s="13"/>
      <c r="I247" s="13"/>
      <c r="J247" s="13"/>
      <c r="K247" s="13"/>
      <c r="L247" s="13"/>
      <c r="M247" s="13"/>
      <c r="N247" s="17">
        <f>INDEX($N$231:$N$242,MATCH(LARGE($T$231:$T$242,1),$T$231:$T$242,0))</f>
        <v/>
      </c>
      <c r="O247" s="17"/>
      <c r="P247" s="17"/>
      <c r="Q247" s="17"/>
      <c r="R247" s="17"/>
      <c r="S247" s="17"/>
      <c r="T247" s="23">
        <f>IFERROR($N$247/$N$253,0)</f>
        <v/>
      </c>
      <c r="U247" s="23"/>
      <c r="V247" s="23"/>
      <c r="W247" s="23"/>
      <c r="X247" s="23"/>
      <c r="Y247" s="23"/>
      <c r="Z247" s="15">
        <f>IF($N$247&gt;0,$B$247,"")</f>
        <v/>
      </c>
      <c r="AA247" s="15"/>
      <c r="AB247" s="15"/>
      <c r="AC247" s="15"/>
      <c r="AD247" s="15"/>
      <c r="AE247" s="15"/>
      <c r="AF247" s="14">
        <f>IF($N$247&gt;0,"●","")</f>
        <v/>
      </c>
      <c r="AG247" s="14"/>
      <c r="AH247" s="14"/>
      <c r="AI247" s="14"/>
      <c r="AJ247" s="14"/>
      <c r="AK247" s="14"/>
      <c r="AL247" s="23">
        <f>IF($N$247&gt;0,$T$247,"")</f>
        <v/>
      </c>
      <c r="AM247" s="23"/>
      <c r="AN247" s="23"/>
      <c r="AO247" s="23"/>
      <c r="AP247" s="23"/>
      <c r="AQ247" s="23"/>
    </row>
    <row r="248" spans="2:43">
      <c r="B248" s="13">
        <f>INDEX($B$231:$B$242,MATCH(LARGE($T$231:$T$242,2),$T$231:$T$242,0))</f>
        <v/>
      </c>
      <c r="C248" s="13"/>
      <c r="D248" s="13"/>
      <c r="E248" s="13"/>
      <c r="F248" s="13"/>
      <c r="G248" s="13"/>
      <c r="H248" s="13"/>
      <c r="I248" s="13"/>
      <c r="J248" s="13"/>
      <c r="K248" s="13"/>
      <c r="L248" s="13"/>
      <c r="M248" s="13"/>
      <c r="N248" s="17">
        <f>INDEX($N$231:$N$242,MATCH(LARGE($T$231:$T$242,2),$T$231:$T$242,0))</f>
        <v/>
      </c>
      <c r="O248" s="17"/>
      <c r="P248" s="17"/>
      <c r="Q248" s="17"/>
      <c r="R248" s="17"/>
      <c r="S248" s="17"/>
      <c r="T248" s="23">
        <f>IFERROR($N$248/$N$253,0)</f>
        <v/>
      </c>
      <c r="U248" s="23"/>
      <c r="V248" s="23"/>
      <c r="W248" s="23"/>
      <c r="X248" s="23"/>
      <c r="Y248" s="23"/>
      <c r="Z248" s="15">
        <f>IF($N$248&gt;0,$B$248,"")</f>
        <v/>
      </c>
      <c r="AA248" s="15"/>
      <c r="AB248" s="15"/>
      <c r="AC248" s="15"/>
      <c r="AD248" s="15"/>
      <c r="AE248" s="15"/>
      <c r="AF248" s="14">
        <f>IF($N$248&gt;0,"●","")</f>
        <v/>
      </c>
      <c r="AG248" s="14"/>
      <c r="AH248" s="14"/>
      <c r="AI248" s="14"/>
      <c r="AJ248" s="14"/>
      <c r="AK248" s="14"/>
      <c r="AL248" s="23">
        <f>IF($N$248&gt;0,$T$248,"")</f>
        <v/>
      </c>
      <c r="AM248" s="23"/>
      <c r="AN248" s="23"/>
      <c r="AO248" s="23"/>
      <c r="AP248" s="23"/>
      <c r="AQ248" s="23"/>
    </row>
    <row r="249" spans="2:43">
      <c r="B249" s="13">
        <f>INDEX($B$231:$B$242,MATCH(LARGE($T$231:$T$242,3),$T$231:$T$242,0))</f>
        <v/>
      </c>
      <c r="C249" s="13"/>
      <c r="D249" s="13"/>
      <c r="E249" s="13"/>
      <c r="F249" s="13"/>
      <c r="G249" s="13"/>
      <c r="H249" s="13"/>
      <c r="I249" s="13"/>
      <c r="J249" s="13"/>
      <c r="K249" s="13"/>
      <c r="L249" s="13"/>
      <c r="M249" s="13"/>
      <c r="N249" s="17">
        <f>INDEX($N$231:$N$242,MATCH(LARGE($T$231:$T$242,3),$T$231:$T$242,0))</f>
        <v/>
      </c>
      <c r="O249" s="17"/>
      <c r="P249" s="17"/>
      <c r="Q249" s="17"/>
      <c r="R249" s="17"/>
      <c r="S249" s="17"/>
      <c r="T249" s="23">
        <f>IFERROR($N$249/$N$253,0)</f>
        <v/>
      </c>
      <c r="U249" s="23"/>
      <c r="V249" s="23"/>
      <c r="W249" s="23"/>
      <c r="X249" s="23"/>
      <c r="Y249" s="23"/>
      <c r="Z249" s="15">
        <f>IF($N$249&gt;0,$B$249,"")</f>
        <v/>
      </c>
      <c r="AA249" s="15"/>
      <c r="AB249" s="15"/>
      <c r="AC249" s="15"/>
      <c r="AD249" s="15"/>
      <c r="AE249" s="15"/>
      <c r="AF249" s="14">
        <f>IF($N$249&gt;0,"●","")</f>
        <v/>
      </c>
      <c r="AG249" s="14"/>
      <c r="AH249" s="14"/>
      <c r="AI249" s="14"/>
      <c r="AJ249" s="14"/>
      <c r="AK249" s="14"/>
      <c r="AL249" s="23">
        <f>IF($N$249&gt;0,$T$249,"")</f>
        <v/>
      </c>
      <c r="AM249" s="23"/>
      <c r="AN249" s="23"/>
      <c r="AO249" s="23"/>
      <c r="AP249" s="23"/>
      <c r="AQ249" s="23"/>
    </row>
    <row r="250" spans="2:43">
      <c r="B250" s="13">
        <f>INDEX($B$231:$B$242,MATCH(LARGE($T$231:$T$242,4),$T$231:$T$242,0))</f>
        <v/>
      </c>
      <c r="C250" s="13"/>
      <c r="D250" s="13"/>
      <c r="E250" s="13"/>
      <c r="F250" s="13"/>
      <c r="G250" s="13"/>
      <c r="H250" s="13"/>
      <c r="I250" s="13"/>
      <c r="J250" s="13"/>
      <c r="K250" s="13"/>
      <c r="L250" s="13"/>
      <c r="M250" s="13"/>
      <c r="N250" s="17">
        <f>INDEX($N$231:$N$242,MATCH(LARGE($T$231:$T$242,4),$T$231:$T$242,0))</f>
        <v/>
      </c>
      <c r="O250" s="17"/>
      <c r="P250" s="17"/>
      <c r="Q250" s="17"/>
      <c r="R250" s="17"/>
      <c r="S250" s="17"/>
      <c r="T250" s="23">
        <f>IFERROR($N$250/$N$253,0)</f>
        <v/>
      </c>
      <c r="U250" s="23"/>
      <c r="V250" s="23"/>
      <c r="W250" s="23"/>
      <c r="X250" s="23"/>
      <c r="Y250" s="23"/>
      <c r="Z250" s="15">
        <f>IF($N$250&gt;0,$B$250,"")</f>
        <v/>
      </c>
      <c r="AA250" s="15"/>
      <c r="AB250" s="15"/>
      <c r="AC250" s="15"/>
      <c r="AD250" s="15"/>
      <c r="AE250" s="15"/>
      <c r="AF250" s="14">
        <f>IF($N$250&gt;0,"●","")</f>
        <v/>
      </c>
      <c r="AG250" s="14"/>
      <c r="AH250" s="14"/>
      <c r="AI250" s="14"/>
      <c r="AJ250" s="14"/>
      <c r="AK250" s="14"/>
      <c r="AL250" s="23">
        <f>IF($N$250&gt;0,$T$250,"")</f>
        <v/>
      </c>
      <c r="AM250" s="23"/>
      <c r="AN250" s="23"/>
      <c r="AO250" s="23"/>
      <c r="AP250" s="23"/>
      <c r="AQ250" s="23"/>
    </row>
    <row r="251" spans="2:43">
      <c r="B251" s="13">
        <f>INDEX($B$231:$B$242,MATCH(LARGE($T$231:$T$242,5),$T$231:$T$242,0))</f>
        <v/>
      </c>
      <c r="C251" s="13"/>
      <c r="D251" s="13"/>
      <c r="E251" s="13"/>
      <c r="F251" s="13"/>
      <c r="G251" s="13"/>
      <c r="H251" s="13"/>
      <c r="I251" s="13"/>
      <c r="J251" s="13"/>
      <c r="K251" s="13"/>
      <c r="L251" s="13"/>
      <c r="M251" s="13"/>
      <c r="N251" s="17">
        <f>INDEX($N$231:$N$242,MATCH(LARGE($T$231:$T$242,5),$T$231:$T$242,0))</f>
        <v/>
      </c>
      <c r="O251" s="17"/>
      <c r="P251" s="17"/>
      <c r="Q251" s="17"/>
      <c r="R251" s="17"/>
      <c r="S251" s="17"/>
      <c r="T251" s="23">
        <f>IFERROR($N$251/$N$253,0)</f>
        <v/>
      </c>
      <c r="U251" s="23"/>
      <c r="V251" s="23"/>
      <c r="W251" s="23"/>
      <c r="X251" s="23"/>
      <c r="Y251" s="23"/>
      <c r="Z251" s="15">
        <f>IF($N$251&gt;0,$B$251,"")</f>
        <v/>
      </c>
      <c r="AA251" s="15"/>
      <c r="AB251" s="15"/>
      <c r="AC251" s="15"/>
      <c r="AD251" s="15"/>
      <c r="AE251" s="15"/>
      <c r="AF251" s="14">
        <f>IF($N$251&gt;0,"●","")</f>
        <v/>
      </c>
      <c r="AG251" s="14"/>
      <c r="AH251" s="14"/>
      <c r="AI251" s="14"/>
      <c r="AJ251" s="14"/>
      <c r="AK251" s="14"/>
      <c r="AL251" s="23">
        <f>IF($N$251&gt;0,$T$251,"")</f>
        <v/>
      </c>
      <c r="AM251" s="23"/>
      <c r="AN251" s="23"/>
      <c r="AO251" s="23"/>
      <c r="AP251" s="23"/>
      <c r="AQ251" s="23"/>
    </row>
    <row r="252" spans="2:43">
      <c r="B252" s="13" t="s">
        <v>1259</v>
      </c>
      <c r="C252" s="13"/>
      <c r="D252" s="13"/>
      <c r="E252" s="13"/>
      <c r="F252" s="13"/>
      <c r="G252" s="13"/>
      <c r="H252" s="13"/>
      <c r="I252" s="13"/>
      <c r="J252" s="13"/>
      <c r="K252" s="13"/>
      <c r="L252" s="13"/>
      <c r="M252" s="13"/>
      <c r="N252" s="17">
        <f>MAX(0,SUM($N$231:$N$242)-SUM($N$247:$N$251))</f>
        <v/>
      </c>
      <c r="O252" s="17"/>
      <c r="P252" s="17"/>
      <c r="Q252" s="17"/>
      <c r="R252" s="17"/>
      <c r="S252" s="17"/>
      <c r="T252" s="23">
        <f>IFERROR($N$252/$N$253,0)</f>
        <v/>
      </c>
      <c r="U252" s="23"/>
      <c r="V252" s="23"/>
      <c r="W252" s="23"/>
      <c r="X252" s="23"/>
      <c r="Y252" s="23"/>
      <c r="Z252" s="15">
        <f>IF($N$252&gt;0,"Resto","")</f>
        <v/>
      </c>
      <c r="AA252" s="15"/>
      <c r="AB252" s="15"/>
      <c r="AC252" s="15"/>
      <c r="AD252" s="15"/>
      <c r="AE252" s="15"/>
      <c r="AF252" s="14">
        <f>IF($N$252&gt;0,"●","")</f>
        <v/>
      </c>
      <c r="AG252" s="14"/>
      <c r="AH252" s="14"/>
      <c r="AI252" s="14"/>
      <c r="AJ252" s="14"/>
      <c r="AK252" s="14"/>
      <c r="AL252" s="23">
        <f>IF($N$252&gt;0,$T$252,"")</f>
        <v/>
      </c>
      <c r="AM252" s="23"/>
      <c r="AN252" s="23"/>
      <c r="AO252" s="23"/>
      <c r="AP252" s="23"/>
      <c r="AQ252" s="23"/>
    </row>
    <row r="253" spans="2:43">
      <c r="B253" s="13" t="s">
        <v>489</v>
      </c>
      <c r="C253" s="13"/>
      <c r="D253" s="13"/>
      <c r="E253" s="13"/>
      <c r="F253" s="13"/>
      <c r="G253" s="13"/>
      <c r="H253" s="13"/>
      <c r="I253" s="13"/>
      <c r="J253" s="13"/>
      <c r="K253" s="13"/>
      <c r="L253" s="13"/>
      <c r="M253" s="13"/>
      <c r="N253" s="16">
        <f>SUM($N$231:$N$242)</f>
        <v/>
      </c>
      <c r="O253" s="16"/>
      <c r="P253" s="16"/>
      <c r="Q253" s="16"/>
      <c r="R253" s="16"/>
      <c r="S253" s="16"/>
    </row>
    <row r="255" spans="2:43">
      <c r="B255" s="11" t="s">
        <v>1260</v>
      </c>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row>
    <row r="256" spans="2:43">
      <c r="B256" s="12"/>
      <c r="C256" s="12"/>
      <c r="D256" s="12"/>
      <c r="E256" s="12"/>
      <c r="F256" s="12"/>
      <c r="G256" s="12"/>
      <c r="H256" s="12"/>
      <c r="I256" s="12"/>
      <c r="J256" s="12"/>
      <c r="K256" s="12"/>
      <c r="L256" s="12"/>
      <c r="M256" s="12"/>
      <c r="N256" s="12" t="s">
        <v>457</v>
      </c>
      <c r="O256" s="12"/>
      <c r="P256" s="12"/>
      <c r="Q256" s="12"/>
      <c r="R256" s="12"/>
      <c r="S256" s="12"/>
      <c r="T256" s="12" t="s">
        <v>617</v>
      </c>
      <c r="U256" s="12"/>
      <c r="V256" s="12"/>
      <c r="W256" s="12"/>
      <c r="X256" s="12"/>
      <c r="Y256" s="12"/>
      <c r="Z256" s="12" t="s">
        <v>1261</v>
      </c>
      <c r="AA256" s="12"/>
      <c r="AB256" s="12"/>
      <c r="AC256" s="12"/>
      <c r="AD256" s="12"/>
      <c r="AE256" s="12"/>
    </row>
    <row r="257" spans="2:31">
      <c r="B257" s="13">
        <f>"FY"&amp;RIGHT($N$138-2,2)</f>
        <v/>
      </c>
      <c r="C257" s="13"/>
      <c r="D257" s="13"/>
      <c r="E257" s="13"/>
      <c r="F257" s="13"/>
      <c r="G257" s="13"/>
      <c r="H257" s="13"/>
      <c r="I257" s="13"/>
      <c r="J257" s="13"/>
      <c r="K257" s="13"/>
      <c r="L257" s="13"/>
      <c r="M257" s="13"/>
      <c r="N257" s="16">
        <f>IFERROR(IF($N$134=1,N(INDEX('Análisis'!$73:$73,MATCH(($N$138-2)&amp;"Q1",'Resultados'!$4:$4,0)))+N(INDEX('Análisis'!$73:$73,MATCH(($N$138-2)&amp;"Q2",'Resultados'!$4:$4,0)))+N(INDEX('Análisis'!$73:$73,MATCH(($N$138-2)&amp;"Q3",'Resultados'!$4:$4,0)))+N(INDEX('Análisis'!$73:$73,MATCH(($N$138-2)&amp;"Q4",'Resultados'!$4:$4,0))),CHOOSE($N$134-1,(N(INDEX('Segmentos'!$98:$98,$Z$257))+N(INDEX('Segmentos'!$113:$113,$Z$257))),(N(INDEX('Segmentos'!$99:$99,$Z$257))+N(INDEX('Segmentos'!$114:$114,$Z$257))))),0)</f>
        <v/>
      </c>
      <c r="O257" s="16"/>
      <c r="P257" s="16"/>
      <c r="Q257" s="16"/>
      <c r="R257" s="16"/>
      <c r="S257" s="16"/>
      <c r="T257" s="16">
        <f>IFERROR(IF($N$134=1,(-N(INDEX('Flujo de efectivo'!$34:$34,$Z$257))),CHOOSE($N$134-1,N(INDEX('Segmentos'!$106:$106,$Z$257)),N(INDEX('Segmentos'!$107:$107,$Z$257)))),0)</f>
        <v/>
      </c>
      <c r="U257" s="16"/>
      <c r="V257" s="16"/>
      <c r="W257" s="16"/>
      <c r="X257" s="16"/>
      <c r="Y257" s="16"/>
      <c r="Z257" s="14">
        <f>IFERROR(MATCH($B$257,'Resultados'!$4:$4,0),1)</f>
        <v/>
      </c>
      <c r="AA257" s="14"/>
      <c r="AB257" s="14"/>
      <c r="AC257" s="14"/>
      <c r="AD257" s="14"/>
      <c r="AE257" s="14"/>
    </row>
    <row r="258" spans="2:31">
      <c r="B258" s="13">
        <f>"FY"&amp;RIGHT($N$138-1,2)</f>
        <v/>
      </c>
      <c r="C258" s="13"/>
      <c r="D258" s="13"/>
      <c r="E258" s="13"/>
      <c r="F258" s="13"/>
      <c r="G258" s="13"/>
      <c r="H258" s="13"/>
      <c r="I258" s="13"/>
      <c r="J258" s="13"/>
      <c r="K258" s="13"/>
      <c r="L258" s="13"/>
      <c r="M258" s="13"/>
      <c r="N258" s="16">
        <f>IFERROR(IF($N$134=1,N(INDEX('Análisis'!$73:$73,MATCH(($N$138-1)&amp;"Q1",'Resultados'!$4:$4,0)))+N(INDEX('Análisis'!$73:$73,MATCH(($N$138-1)&amp;"Q2",'Resultados'!$4:$4,0)))+N(INDEX('Análisis'!$73:$73,MATCH(($N$138-1)&amp;"Q3",'Resultados'!$4:$4,0)))+N(INDEX('Análisis'!$73:$73,MATCH(($N$138-1)&amp;"Q4",'Resultados'!$4:$4,0))),CHOOSE($N$134-1,(N(INDEX('Segmentos'!$98:$98,$Z$258))+N(INDEX('Segmentos'!$113:$113,$Z$258))),(N(INDEX('Segmentos'!$99:$99,$Z$258))+N(INDEX('Segmentos'!$114:$114,$Z$258))))),0)</f>
        <v/>
      </c>
      <c r="O258" s="16"/>
      <c r="P258" s="16"/>
      <c r="Q258" s="16"/>
      <c r="R258" s="16"/>
      <c r="S258" s="16"/>
      <c r="T258" s="16">
        <f>IFERROR(IF($N$134=1,(-N(INDEX('Flujo de efectivo'!$34:$34,$Z$258))),CHOOSE($N$134-1,N(INDEX('Segmentos'!$106:$106,$Z$258)),N(INDEX('Segmentos'!$107:$107,$Z$258)))),0)</f>
        <v/>
      </c>
      <c r="U258" s="16"/>
      <c r="V258" s="16"/>
      <c r="W258" s="16"/>
      <c r="X258" s="16"/>
      <c r="Y258" s="16"/>
      <c r="Z258" s="14">
        <f>IFERROR(MATCH($B$258,'Resultados'!$4:$4,0),1)</f>
        <v/>
      </c>
      <c r="AA258" s="14"/>
      <c r="AB258" s="14"/>
      <c r="AC258" s="14"/>
      <c r="AD258" s="14"/>
      <c r="AE258" s="14"/>
    </row>
    <row r="259" spans="2:31">
      <c r="B259" s="13">
        <f>"FY"&amp;RIGHT($N$138-0,2)</f>
        <v/>
      </c>
      <c r="C259" s="13"/>
      <c r="D259" s="13"/>
      <c r="E259" s="13"/>
      <c r="F259" s="13"/>
      <c r="G259" s="13"/>
      <c r="H259" s="13"/>
      <c r="I259" s="13"/>
      <c r="J259" s="13"/>
      <c r="K259" s="13"/>
      <c r="L259" s="13"/>
      <c r="M259" s="13"/>
      <c r="N259" s="16">
        <f>IFERROR(IF($N$134=1,N(INDEX('Análisis'!$73:$73,MATCH(($N$138-0)&amp;"Q1",'Resultados'!$4:$4,0)))+N(INDEX('Análisis'!$73:$73,MATCH(($N$138-0)&amp;"Q2",'Resultados'!$4:$4,0)))+N(INDEX('Análisis'!$73:$73,MATCH(($N$138-0)&amp;"Q3",'Resultados'!$4:$4,0)))+N(INDEX('Análisis'!$73:$73,MATCH(($N$138-0)&amp;"Q4",'Resultados'!$4:$4,0))),CHOOSE($N$134-1,(N(INDEX('Segmentos'!$98:$98,$Z$259))+N(INDEX('Segmentos'!$113:$113,$Z$259))),(N(INDEX('Segmentos'!$99:$99,$Z$259))+N(INDEX('Segmentos'!$114:$114,$Z$259))))),0)</f>
        <v/>
      </c>
      <c r="O259" s="16"/>
      <c r="P259" s="16"/>
      <c r="Q259" s="16"/>
      <c r="R259" s="16"/>
      <c r="S259" s="16"/>
      <c r="T259" s="16">
        <f>IFERROR(IF($N$134=1,(-N(INDEX('Flujo de efectivo'!$34:$34,$Z$259))),CHOOSE($N$134-1,N(INDEX('Segmentos'!$106:$106,$Z$259)),N(INDEX('Segmentos'!$107:$107,$Z$259)))),0)</f>
        <v/>
      </c>
      <c r="U259" s="16"/>
      <c r="V259" s="16"/>
      <c r="W259" s="16"/>
      <c r="X259" s="16"/>
      <c r="Y259" s="16"/>
      <c r="Z259" s="14">
        <f>IFERROR(MATCH($B$259,'Resultados'!$4:$4,0),1)</f>
        <v/>
      </c>
      <c r="AA259" s="14"/>
      <c r="AB259" s="14"/>
      <c r="AC259" s="14"/>
      <c r="AD259" s="14"/>
      <c r="AE259" s="14"/>
    </row>
    <row r="261" spans="2:31">
      <c r="B261" s="11" t="s">
        <v>1262</v>
      </c>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row>
    <row r="262" spans="2:31">
      <c r="B262" s="12"/>
      <c r="C262" s="12"/>
      <c r="D262" s="12"/>
      <c r="E262" s="12"/>
      <c r="F262" s="12"/>
      <c r="G262" s="12"/>
      <c r="H262" s="12"/>
      <c r="I262" s="12"/>
      <c r="J262" s="12"/>
      <c r="K262" s="12"/>
      <c r="L262" s="12"/>
      <c r="M262" s="12"/>
      <c r="N262" s="12">
        <f>$AU$4</f>
        <v/>
      </c>
      <c r="O262" s="12"/>
      <c r="P262" s="12"/>
      <c r="Q262" s="12"/>
      <c r="R262" s="12"/>
      <c r="S262" s="12"/>
      <c r="T262" s="12">
        <f>$N$131</f>
        <v/>
      </c>
      <c r="U262" s="12"/>
      <c r="V262" s="12"/>
      <c r="W262" s="12"/>
      <c r="X262" s="12"/>
      <c r="Y262" s="12"/>
      <c r="Z262" s="12" t="s">
        <v>1230</v>
      </c>
      <c r="AA262" s="12"/>
      <c r="AB262" s="12"/>
      <c r="AC262" s="12"/>
      <c r="AD262" s="12"/>
      <c r="AE262" s="12"/>
    </row>
    <row r="263" spans="2:31">
      <c r="B263" s="13" t="s">
        <v>1263</v>
      </c>
      <c r="C263" s="13"/>
      <c r="D263" s="13"/>
      <c r="E263" s="13"/>
      <c r="F263" s="13"/>
      <c r="G263" s="13"/>
      <c r="H263" s="13"/>
      <c r="I263" s="13"/>
      <c r="J263" s="13"/>
      <c r="K263" s="13"/>
      <c r="L263" s="13"/>
      <c r="M263" s="13"/>
      <c r="N263" s="24">
        <f>IFERROR(IF(ISNUMBER(INDEX('Operativo'!$6:$6,$N$129)),INDEX('Operativo'!$6:$6,$N$129),""),"")</f>
        <v/>
      </c>
      <c r="O263" s="24"/>
      <c r="P263" s="24"/>
      <c r="Q263" s="24"/>
      <c r="R263" s="24"/>
      <c r="S263" s="24"/>
      <c r="T263" s="24">
        <f>IFERROR(IF(ISNUMBER(INDEX('Operativo'!$6:$6,$N$129-$N$130)),INDEX('Operativo'!$6:$6,$N$129-$N$130),""),"")</f>
        <v/>
      </c>
      <c r="U263" s="24"/>
      <c r="V263" s="24"/>
      <c r="W263" s="24"/>
      <c r="X263" s="24"/>
      <c r="Y263" s="24"/>
      <c r="Z263" s="19">
        <f>IF(OR($N$263="",$T$263=""),"",IFERROR(IF(N($T$263)=0,"",($N$263-$T$263)/ABS($T$263)),""))</f>
        <v/>
      </c>
      <c r="AA263" s="19"/>
      <c r="AB263" s="19"/>
      <c r="AC263" s="19"/>
      <c r="AD263" s="19"/>
      <c r="AE263" s="19"/>
    </row>
    <row r="264" spans="2:31">
      <c r="B264" s="13" t="s">
        <v>1264</v>
      </c>
      <c r="C264" s="13"/>
      <c r="D264" s="13"/>
      <c r="E264" s="13"/>
      <c r="F264" s="13"/>
      <c r="G264" s="13"/>
      <c r="H264" s="13"/>
      <c r="I264" s="13"/>
      <c r="J264" s="13"/>
      <c r="K264" s="13"/>
      <c r="L264" s="13"/>
      <c r="M264" s="13"/>
      <c r="N264" s="24">
        <f>IFERROR(IF(ISNUMBER(INDEX('Operativo'!$8:$8,$N$129)),INDEX('Operativo'!$8:$8,$N$129),""),"")</f>
        <v/>
      </c>
      <c r="O264" s="24"/>
      <c r="P264" s="24"/>
      <c r="Q264" s="24"/>
      <c r="R264" s="24"/>
      <c r="S264" s="24"/>
      <c r="T264" s="24">
        <f>IFERROR(IF(ISNUMBER(INDEX('Operativo'!$8:$8,$N$129-$N$130)),INDEX('Operativo'!$8:$8,$N$129-$N$130),""),"")</f>
        <v/>
      </c>
      <c r="U264" s="24"/>
      <c r="V264" s="24"/>
      <c r="W264" s="24"/>
      <c r="X264" s="24"/>
      <c r="Y264" s="24"/>
      <c r="Z264" s="19">
        <f>IF(OR($N$264="",$T$264=""),"",IFERROR(IF(N($T$264)=0,"",($N$264-$T$264)/ABS($T$264)),""))</f>
        <v/>
      </c>
      <c r="AA264" s="19"/>
      <c r="AB264" s="19"/>
      <c r="AC264" s="19"/>
      <c r="AD264" s="19"/>
      <c r="AE264" s="19"/>
    </row>
    <row r="265" spans="2:31">
      <c r="B265" s="13" t="s">
        <v>1265</v>
      </c>
      <c r="C265" s="13"/>
      <c r="D265" s="13"/>
      <c r="E265" s="13"/>
      <c r="F265" s="13"/>
      <c r="G265" s="13"/>
      <c r="H265" s="13"/>
      <c r="I265" s="13"/>
      <c r="J265" s="13"/>
      <c r="K265" s="13"/>
      <c r="L265" s="13"/>
      <c r="M265" s="13"/>
      <c r="N265" s="24">
        <f>IFERROR(IF(ISNUMBER(INDEX('Operativo'!$11:$11,$N$129)),INDEX('Operativo'!$11:$11,$N$129),""),"")</f>
        <v/>
      </c>
      <c r="O265" s="24"/>
      <c r="P265" s="24"/>
      <c r="Q265" s="24"/>
      <c r="R265" s="24"/>
      <c r="S265" s="24"/>
      <c r="T265" s="24">
        <f>IFERROR(IF(ISNUMBER(INDEX('Operativo'!$11:$11,$N$129-$N$130)),INDEX('Operativo'!$11:$11,$N$129-$N$130),""),"")</f>
        <v/>
      </c>
      <c r="U265" s="24"/>
      <c r="V265" s="24"/>
      <c r="W265" s="24"/>
      <c r="X265" s="24"/>
      <c r="Y265" s="24"/>
      <c r="Z265" s="19">
        <f>IF(OR($N$265="",$T$265=""),"",IFERROR(IF(N($T$265)=0,"",($N$265-$T$265)/ABS($T$265)),""))</f>
        <v/>
      </c>
      <c r="AA265" s="19"/>
      <c r="AB265" s="19"/>
      <c r="AC265" s="19"/>
      <c r="AD265" s="19"/>
      <c r="AE265" s="19"/>
    </row>
    <row r="266" spans="2:31">
      <c r="B266" s="13" t="s">
        <v>1266</v>
      </c>
      <c r="C266" s="13"/>
      <c r="D266" s="13"/>
      <c r="E266" s="13"/>
      <c r="F266" s="13"/>
      <c r="G266" s="13"/>
      <c r="H266" s="13"/>
      <c r="I266" s="13"/>
      <c r="J266" s="13"/>
      <c r="K266" s="13"/>
      <c r="L266" s="13"/>
      <c r="M266" s="13"/>
      <c r="N266" s="24">
        <f>IFERROR(IF(ISNUMBER(INDEX('Operativo'!$13:$13,$N$129)),INDEX('Operativo'!$13:$13,$N$129),""),"")</f>
        <v/>
      </c>
      <c r="O266" s="24"/>
      <c r="P266" s="24"/>
      <c r="Q266" s="24"/>
      <c r="R266" s="24"/>
      <c r="S266" s="24"/>
      <c r="T266" s="24">
        <f>IFERROR(IF(ISNUMBER(INDEX('Operativo'!$13:$13,$N$129-$N$130)),INDEX('Operativo'!$13:$13,$N$129-$N$130),""),"")</f>
        <v/>
      </c>
      <c r="U266" s="24"/>
      <c r="V266" s="24"/>
      <c r="W266" s="24"/>
      <c r="X266" s="24"/>
      <c r="Y266" s="24"/>
      <c r="Z266" s="19">
        <f>IF(OR($N$266="",$T$266=""),"",IFERROR(IF(N($T$266)=0,"",($N$266-$T$266)/ABS($T$266)),""))</f>
        <v/>
      </c>
      <c r="AA266" s="19"/>
      <c r="AB266" s="19"/>
      <c r="AC266" s="19"/>
      <c r="AD266" s="19"/>
      <c r="AE266" s="19"/>
    </row>
    <row r="268" spans="2:31">
      <c r="B268" s="11" t="s">
        <v>1267</v>
      </c>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row>
    <row r="269" spans="2:31">
      <c r="B269" s="12"/>
      <c r="C269" s="12"/>
      <c r="D269" s="12"/>
      <c r="E269" s="12"/>
      <c r="F269" s="12"/>
      <c r="G269" s="12"/>
      <c r="H269" s="12"/>
      <c r="I269" s="12"/>
      <c r="J269" s="12"/>
      <c r="K269" s="12"/>
      <c r="L269" s="12"/>
      <c r="M269" s="12"/>
      <c r="N269" s="12" t="s">
        <v>1263</v>
      </c>
      <c r="O269" s="12"/>
      <c r="P269" s="12"/>
      <c r="Q269" s="12"/>
      <c r="R269" s="12"/>
      <c r="S269" s="12"/>
      <c r="T269" s="12" t="s">
        <v>1264</v>
      </c>
      <c r="U269" s="12"/>
      <c r="V269" s="12"/>
      <c r="W269" s="12"/>
      <c r="X269" s="12"/>
      <c r="Y269" s="12"/>
      <c r="Z269" s="12" t="s">
        <v>1265</v>
      </c>
      <c r="AA269" s="12"/>
      <c r="AB269" s="12"/>
      <c r="AC269" s="12"/>
      <c r="AD269" s="12"/>
      <c r="AE269" s="12"/>
    </row>
    <row r="270" spans="2:31">
      <c r="B270" s="13">
        <f>INDEX($B$98:$B$123,$N$127-11)</f>
        <v/>
      </c>
      <c r="C270" s="13"/>
      <c r="D270" s="13"/>
      <c r="E270" s="13"/>
      <c r="F270" s="13"/>
      <c r="G270" s="13"/>
      <c r="H270" s="13"/>
      <c r="I270" s="13"/>
      <c r="J270" s="13"/>
      <c r="K270" s="13"/>
      <c r="L270" s="13"/>
      <c r="M270" s="13"/>
      <c r="N270" s="24">
        <f>IFERROR(IF(ISNUMBER(INDEX('Operativo'!$6:$6,$N$129-11)),INDEX('Operativo'!$6:$6,$N$129-11),NA()),NA())</f>
        <v/>
      </c>
      <c r="O270" s="24"/>
      <c r="P270" s="24"/>
      <c r="Q270" s="24"/>
      <c r="R270" s="24"/>
      <c r="S270" s="24"/>
      <c r="T270" s="24">
        <f>IFERROR(IF(ISNUMBER(INDEX('Operativo'!$8:$8,$N$129-11)),INDEX('Operativo'!$8:$8,$N$129-11),NA()),NA())</f>
        <v/>
      </c>
      <c r="U270" s="24"/>
      <c r="V270" s="24"/>
      <c r="W270" s="24"/>
      <c r="X270" s="24"/>
      <c r="Y270" s="24"/>
      <c r="Z270" s="24">
        <f>IFERROR(IF(ISNUMBER(INDEX('Operativo'!$11:$11,$N$129-11)),INDEX('Operativo'!$11:$11,$N$129-11),NA()),NA())</f>
        <v/>
      </c>
      <c r="AA270" s="24"/>
      <c r="AB270" s="24"/>
      <c r="AC270" s="24"/>
      <c r="AD270" s="24"/>
      <c r="AE270" s="24"/>
    </row>
    <row r="271" spans="2:31">
      <c r="B271" s="13">
        <f>INDEX($B$98:$B$123,$N$127-10)</f>
        <v/>
      </c>
      <c r="C271" s="13"/>
      <c r="D271" s="13"/>
      <c r="E271" s="13"/>
      <c r="F271" s="13"/>
      <c r="G271" s="13"/>
      <c r="H271" s="13"/>
      <c r="I271" s="13"/>
      <c r="J271" s="13"/>
      <c r="K271" s="13"/>
      <c r="L271" s="13"/>
      <c r="M271" s="13"/>
      <c r="N271" s="24">
        <f>IFERROR(IF(ISNUMBER(INDEX('Operativo'!$6:$6,$N$129-10)),INDEX('Operativo'!$6:$6,$N$129-10),NA()),NA())</f>
        <v/>
      </c>
      <c r="O271" s="24"/>
      <c r="P271" s="24"/>
      <c r="Q271" s="24"/>
      <c r="R271" s="24"/>
      <c r="S271" s="24"/>
      <c r="T271" s="24">
        <f>IFERROR(IF(ISNUMBER(INDEX('Operativo'!$8:$8,$N$129-10)),INDEX('Operativo'!$8:$8,$N$129-10),NA()),NA())</f>
        <v/>
      </c>
      <c r="U271" s="24"/>
      <c r="V271" s="24"/>
      <c r="W271" s="24"/>
      <c r="X271" s="24"/>
      <c r="Y271" s="24"/>
      <c r="Z271" s="24">
        <f>IFERROR(IF(ISNUMBER(INDEX('Operativo'!$11:$11,$N$129-10)),INDEX('Operativo'!$11:$11,$N$129-10),NA()),NA())</f>
        <v/>
      </c>
      <c r="AA271" s="24"/>
      <c r="AB271" s="24"/>
      <c r="AC271" s="24"/>
      <c r="AD271" s="24"/>
      <c r="AE271" s="24"/>
    </row>
    <row r="272" spans="2:31">
      <c r="B272" s="13">
        <f>INDEX($B$98:$B$123,$N$127-9)</f>
        <v/>
      </c>
      <c r="C272" s="13"/>
      <c r="D272" s="13"/>
      <c r="E272" s="13"/>
      <c r="F272" s="13"/>
      <c r="G272" s="13"/>
      <c r="H272" s="13"/>
      <c r="I272" s="13"/>
      <c r="J272" s="13"/>
      <c r="K272" s="13"/>
      <c r="L272" s="13"/>
      <c r="M272" s="13"/>
      <c r="N272" s="24">
        <f>IFERROR(IF(ISNUMBER(INDEX('Operativo'!$6:$6,$N$129-9)),INDEX('Operativo'!$6:$6,$N$129-9),NA()),NA())</f>
        <v/>
      </c>
      <c r="O272" s="24"/>
      <c r="P272" s="24"/>
      <c r="Q272" s="24"/>
      <c r="R272" s="24"/>
      <c r="S272" s="24"/>
      <c r="T272" s="24">
        <f>IFERROR(IF(ISNUMBER(INDEX('Operativo'!$8:$8,$N$129-9)),INDEX('Operativo'!$8:$8,$N$129-9),NA()),NA())</f>
        <v/>
      </c>
      <c r="U272" s="24"/>
      <c r="V272" s="24"/>
      <c r="W272" s="24"/>
      <c r="X272" s="24"/>
      <c r="Y272" s="24"/>
      <c r="Z272" s="24">
        <f>IFERROR(IF(ISNUMBER(INDEX('Operativo'!$11:$11,$N$129-9)),INDEX('Operativo'!$11:$11,$N$129-9),NA()),NA())</f>
        <v/>
      </c>
      <c r="AA272" s="24"/>
      <c r="AB272" s="24"/>
      <c r="AC272" s="24"/>
      <c r="AD272" s="24"/>
      <c r="AE272" s="24"/>
    </row>
    <row r="273" spans="2:103">
      <c r="B273" s="13">
        <f>INDEX($B$98:$B$123,$N$127-8)</f>
        <v/>
      </c>
      <c r="C273" s="13"/>
      <c r="D273" s="13"/>
      <c r="E273" s="13"/>
      <c r="F273" s="13"/>
      <c r="G273" s="13"/>
      <c r="H273" s="13"/>
      <c r="I273" s="13"/>
      <c r="J273" s="13"/>
      <c r="K273" s="13"/>
      <c r="L273" s="13"/>
      <c r="M273" s="13"/>
      <c r="N273" s="24">
        <f>IFERROR(IF(ISNUMBER(INDEX('Operativo'!$6:$6,$N$129-8)),INDEX('Operativo'!$6:$6,$N$129-8),NA()),NA())</f>
        <v/>
      </c>
      <c r="O273" s="24"/>
      <c r="P273" s="24"/>
      <c r="Q273" s="24"/>
      <c r="R273" s="24"/>
      <c r="S273" s="24"/>
      <c r="T273" s="24">
        <f>IFERROR(IF(ISNUMBER(INDEX('Operativo'!$8:$8,$N$129-8)),INDEX('Operativo'!$8:$8,$N$129-8),NA()),NA())</f>
        <v/>
      </c>
      <c r="U273" s="24"/>
      <c r="V273" s="24"/>
      <c r="W273" s="24"/>
      <c r="X273" s="24"/>
      <c r="Y273" s="24"/>
      <c r="Z273" s="24">
        <f>IFERROR(IF(ISNUMBER(INDEX('Operativo'!$11:$11,$N$129-8)),INDEX('Operativo'!$11:$11,$N$129-8),NA()),NA())</f>
        <v/>
      </c>
      <c r="AA273" s="24"/>
      <c r="AB273" s="24"/>
      <c r="AC273" s="24"/>
      <c r="AD273" s="24"/>
      <c r="AE273" s="24"/>
    </row>
    <row r="274" spans="2:103">
      <c r="B274" s="13">
        <f>INDEX($B$98:$B$123,$N$127-7)</f>
        <v/>
      </c>
      <c r="C274" s="13"/>
      <c r="D274" s="13"/>
      <c r="E274" s="13"/>
      <c r="F274" s="13"/>
      <c r="G274" s="13"/>
      <c r="H274" s="13"/>
      <c r="I274" s="13"/>
      <c r="J274" s="13"/>
      <c r="K274" s="13"/>
      <c r="L274" s="13"/>
      <c r="M274" s="13"/>
      <c r="N274" s="24">
        <f>IFERROR(IF(ISNUMBER(INDEX('Operativo'!$6:$6,$N$129-7)),INDEX('Operativo'!$6:$6,$N$129-7),NA()),NA())</f>
        <v/>
      </c>
      <c r="O274" s="24"/>
      <c r="P274" s="24"/>
      <c r="Q274" s="24"/>
      <c r="R274" s="24"/>
      <c r="S274" s="24"/>
      <c r="T274" s="24">
        <f>IFERROR(IF(ISNUMBER(INDEX('Operativo'!$8:$8,$N$129-7)),INDEX('Operativo'!$8:$8,$N$129-7),NA()),NA())</f>
        <v/>
      </c>
      <c r="U274" s="24"/>
      <c r="V274" s="24"/>
      <c r="W274" s="24"/>
      <c r="X274" s="24"/>
      <c r="Y274" s="24"/>
      <c r="Z274" s="24">
        <f>IFERROR(IF(ISNUMBER(INDEX('Operativo'!$11:$11,$N$129-7)),INDEX('Operativo'!$11:$11,$N$129-7),NA()),NA())</f>
        <v/>
      </c>
      <c r="AA274" s="24"/>
      <c r="AB274" s="24"/>
      <c r="AC274" s="24"/>
      <c r="AD274" s="24"/>
      <c r="AE274" s="24"/>
    </row>
    <row r="275" spans="2:103">
      <c r="B275" s="13">
        <f>INDEX($B$98:$B$123,$N$127-6)</f>
        <v/>
      </c>
      <c r="C275" s="13"/>
      <c r="D275" s="13"/>
      <c r="E275" s="13"/>
      <c r="F275" s="13"/>
      <c r="G275" s="13"/>
      <c r="H275" s="13"/>
      <c r="I275" s="13"/>
      <c r="J275" s="13"/>
      <c r="K275" s="13"/>
      <c r="L275" s="13"/>
      <c r="M275" s="13"/>
      <c r="N275" s="24">
        <f>IFERROR(IF(ISNUMBER(INDEX('Operativo'!$6:$6,$N$129-6)),INDEX('Operativo'!$6:$6,$N$129-6),NA()),NA())</f>
        <v/>
      </c>
      <c r="O275" s="24"/>
      <c r="P275" s="24"/>
      <c r="Q275" s="24"/>
      <c r="R275" s="24"/>
      <c r="S275" s="24"/>
      <c r="T275" s="24">
        <f>IFERROR(IF(ISNUMBER(INDEX('Operativo'!$8:$8,$N$129-6)),INDEX('Operativo'!$8:$8,$N$129-6),NA()),NA())</f>
        <v/>
      </c>
      <c r="U275" s="24"/>
      <c r="V275" s="24"/>
      <c r="W275" s="24"/>
      <c r="X275" s="24"/>
      <c r="Y275" s="24"/>
      <c r="Z275" s="24">
        <f>IFERROR(IF(ISNUMBER(INDEX('Operativo'!$11:$11,$N$129-6)),INDEX('Operativo'!$11:$11,$N$129-6),NA()),NA())</f>
        <v/>
      </c>
      <c r="AA275" s="24"/>
      <c r="AB275" s="24"/>
      <c r="AC275" s="24"/>
      <c r="AD275" s="24"/>
      <c r="AE275" s="24"/>
    </row>
    <row r="276" spans="2:103">
      <c r="B276" s="13">
        <f>INDEX($B$98:$B$123,$N$127-5)</f>
        <v/>
      </c>
      <c r="C276" s="13"/>
      <c r="D276" s="13"/>
      <c r="E276" s="13"/>
      <c r="F276" s="13"/>
      <c r="G276" s="13"/>
      <c r="H276" s="13"/>
      <c r="I276" s="13"/>
      <c r="J276" s="13"/>
      <c r="K276" s="13"/>
      <c r="L276" s="13"/>
      <c r="M276" s="13"/>
      <c r="N276" s="24">
        <f>IFERROR(IF(ISNUMBER(INDEX('Operativo'!$6:$6,$N$129-5)),INDEX('Operativo'!$6:$6,$N$129-5),NA()),NA())</f>
        <v/>
      </c>
      <c r="O276" s="24"/>
      <c r="P276" s="24"/>
      <c r="Q276" s="24"/>
      <c r="R276" s="24"/>
      <c r="S276" s="24"/>
      <c r="T276" s="24">
        <f>IFERROR(IF(ISNUMBER(INDEX('Operativo'!$8:$8,$N$129-5)),INDEX('Operativo'!$8:$8,$N$129-5),NA()),NA())</f>
        <v/>
      </c>
      <c r="U276" s="24"/>
      <c r="V276" s="24"/>
      <c r="W276" s="24"/>
      <c r="X276" s="24"/>
      <c r="Y276" s="24"/>
      <c r="Z276" s="24">
        <f>IFERROR(IF(ISNUMBER(INDEX('Operativo'!$11:$11,$N$129-5)),INDEX('Operativo'!$11:$11,$N$129-5),NA()),NA())</f>
        <v/>
      </c>
      <c r="AA276" s="24"/>
      <c r="AB276" s="24"/>
      <c r="AC276" s="24"/>
      <c r="AD276" s="24"/>
      <c r="AE276" s="24"/>
    </row>
    <row r="277" spans="2:103">
      <c r="B277" s="13">
        <f>INDEX($B$98:$B$123,$N$127-4)</f>
        <v/>
      </c>
      <c r="C277" s="13"/>
      <c r="D277" s="13"/>
      <c r="E277" s="13"/>
      <c r="F277" s="13"/>
      <c r="G277" s="13"/>
      <c r="H277" s="13"/>
      <c r="I277" s="13"/>
      <c r="J277" s="13"/>
      <c r="K277" s="13"/>
      <c r="L277" s="13"/>
      <c r="M277" s="13"/>
      <c r="N277" s="24">
        <f>IFERROR(IF(ISNUMBER(INDEX('Operativo'!$6:$6,$N$129-4)),INDEX('Operativo'!$6:$6,$N$129-4),NA()),NA())</f>
        <v/>
      </c>
      <c r="O277" s="24"/>
      <c r="P277" s="24"/>
      <c r="Q277" s="24"/>
      <c r="R277" s="24"/>
      <c r="S277" s="24"/>
      <c r="T277" s="24">
        <f>IFERROR(IF(ISNUMBER(INDEX('Operativo'!$8:$8,$N$129-4)),INDEX('Operativo'!$8:$8,$N$129-4),NA()),NA())</f>
        <v/>
      </c>
      <c r="U277" s="24"/>
      <c r="V277" s="24"/>
      <c r="W277" s="24"/>
      <c r="X277" s="24"/>
      <c r="Y277" s="24"/>
      <c r="Z277" s="24">
        <f>IFERROR(IF(ISNUMBER(INDEX('Operativo'!$11:$11,$N$129-4)),INDEX('Operativo'!$11:$11,$N$129-4),NA()),NA())</f>
        <v/>
      </c>
      <c r="AA277" s="24"/>
      <c r="AB277" s="24"/>
      <c r="AC277" s="24"/>
      <c r="AD277" s="24"/>
      <c r="AE277" s="24"/>
    </row>
    <row r="278" spans="2:103">
      <c r="B278" s="13">
        <f>INDEX($B$98:$B$123,$N$127-3)</f>
        <v/>
      </c>
      <c r="C278" s="13"/>
      <c r="D278" s="13"/>
      <c r="E278" s="13"/>
      <c r="F278" s="13"/>
      <c r="G278" s="13"/>
      <c r="H278" s="13"/>
      <c r="I278" s="13"/>
      <c r="J278" s="13"/>
      <c r="K278" s="13"/>
      <c r="L278" s="13"/>
      <c r="M278" s="13"/>
      <c r="N278" s="24">
        <f>IFERROR(IF(ISNUMBER(INDEX('Operativo'!$6:$6,$N$129-3)),INDEX('Operativo'!$6:$6,$N$129-3),NA()),NA())</f>
        <v/>
      </c>
      <c r="O278" s="24"/>
      <c r="P278" s="24"/>
      <c r="Q278" s="24"/>
      <c r="R278" s="24"/>
      <c r="S278" s="24"/>
      <c r="T278" s="24">
        <f>IFERROR(IF(ISNUMBER(INDEX('Operativo'!$8:$8,$N$129-3)),INDEX('Operativo'!$8:$8,$N$129-3),NA()),NA())</f>
        <v/>
      </c>
      <c r="U278" s="24"/>
      <c r="V278" s="24"/>
      <c r="W278" s="24"/>
      <c r="X278" s="24"/>
      <c r="Y278" s="24"/>
      <c r="Z278" s="24">
        <f>IFERROR(IF(ISNUMBER(INDEX('Operativo'!$11:$11,$N$129-3)),INDEX('Operativo'!$11:$11,$N$129-3),NA()),NA())</f>
        <v/>
      </c>
      <c r="AA278" s="24"/>
      <c r="AB278" s="24"/>
      <c r="AC278" s="24"/>
      <c r="AD278" s="24"/>
      <c r="AE278" s="24"/>
    </row>
    <row r="279" spans="2:103">
      <c r="B279" s="13">
        <f>INDEX($B$98:$B$123,$N$127-2)</f>
        <v/>
      </c>
      <c r="C279" s="13"/>
      <c r="D279" s="13"/>
      <c r="E279" s="13"/>
      <c r="F279" s="13"/>
      <c r="G279" s="13"/>
      <c r="H279" s="13"/>
      <c r="I279" s="13"/>
      <c r="J279" s="13"/>
      <c r="K279" s="13"/>
      <c r="L279" s="13"/>
      <c r="M279" s="13"/>
      <c r="N279" s="24">
        <f>IFERROR(IF(ISNUMBER(INDEX('Operativo'!$6:$6,$N$129-2)),INDEX('Operativo'!$6:$6,$N$129-2),NA()),NA())</f>
        <v/>
      </c>
      <c r="O279" s="24"/>
      <c r="P279" s="24"/>
      <c r="Q279" s="24"/>
      <c r="R279" s="24"/>
      <c r="S279" s="24"/>
      <c r="T279" s="24">
        <f>IFERROR(IF(ISNUMBER(INDEX('Operativo'!$8:$8,$N$129-2)),INDEX('Operativo'!$8:$8,$N$129-2),NA()),NA())</f>
        <v/>
      </c>
      <c r="U279" s="24"/>
      <c r="V279" s="24"/>
      <c r="W279" s="24"/>
      <c r="X279" s="24"/>
      <c r="Y279" s="24"/>
      <c r="Z279" s="24">
        <f>IFERROR(IF(ISNUMBER(INDEX('Operativo'!$11:$11,$N$129-2)),INDEX('Operativo'!$11:$11,$N$129-2),NA()),NA())</f>
        <v/>
      </c>
      <c r="AA279" s="24"/>
      <c r="AB279" s="24"/>
      <c r="AC279" s="24"/>
      <c r="AD279" s="24"/>
      <c r="AE279" s="24"/>
    </row>
    <row r="280" spans="2:103">
      <c r="B280" s="13">
        <f>INDEX($B$98:$B$123,$N$127-1)</f>
        <v/>
      </c>
      <c r="C280" s="13"/>
      <c r="D280" s="13"/>
      <c r="E280" s="13"/>
      <c r="F280" s="13"/>
      <c r="G280" s="13"/>
      <c r="H280" s="13"/>
      <c r="I280" s="13"/>
      <c r="J280" s="13"/>
      <c r="K280" s="13"/>
      <c r="L280" s="13"/>
      <c r="M280" s="13"/>
      <c r="N280" s="24">
        <f>IFERROR(IF(ISNUMBER(INDEX('Operativo'!$6:$6,$N$129-1)),INDEX('Operativo'!$6:$6,$N$129-1),NA()),NA())</f>
        <v/>
      </c>
      <c r="O280" s="24"/>
      <c r="P280" s="24"/>
      <c r="Q280" s="24"/>
      <c r="R280" s="24"/>
      <c r="S280" s="24"/>
      <c r="T280" s="24">
        <f>IFERROR(IF(ISNUMBER(INDEX('Operativo'!$8:$8,$N$129-1)),INDEX('Operativo'!$8:$8,$N$129-1),NA()),NA())</f>
        <v/>
      </c>
      <c r="U280" s="24"/>
      <c r="V280" s="24"/>
      <c r="W280" s="24"/>
      <c r="X280" s="24"/>
      <c r="Y280" s="24"/>
      <c r="Z280" s="24">
        <f>IFERROR(IF(ISNUMBER(INDEX('Operativo'!$11:$11,$N$129-1)),INDEX('Operativo'!$11:$11,$N$129-1),NA()),NA())</f>
        <v/>
      </c>
      <c r="AA280" s="24"/>
      <c r="AB280" s="24"/>
      <c r="AC280" s="24"/>
      <c r="AD280" s="24"/>
      <c r="AE280" s="24"/>
    </row>
    <row r="281" spans="2:103">
      <c r="B281" s="13">
        <f>INDEX($B$98:$B$123,$N$127-0)</f>
        <v/>
      </c>
      <c r="C281" s="13"/>
      <c r="D281" s="13"/>
      <c r="E281" s="13"/>
      <c r="F281" s="13"/>
      <c r="G281" s="13"/>
      <c r="H281" s="13"/>
      <c r="I281" s="13"/>
      <c r="J281" s="13"/>
      <c r="K281" s="13"/>
      <c r="L281" s="13"/>
      <c r="M281" s="13"/>
      <c r="N281" s="24">
        <f>IFERROR(IF(ISNUMBER(INDEX('Operativo'!$6:$6,$N$129)),INDEX('Operativo'!$6:$6,$N$129),NA()),NA())</f>
        <v/>
      </c>
      <c r="O281" s="24"/>
      <c r="P281" s="24"/>
      <c r="Q281" s="24"/>
      <c r="R281" s="24"/>
      <c r="S281" s="24"/>
      <c r="T281" s="24">
        <f>IFERROR(IF(ISNUMBER(INDEX('Operativo'!$8:$8,$N$129)),INDEX('Operativo'!$8:$8,$N$129),NA()),NA())</f>
        <v/>
      </c>
      <c r="U281" s="24"/>
      <c r="V281" s="24"/>
      <c r="W281" s="24"/>
      <c r="X281" s="24"/>
      <c r="Y281" s="24"/>
      <c r="Z281" s="24">
        <f>IFERROR(IF(ISNUMBER(INDEX('Operativo'!$11:$11,$N$129)),INDEX('Operativo'!$11:$11,$N$129),NA()),NA())</f>
        <v/>
      </c>
      <c r="AA281" s="24"/>
      <c r="AB281" s="24"/>
      <c r="AC281" s="24"/>
      <c r="AD281" s="24"/>
      <c r="AE281" s="24"/>
    </row>
    <row r="283" spans="2:103">
      <c r="B283" s="11" t="s">
        <v>1268</v>
      </c>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U283" s="11"/>
      <c r="BV283" s="11"/>
      <c r="BW283" s="11"/>
      <c r="BX283" s="11"/>
      <c r="BY283" s="11"/>
      <c r="BZ283" s="11"/>
      <c r="CA283" s="11"/>
      <c r="CB283" s="11"/>
      <c r="CC283" s="11"/>
      <c r="CD283" s="11"/>
      <c r="CE283" s="11"/>
      <c r="CF283" s="11"/>
      <c r="CG283" s="11"/>
      <c r="CH283" s="11"/>
      <c r="CI283" s="11"/>
      <c r="CJ283" s="11"/>
      <c r="CK283" s="11"/>
      <c r="CL283" s="11"/>
      <c r="CM283" s="11"/>
      <c r="CN283" s="11"/>
      <c r="CO283" s="11"/>
      <c r="CP283" s="11"/>
      <c r="CQ283" s="11"/>
      <c r="CR283" s="11"/>
      <c r="CS283" s="11"/>
      <c r="CT283" s="11"/>
      <c r="CU283" s="11"/>
      <c r="CV283" s="11"/>
      <c r="CW283" s="11"/>
      <c r="CX283" s="11"/>
      <c r="CY283" s="11"/>
    </row>
    <row r="284" spans="2:103">
      <c r="B284" s="12"/>
      <c r="C284" s="12"/>
      <c r="D284" s="12"/>
      <c r="E284" s="12"/>
      <c r="F284" s="12"/>
      <c r="G284" s="12"/>
      <c r="H284" s="12"/>
      <c r="I284" s="12"/>
      <c r="J284" s="12"/>
      <c r="K284" s="12"/>
      <c r="L284" s="12"/>
      <c r="M284" s="12"/>
      <c r="N284" s="12" t="s">
        <v>1269</v>
      </c>
      <c r="O284" s="12"/>
      <c r="P284" s="12"/>
      <c r="Q284" s="12"/>
      <c r="R284" s="12"/>
      <c r="S284" s="12"/>
      <c r="T284" s="12" t="s">
        <v>1270</v>
      </c>
      <c r="U284" s="12"/>
      <c r="V284" s="12"/>
      <c r="W284" s="12"/>
      <c r="X284" s="12"/>
      <c r="Y284" s="12"/>
      <c r="Z284" s="12" t="s">
        <v>1271</v>
      </c>
      <c r="AA284" s="12"/>
      <c r="AB284" s="12"/>
      <c r="AC284" s="12"/>
      <c r="AD284" s="12"/>
      <c r="AE284" s="12"/>
      <c r="AF284" s="12" t="s">
        <v>1272</v>
      </c>
      <c r="AG284" s="12"/>
      <c r="AH284" s="12"/>
      <c r="AI284" s="12"/>
      <c r="AJ284" s="12"/>
      <c r="AK284" s="12"/>
      <c r="AL284" s="12" t="s">
        <v>1273</v>
      </c>
      <c r="AM284" s="12"/>
      <c r="AN284" s="12"/>
      <c r="AO284" s="12"/>
      <c r="AP284" s="12"/>
      <c r="AQ284" s="12"/>
      <c r="AR284" s="12" t="s">
        <v>1274</v>
      </c>
      <c r="AS284" s="12"/>
      <c r="AT284" s="12"/>
      <c r="AU284" s="12"/>
      <c r="AV284" s="12"/>
      <c r="AW284" s="12"/>
      <c r="AX284" s="12" t="s">
        <v>1275</v>
      </c>
      <c r="AY284" s="12"/>
      <c r="AZ284" s="12"/>
      <c r="BA284" s="12"/>
      <c r="BB284" s="12"/>
      <c r="BC284" s="12"/>
      <c r="BD284" s="12" t="s">
        <v>1276</v>
      </c>
      <c r="BE284" s="12"/>
      <c r="BF284" s="12"/>
      <c r="BG284" s="12"/>
      <c r="BH284" s="12"/>
      <c r="BI284" s="12"/>
      <c r="BJ284" s="12" t="s">
        <v>1277</v>
      </c>
      <c r="BK284" s="12"/>
      <c r="BL284" s="12"/>
      <c r="BM284" s="12"/>
      <c r="BN284" s="12"/>
      <c r="BO284" s="12"/>
      <c r="BP284" s="12" t="s">
        <v>1278</v>
      </c>
      <c r="BQ284" s="12"/>
      <c r="BR284" s="12"/>
      <c r="BS284" s="12"/>
      <c r="BT284" s="12"/>
      <c r="BU284" s="12"/>
      <c r="BV284" s="12" t="s">
        <v>1279</v>
      </c>
      <c r="BW284" s="12"/>
      <c r="BX284" s="12"/>
      <c r="BY284" s="12"/>
      <c r="BZ284" s="12"/>
      <c r="CA284" s="12"/>
      <c r="CB284" s="12" t="s">
        <v>1280</v>
      </c>
      <c r="CC284" s="12"/>
      <c r="CD284" s="12"/>
      <c r="CE284" s="12"/>
      <c r="CF284" s="12"/>
      <c r="CG284" s="12"/>
      <c r="CH284" s="12" t="s">
        <v>1281</v>
      </c>
      <c r="CI284" s="12"/>
      <c r="CJ284" s="12"/>
      <c r="CK284" s="12"/>
      <c r="CL284" s="12"/>
      <c r="CM284" s="12"/>
      <c r="CN284" s="12" t="s">
        <v>1282</v>
      </c>
      <c r="CO284" s="12"/>
      <c r="CP284" s="12"/>
      <c r="CQ284" s="12"/>
      <c r="CR284" s="12"/>
      <c r="CS284" s="12"/>
      <c r="CT284" s="12" t="s">
        <v>1283</v>
      </c>
      <c r="CU284" s="12"/>
      <c r="CV284" s="12"/>
      <c r="CW284" s="12"/>
      <c r="CX284" s="12"/>
      <c r="CY284" s="12"/>
    </row>
    <row r="285" spans="2:103">
      <c r="B285" s="13" t="s">
        <v>1284</v>
      </c>
      <c r="C285" s="13"/>
      <c r="D285" s="13"/>
      <c r="E285" s="13"/>
      <c r="F285" s="13"/>
      <c r="G285" s="13"/>
      <c r="H285" s="13"/>
      <c r="I285" s="13"/>
      <c r="J285" s="13"/>
      <c r="K285" s="13"/>
      <c r="L285" s="13"/>
      <c r="M285" s="13"/>
      <c r="N285" s="25">
        <v>50029</v>
      </c>
      <c r="O285" s="25"/>
      <c r="P285" s="25"/>
      <c r="Q285" s="25"/>
      <c r="R285" s="25"/>
      <c r="S285" s="25"/>
      <c r="T285" s="25">
        <v>12243</v>
      </c>
      <c r="U285" s="25"/>
      <c r="V285" s="25"/>
      <c r="W285" s="25"/>
      <c r="X285" s="25"/>
      <c r="Y285" s="25"/>
      <c r="Z285" s="25">
        <v>7104</v>
      </c>
      <c r="AA285" s="25"/>
      <c r="AB285" s="25"/>
      <c r="AC285" s="25"/>
      <c r="AD285" s="25"/>
      <c r="AE285" s="25"/>
      <c r="AF285" s="25">
        <v>0</v>
      </c>
      <c r="AG285" s="25"/>
      <c r="AH285" s="25"/>
      <c r="AI285" s="25"/>
      <c r="AJ285" s="25"/>
      <c r="AK285" s="25"/>
      <c r="AL285" s="25">
        <v>16873</v>
      </c>
      <c r="AM285" s="25"/>
      <c r="AN285" s="25"/>
      <c r="AO285" s="25"/>
      <c r="AP285" s="25"/>
      <c r="AQ285" s="25"/>
      <c r="AR285" s="25">
        <v>4483</v>
      </c>
      <c r="AS285" s="25"/>
      <c r="AT285" s="25"/>
      <c r="AU285" s="25"/>
      <c r="AV285" s="25"/>
      <c r="AW285" s="25"/>
      <c r="AX285" s="25">
        <v>24352</v>
      </c>
      <c r="AY285" s="25"/>
      <c r="AZ285" s="25"/>
      <c r="BA285" s="25"/>
      <c r="BB285" s="25"/>
      <c r="BC285" s="25"/>
      <c r="BD285" s="25">
        <v>0</v>
      </c>
      <c r="BE285" s="25"/>
      <c r="BF285" s="25"/>
      <c r="BG285" s="25"/>
      <c r="BH285" s="25"/>
      <c r="BI285" s="25"/>
      <c r="BJ285" s="25">
        <v>1</v>
      </c>
      <c r="BK285" s="25"/>
      <c r="BL285" s="25"/>
      <c r="BM285" s="25"/>
      <c r="BN285" s="25"/>
      <c r="BO285" s="25"/>
      <c r="BP285" s="25">
        <v>7523</v>
      </c>
      <c r="BQ285" s="25"/>
      <c r="BR285" s="25"/>
      <c r="BS285" s="25"/>
      <c r="BT285" s="25"/>
      <c r="BU285" s="25"/>
      <c r="BV285" s="25">
        <v>28043</v>
      </c>
      <c r="BW285" s="25"/>
      <c r="BX285" s="25"/>
      <c r="BY285" s="25"/>
      <c r="BZ285" s="25"/>
      <c r="CA285" s="25"/>
      <c r="CB285" s="25">
        <v>60</v>
      </c>
      <c r="CC285" s="25"/>
      <c r="CD285" s="25"/>
      <c r="CE285" s="25"/>
      <c r="CF285" s="25"/>
      <c r="CG285" s="25"/>
      <c r="CH285" s="25">
        <v>932</v>
      </c>
      <c r="CI285" s="25"/>
      <c r="CJ285" s="25"/>
      <c r="CK285" s="25"/>
      <c r="CL285" s="25"/>
      <c r="CM285" s="25"/>
      <c r="CN285" s="25">
        <v>190</v>
      </c>
      <c r="CO285" s="25"/>
      <c r="CP285" s="25"/>
      <c r="CQ285" s="25"/>
      <c r="CR285" s="25"/>
      <c r="CS285" s="25"/>
      <c r="CT285" s="25">
        <v>180639</v>
      </c>
      <c r="CU285" s="25"/>
      <c r="CV285" s="25"/>
      <c r="CW285" s="25"/>
      <c r="CX285" s="25"/>
      <c r="CY285" s="25"/>
    </row>
    <row r="286" spans="2:103">
      <c r="B286" s="13" t="s">
        <v>1285</v>
      </c>
      <c r="C286" s="13"/>
      <c r="D286" s="13"/>
      <c r="E286" s="13"/>
      <c r="F286" s="13"/>
      <c r="G286" s="13"/>
      <c r="H286" s="13"/>
      <c r="I286" s="13"/>
      <c r="J286" s="13"/>
      <c r="K286" s="13"/>
      <c r="L286" s="13"/>
      <c r="M286" s="13"/>
      <c r="N286" s="25">
        <v>49633</v>
      </c>
      <c r="O286" s="25"/>
      <c r="P286" s="25"/>
      <c r="Q286" s="25"/>
      <c r="R286" s="25"/>
      <c r="S286" s="25"/>
      <c r="T286" s="25">
        <v>14174</v>
      </c>
      <c r="U286" s="25"/>
      <c r="V286" s="25"/>
      <c r="W286" s="25"/>
      <c r="X286" s="25"/>
      <c r="Y286" s="25"/>
      <c r="Z286" s="25">
        <v>5768</v>
      </c>
      <c r="AA286" s="25"/>
      <c r="AB286" s="25"/>
      <c r="AC286" s="25"/>
      <c r="AD286" s="25"/>
      <c r="AE286" s="25"/>
      <c r="AF286" s="25">
        <v>0</v>
      </c>
      <c r="AG286" s="25"/>
      <c r="AH286" s="25"/>
      <c r="AI286" s="25"/>
      <c r="AJ286" s="25"/>
      <c r="AK286" s="25"/>
      <c r="AL286" s="25">
        <v>21385</v>
      </c>
      <c r="AM286" s="25"/>
      <c r="AN286" s="25"/>
      <c r="AO286" s="25"/>
      <c r="AP286" s="25"/>
      <c r="AQ286" s="25"/>
      <c r="AR286" s="25">
        <v>5149</v>
      </c>
      <c r="AS286" s="25"/>
      <c r="AT286" s="25"/>
      <c r="AU286" s="25"/>
      <c r="AV286" s="25"/>
      <c r="AW286" s="25"/>
      <c r="AX286" s="25">
        <v>24925</v>
      </c>
      <c r="AY286" s="25"/>
      <c r="AZ286" s="25"/>
      <c r="BA286" s="25"/>
      <c r="BB286" s="25"/>
      <c r="BC286" s="25"/>
      <c r="BD286" s="25">
        <v>0</v>
      </c>
      <c r="BE286" s="25"/>
      <c r="BF286" s="25"/>
      <c r="BG286" s="25"/>
      <c r="BH286" s="25"/>
      <c r="BI286" s="25"/>
      <c r="BJ286" s="25">
        <v>750</v>
      </c>
      <c r="BK286" s="25"/>
      <c r="BL286" s="25"/>
      <c r="BM286" s="25"/>
      <c r="BN286" s="25"/>
      <c r="BO286" s="25"/>
      <c r="BP286" s="25">
        <v>21718</v>
      </c>
      <c r="BQ286" s="25"/>
      <c r="BR286" s="25"/>
      <c r="BS286" s="25"/>
      <c r="BT286" s="25"/>
      <c r="BU286" s="25"/>
      <c r="BV286" s="25">
        <v>28898</v>
      </c>
      <c r="BW286" s="25"/>
      <c r="BX286" s="25"/>
      <c r="BY286" s="25"/>
      <c r="BZ286" s="25"/>
      <c r="CA286" s="25"/>
      <c r="CB286" s="25">
        <v>1478</v>
      </c>
      <c r="CC286" s="25"/>
      <c r="CD286" s="25"/>
      <c r="CE286" s="25"/>
      <c r="CF286" s="25"/>
      <c r="CG286" s="25"/>
      <c r="CH286" s="25">
        <v>3168</v>
      </c>
      <c r="CI286" s="25"/>
      <c r="CJ286" s="25"/>
      <c r="CK286" s="25"/>
      <c r="CL286" s="25"/>
      <c r="CM286" s="25"/>
      <c r="CN286" s="25">
        <v>187</v>
      </c>
      <c r="CO286" s="25"/>
      <c r="CP286" s="25"/>
      <c r="CQ286" s="25"/>
      <c r="CR286" s="25"/>
      <c r="CS286" s="25"/>
      <c r="CT286" s="25">
        <v>205660</v>
      </c>
      <c r="CU286" s="25"/>
      <c r="CV286" s="25"/>
      <c r="CW286" s="25"/>
      <c r="CX286" s="25"/>
      <c r="CY286" s="25"/>
    </row>
    <row r="287" spans="2:103">
      <c r="B287" s="13" t="s">
        <v>1286</v>
      </c>
      <c r="C287" s="13"/>
      <c r="D287" s="13"/>
      <c r="E287" s="13"/>
      <c r="F287" s="13"/>
      <c r="G287" s="13"/>
      <c r="H287" s="13"/>
      <c r="I287" s="13"/>
      <c r="J287" s="13"/>
      <c r="K287" s="13"/>
      <c r="L287" s="13"/>
      <c r="M287" s="13"/>
      <c r="N287" s="25">
        <v>53818</v>
      </c>
      <c r="O287" s="25"/>
      <c r="P287" s="25"/>
      <c r="Q287" s="25"/>
      <c r="R287" s="25"/>
      <c r="S287" s="25"/>
      <c r="T287" s="25">
        <v>13407</v>
      </c>
      <c r="U287" s="25"/>
      <c r="V287" s="25"/>
      <c r="W287" s="25"/>
      <c r="X287" s="25"/>
      <c r="Y287" s="25"/>
      <c r="Z287" s="25">
        <v>4031</v>
      </c>
      <c r="AA287" s="25"/>
      <c r="AB287" s="25"/>
      <c r="AC287" s="25"/>
      <c r="AD287" s="25"/>
      <c r="AE287" s="25"/>
      <c r="AF287" s="25">
        <v>448</v>
      </c>
      <c r="AG287" s="25"/>
      <c r="AH287" s="25"/>
      <c r="AI287" s="25"/>
      <c r="AJ287" s="25"/>
      <c r="AK287" s="25"/>
      <c r="AL287" s="25">
        <v>29830</v>
      </c>
      <c r="AM287" s="25"/>
      <c r="AN287" s="25"/>
      <c r="AO287" s="25"/>
      <c r="AP287" s="25"/>
      <c r="AQ287" s="25"/>
      <c r="AR287" s="25">
        <v>6963</v>
      </c>
      <c r="AS287" s="25"/>
      <c r="AT287" s="25"/>
      <c r="AU287" s="25"/>
      <c r="AV287" s="25"/>
      <c r="AW287" s="25"/>
      <c r="AX287" s="25">
        <v>22975</v>
      </c>
      <c r="AY287" s="25"/>
      <c r="AZ287" s="25"/>
      <c r="BA287" s="25"/>
      <c r="BB287" s="25"/>
      <c r="BC287" s="25"/>
      <c r="BD287" s="25">
        <v>0</v>
      </c>
      <c r="BE287" s="25"/>
      <c r="BF287" s="25"/>
      <c r="BG287" s="25"/>
      <c r="BH287" s="25"/>
      <c r="BI287" s="25"/>
      <c r="BJ287" s="25">
        <v>825</v>
      </c>
      <c r="BK287" s="25"/>
      <c r="BL287" s="25"/>
      <c r="BM287" s="25"/>
      <c r="BN287" s="25"/>
      <c r="BO287" s="25"/>
      <c r="BP287" s="25">
        <v>30931</v>
      </c>
      <c r="BQ287" s="25"/>
      <c r="BR287" s="25"/>
      <c r="BS287" s="25"/>
      <c r="BT287" s="25"/>
      <c r="BU287" s="25"/>
      <c r="BV287" s="25">
        <v>29584</v>
      </c>
      <c r="BW287" s="25"/>
      <c r="BX287" s="25"/>
      <c r="BY287" s="25"/>
      <c r="BZ287" s="25"/>
      <c r="CA287" s="25"/>
      <c r="CB287" s="25">
        <v>2237</v>
      </c>
      <c r="CC287" s="25"/>
      <c r="CD287" s="25"/>
      <c r="CE287" s="25"/>
      <c r="CF287" s="25"/>
      <c r="CG287" s="25"/>
      <c r="CH287" s="25">
        <v>8282</v>
      </c>
      <c r="CI287" s="25"/>
      <c r="CJ287" s="25"/>
      <c r="CK287" s="25"/>
      <c r="CL287" s="25"/>
      <c r="CM287" s="25"/>
      <c r="CN287" s="25">
        <v>192</v>
      </c>
      <c r="CO287" s="25"/>
      <c r="CP287" s="25"/>
      <c r="CQ287" s="25"/>
      <c r="CR287" s="25"/>
      <c r="CS287" s="25"/>
      <c r="CT287" s="25">
        <v>232753</v>
      </c>
      <c r="CU287" s="25"/>
      <c r="CV287" s="25"/>
      <c r="CW287" s="25"/>
      <c r="CX287" s="25"/>
      <c r="CY287" s="25"/>
    </row>
    <row r="288" spans="2:103">
      <c r="B288" s="13" t="s">
        <v>1287</v>
      </c>
      <c r="C288" s="13"/>
      <c r="D288" s="13"/>
      <c r="E288" s="13"/>
      <c r="F288" s="13"/>
      <c r="G288" s="13"/>
      <c r="H288" s="13"/>
      <c r="I288" s="13"/>
      <c r="J288" s="13"/>
      <c r="K288" s="13"/>
      <c r="L288" s="13"/>
      <c r="M288" s="13"/>
      <c r="N288" s="25">
        <v>54287</v>
      </c>
      <c r="O288" s="25"/>
      <c r="P288" s="25"/>
      <c r="Q288" s="25"/>
      <c r="R288" s="25"/>
      <c r="S288" s="25"/>
      <c r="T288" s="25">
        <v>17665</v>
      </c>
      <c r="U288" s="25"/>
      <c r="V288" s="25"/>
      <c r="W288" s="25"/>
      <c r="X288" s="25"/>
      <c r="Y288" s="25"/>
      <c r="Z288" s="25">
        <v>5277</v>
      </c>
      <c r="AA288" s="25"/>
      <c r="AB288" s="25"/>
      <c r="AC288" s="25"/>
      <c r="AD288" s="25"/>
      <c r="AE288" s="25"/>
      <c r="AF288" s="25">
        <v>1069</v>
      </c>
      <c r="AG288" s="25"/>
      <c r="AH288" s="25"/>
      <c r="AI288" s="25"/>
      <c r="AJ288" s="25"/>
      <c r="AK288" s="25"/>
      <c r="AL288" s="25">
        <v>29287</v>
      </c>
      <c r="AM288" s="25"/>
      <c r="AN288" s="25"/>
      <c r="AO288" s="25"/>
      <c r="AP288" s="25"/>
      <c r="AQ288" s="25"/>
      <c r="AR288" s="25">
        <v>6797</v>
      </c>
      <c r="AS288" s="25"/>
      <c r="AT288" s="25"/>
      <c r="AU288" s="25"/>
      <c r="AV288" s="25"/>
      <c r="AW288" s="25"/>
      <c r="AX288" s="25">
        <v>20222</v>
      </c>
      <c r="AY288" s="25"/>
      <c r="AZ288" s="25"/>
      <c r="BA288" s="25"/>
      <c r="BB288" s="25"/>
      <c r="BC288" s="25"/>
      <c r="BD288" s="25">
        <v>0</v>
      </c>
      <c r="BE288" s="25"/>
      <c r="BF288" s="25"/>
      <c r="BG288" s="25"/>
      <c r="BH288" s="25"/>
      <c r="BI288" s="25"/>
      <c r="BJ288" s="25">
        <v>725</v>
      </c>
      <c r="BK288" s="25"/>
      <c r="BL288" s="25"/>
      <c r="BM288" s="25"/>
      <c r="BN288" s="25"/>
      <c r="BO288" s="25"/>
      <c r="BP288" s="25">
        <v>24024</v>
      </c>
      <c r="BQ288" s="25"/>
      <c r="BR288" s="25"/>
      <c r="BS288" s="25"/>
      <c r="BT288" s="25"/>
      <c r="BU288" s="25"/>
      <c r="BV288" s="25">
        <v>21601</v>
      </c>
      <c r="BW288" s="25"/>
      <c r="BX288" s="25"/>
      <c r="BY288" s="25"/>
      <c r="BZ288" s="25"/>
      <c r="CA288" s="25"/>
      <c r="CB288" s="25">
        <v>1083</v>
      </c>
      <c r="CC288" s="25"/>
      <c r="CD288" s="25"/>
      <c r="CE288" s="25"/>
      <c r="CF288" s="25"/>
      <c r="CG288" s="25"/>
      <c r="CH288" s="25">
        <v>6610</v>
      </c>
      <c r="CI288" s="25"/>
      <c r="CJ288" s="25"/>
      <c r="CK288" s="25"/>
      <c r="CL288" s="25"/>
      <c r="CM288" s="25"/>
      <c r="CN288" s="25">
        <v>169</v>
      </c>
      <c r="CO288" s="25"/>
      <c r="CP288" s="25"/>
      <c r="CQ288" s="25"/>
      <c r="CR288" s="25"/>
      <c r="CS288" s="25"/>
      <c r="CT288" s="25">
        <v>215413</v>
      </c>
      <c r="CU288" s="25"/>
      <c r="CV288" s="25"/>
      <c r="CW288" s="25"/>
      <c r="CX288" s="25"/>
      <c r="CY288" s="25"/>
    </row>
    <row r="289" spans="2:103">
      <c r="B289" s="13" t="s">
        <v>1151</v>
      </c>
      <c r="C289" s="13"/>
      <c r="D289" s="13"/>
      <c r="E289" s="13"/>
      <c r="F289" s="13"/>
      <c r="G289" s="13"/>
      <c r="H289" s="13"/>
      <c r="I289" s="13"/>
      <c r="J289" s="13"/>
      <c r="K289" s="13"/>
      <c r="L289" s="13"/>
      <c r="M289" s="13"/>
      <c r="N289" s="25">
        <v>52455</v>
      </c>
      <c r="O289" s="25"/>
      <c r="P289" s="25"/>
      <c r="Q289" s="25"/>
      <c r="R289" s="25"/>
      <c r="S289" s="25"/>
      <c r="T289" s="25">
        <v>21117</v>
      </c>
      <c r="U289" s="25"/>
      <c r="V289" s="25"/>
      <c r="W289" s="25"/>
      <c r="X289" s="25"/>
      <c r="Y289" s="25"/>
      <c r="Z289" s="25">
        <v>10439</v>
      </c>
      <c r="AA289" s="25"/>
      <c r="AB289" s="25"/>
      <c r="AC289" s="25"/>
      <c r="AD289" s="25"/>
      <c r="AE289" s="25"/>
      <c r="AF289" s="25">
        <v>780</v>
      </c>
      <c r="AG289" s="25"/>
      <c r="AH289" s="25"/>
      <c r="AI289" s="25"/>
      <c r="AJ289" s="25"/>
      <c r="AK289" s="25"/>
      <c r="AL289" s="25">
        <v>25005</v>
      </c>
      <c r="AM289" s="25"/>
      <c r="AN289" s="25"/>
      <c r="AO289" s="25"/>
      <c r="AP289" s="25"/>
      <c r="AQ289" s="25"/>
      <c r="AR289" s="25">
        <v>7451</v>
      </c>
      <c r="AS289" s="25"/>
      <c r="AT289" s="25"/>
      <c r="AU289" s="25"/>
      <c r="AV289" s="25"/>
      <c r="AW289" s="25"/>
      <c r="AX289" s="25">
        <v>18809</v>
      </c>
      <c r="AY289" s="25"/>
      <c r="AZ289" s="25"/>
      <c r="BA289" s="25"/>
      <c r="BB289" s="25"/>
      <c r="BC289" s="25"/>
      <c r="BD289" s="25">
        <v>0</v>
      </c>
      <c r="BE289" s="25"/>
      <c r="BF289" s="25"/>
      <c r="BG289" s="25"/>
      <c r="BH289" s="25"/>
      <c r="BI289" s="25"/>
      <c r="BJ289" s="25">
        <v>590</v>
      </c>
      <c r="BK289" s="25"/>
      <c r="BL289" s="25"/>
      <c r="BM289" s="25"/>
      <c r="BN289" s="25"/>
      <c r="BO289" s="25"/>
      <c r="BP289" s="25">
        <v>21817</v>
      </c>
      <c r="BQ289" s="25"/>
      <c r="BR289" s="25"/>
      <c r="BS289" s="25"/>
      <c r="BT289" s="25"/>
      <c r="BU289" s="25"/>
      <c r="BV289" s="25">
        <v>16267</v>
      </c>
      <c r="BW289" s="25"/>
      <c r="BX289" s="25"/>
      <c r="BY289" s="25"/>
      <c r="BZ289" s="25"/>
      <c r="CA289" s="25"/>
      <c r="CB289" s="25">
        <v>898</v>
      </c>
      <c r="CC289" s="25"/>
      <c r="CD289" s="25"/>
      <c r="CE289" s="25"/>
      <c r="CF289" s="25"/>
      <c r="CG289" s="25"/>
      <c r="CH289" s="25">
        <v>6370</v>
      </c>
      <c r="CI289" s="25"/>
      <c r="CJ289" s="25"/>
      <c r="CK289" s="25"/>
      <c r="CL289" s="25"/>
      <c r="CM289" s="25"/>
      <c r="CN289" s="25">
        <v>140</v>
      </c>
      <c r="CO289" s="25"/>
      <c r="CP289" s="25"/>
      <c r="CQ289" s="25"/>
      <c r="CR289" s="25"/>
      <c r="CS289" s="25"/>
      <c r="CT289" s="25">
        <v>207964</v>
      </c>
      <c r="CU289" s="25"/>
      <c r="CV289" s="25"/>
      <c r="CW289" s="25"/>
      <c r="CX289" s="25"/>
      <c r="CY289" s="25"/>
    </row>
    <row r="290" spans="2:103">
      <c r="B290" s="13" t="s">
        <v>1152</v>
      </c>
      <c r="C290" s="13"/>
      <c r="D290" s="13"/>
      <c r="E290" s="13"/>
      <c r="F290" s="13"/>
      <c r="G290" s="13"/>
      <c r="H290" s="13"/>
      <c r="I290" s="13"/>
      <c r="J290" s="13"/>
      <c r="K290" s="13"/>
      <c r="L290" s="13"/>
      <c r="M290" s="13"/>
      <c r="N290" s="25">
        <v>39250</v>
      </c>
      <c r="O290" s="25"/>
      <c r="P290" s="25"/>
      <c r="Q290" s="25"/>
      <c r="R290" s="25"/>
      <c r="S290" s="25"/>
      <c r="T290" s="25">
        <v>20126</v>
      </c>
      <c r="U290" s="25"/>
      <c r="V290" s="25"/>
      <c r="W290" s="25"/>
      <c r="X290" s="25"/>
      <c r="Y290" s="25"/>
      <c r="Z290" s="25">
        <v>10604</v>
      </c>
      <c r="AA290" s="25"/>
      <c r="AB290" s="25"/>
      <c r="AC290" s="25"/>
      <c r="AD290" s="25"/>
      <c r="AE290" s="25"/>
      <c r="AF290" s="25">
        <v>817</v>
      </c>
      <c r="AG290" s="25"/>
      <c r="AH290" s="25"/>
      <c r="AI290" s="25"/>
      <c r="AJ290" s="25"/>
      <c r="AK290" s="25"/>
      <c r="AL290" s="25">
        <v>21473</v>
      </c>
      <c r="AM290" s="25"/>
      <c r="AN290" s="25"/>
      <c r="AO290" s="25"/>
      <c r="AP290" s="25"/>
      <c r="AQ290" s="25"/>
      <c r="AR290" s="25">
        <v>6027</v>
      </c>
      <c r="AS290" s="25"/>
      <c r="AT290" s="25"/>
      <c r="AU290" s="25"/>
      <c r="AV290" s="25"/>
      <c r="AW290" s="25"/>
      <c r="AX290" s="25">
        <v>17838</v>
      </c>
      <c r="AY290" s="25"/>
      <c r="AZ290" s="25"/>
      <c r="BA290" s="25"/>
      <c r="BB290" s="25"/>
      <c r="BC290" s="25"/>
      <c r="BD290" s="25">
        <v>0</v>
      </c>
      <c r="BE290" s="25"/>
      <c r="BF290" s="25"/>
      <c r="BG290" s="25"/>
      <c r="BH290" s="25"/>
      <c r="BI290" s="25"/>
      <c r="BJ290" s="25">
        <v>550</v>
      </c>
      <c r="BK290" s="25"/>
      <c r="BL290" s="25"/>
      <c r="BM290" s="25"/>
      <c r="BN290" s="25"/>
      <c r="BO290" s="25"/>
      <c r="BP290" s="25">
        <v>19057</v>
      </c>
      <c r="BQ290" s="25"/>
      <c r="BR290" s="25"/>
      <c r="BS290" s="25"/>
      <c r="BT290" s="25"/>
      <c r="BU290" s="25"/>
      <c r="BV290" s="25">
        <v>13059</v>
      </c>
      <c r="BW290" s="25"/>
      <c r="BX290" s="25"/>
      <c r="BY290" s="25"/>
      <c r="BZ290" s="25"/>
      <c r="CA290" s="25"/>
      <c r="CB290" s="25">
        <v>719</v>
      </c>
      <c r="CC290" s="25"/>
      <c r="CD290" s="25"/>
      <c r="CE290" s="25"/>
      <c r="CF290" s="25"/>
      <c r="CG290" s="25"/>
      <c r="CH290" s="25">
        <v>5503</v>
      </c>
      <c r="CI290" s="25"/>
      <c r="CJ290" s="25"/>
      <c r="CK290" s="25"/>
      <c r="CL290" s="25"/>
      <c r="CM290" s="25"/>
      <c r="CN290" s="25">
        <v>79</v>
      </c>
      <c r="CO290" s="25"/>
      <c r="CP290" s="25"/>
      <c r="CQ290" s="25"/>
      <c r="CR290" s="25"/>
      <c r="CS290" s="25"/>
      <c r="CT290" s="25">
        <v>179531</v>
      </c>
      <c r="CU290" s="25"/>
      <c r="CV290" s="25"/>
      <c r="CW290" s="25"/>
      <c r="CX290" s="25"/>
      <c r="CY290" s="25"/>
    </row>
    <row r="291" spans="2:103">
      <c r="B291" s="13" t="s">
        <v>1156</v>
      </c>
      <c r="C291" s="13"/>
      <c r="D291" s="13"/>
      <c r="E291" s="13"/>
      <c r="F291" s="13"/>
      <c r="G291" s="13"/>
      <c r="H291" s="13"/>
      <c r="I291" s="13"/>
      <c r="J291" s="13"/>
      <c r="K291" s="13"/>
      <c r="L291" s="13"/>
      <c r="M291" s="13"/>
      <c r="N291" s="25">
        <v>50670</v>
      </c>
      <c r="O291" s="25"/>
      <c r="P291" s="25"/>
      <c r="Q291" s="25"/>
      <c r="R291" s="25"/>
      <c r="S291" s="25"/>
      <c r="T291" s="25">
        <v>21772</v>
      </c>
      <c r="U291" s="25"/>
      <c r="V291" s="25"/>
      <c r="W291" s="25"/>
      <c r="X291" s="25"/>
      <c r="Y291" s="25"/>
      <c r="Z291" s="25">
        <v>9307</v>
      </c>
      <c r="AA291" s="25"/>
      <c r="AB291" s="25"/>
      <c r="AC291" s="25"/>
      <c r="AD291" s="25"/>
      <c r="AE291" s="25"/>
      <c r="AF291" s="25">
        <v>667</v>
      </c>
      <c r="AG291" s="25"/>
      <c r="AH291" s="25"/>
      <c r="AI291" s="25"/>
      <c r="AJ291" s="25"/>
      <c r="AK291" s="25"/>
      <c r="AL291" s="25">
        <v>19503</v>
      </c>
      <c r="AM291" s="25"/>
      <c r="AN291" s="25"/>
      <c r="AO291" s="25"/>
      <c r="AP291" s="25"/>
      <c r="AQ291" s="25"/>
      <c r="AR291" s="25">
        <v>5517</v>
      </c>
      <c r="AS291" s="25"/>
      <c r="AT291" s="25"/>
      <c r="AU291" s="25"/>
      <c r="AV291" s="25"/>
      <c r="AW291" s="25"/>
      <c r="AX291" s="25">
        <v>17380</v>
      </c>
      <c r="AY291" s="25"/>
      <c r="AZ291" s="25"/>
      <c r="BA291" s="25"/>
      <c r="BB291" s="25"/>
      <c r="BC291" s="25"/>
      <c r="BD291" s="25">
        <v>0</v>
      </c>
      <c r="BE291" s="25"/>
      <c r="BF291" s="25"/>
      <c r="BG291" s="25"/>
      <c r="BH291" s="25"/>
      <c r="BI291" s="25"/>
      <c r="BJ291" s="25">
        <v>524</v>
      </c>
      <c r="BK291" s="25"/>
      <c r="BL291" s="25"/>
      <c r="BM291" s="25"/>
      <c r="BN291" s="25"/>
      <c r="BO291" s="25"/>
      <c r="BP291" s="25">
        <v>21624</v>
      </c>
      <c r="BQ291" s="25"/>
      <c r="BR291" s="25"/>
      <c r="BS291" s="25"/>
      <c r="BT291" s="25"/>
      <c r="BU291" s="25"/>
      <c r="BV291" s="25">
        <v>11812</v>
      </c>
      <c r="BW291" s="25"/>
      <c r="BX291" s="25"/>
      <c r="BY291" s="25"/>
      <c r="BZ291" s="25"/>
      <c r="CA291" s="25"/>
      <c r="CB291" s="25">
        <v>578</v>
      </c>
      <c r="CC291" s="25"/>
      <c r="CD291" s="25"/>
      <c r="CE291" s="25"/>
      <c r="CF291" s="25"/>
      <c r="CG291" s="25"/>
      <c r="CH291" s="25">
        <v>5147</v>
      </c>
      <c r="CI291" s="25"/>
      <c r="CJ291" s="25"/>
      <c r="CK291" s="25"/>
      <c r="CL291" s="25"/>
      <c r="CM291" s="25"/>
      <c r="CN291" s="25">
        <v>99</v>
      </c>
      <c r="CO291" s="25"/>
      <c r="CP291" s="25"/>
      <c r="CQ291" s="25"/>
      <c r="CR291" s="25"/>
      <c r="CS291" s="25"/>
      <c r="CT291" s="25">
        <v>185397</v>
      </c>
      <c r="CU291" s="25"/>
      <c r="CV291" s="25"/>
      <c r="CW291" s="25"/>
      <c r="CX291" s="25"/>
      <c r="CY291" s="25"/>
    </row>
    <row r="292" spans="2:103">
      <c r="B292" s="13" t="s">
        <v>1158</v>
      </c>
      <c r="C292" s="13"/>
      <c r="D292" s="13"/>
      <c r="E292" s="13"/>
      <c r="F292" s="13"/>
      <c r="G292" s="13"/>
      <c r="H292" s="13"/>
      <c r="I292" s="13"/>
      <c r="J292" s="13"/>
      <c r="K292" s="13"/>
      <c r="L292" s="13"/>
      <c r="M292" s="13"/>
      <c r="N292" s="25">
        <v>46544</v>
      </c>
      <c r="O292" s="25"/>
      <c r="P292" s="25"/>
      <c r="Q292" s="25"/>
      <c r="R292" s="25"/>
      <c r="S292" s="25"/>
      <c r="T292" s="25">
        <v>23652</v>
      </c>
      <c r="U292" s="25"/>
      <c r="V292" s="25"/>
      <c r="W292" s="25"/>
      <c r="X292" s="25"/>
      <c r="Y292" s="25"/>
      <c r="Z292" s="25">
        <v>7340</v>
      </c>
      <c r="AA292" s="25"/>
      <c r="AB292" s="25"/>
      <c r="AC292" s="25"/>
      <c r="AD292" s="25"/>
      <c r="AE292" s="25"/>
      <c r="AF292" s="25">
        <v>553</v>
      </c>
      <c r="AG292" s="25"/>
      <c r="AH292" s="25"/>
      <c r="AI292" s="25"/>
      <c r="AJ292" s="25"/>
      <c r="AK292" s="25"/>
      <c r="AL292" s="25">
        <v>16363</v>
      </c>
      <c r="AM292" s="25"/>
      <c r="AN292" s="25"/>
      <c r="AO292" s="25"/>
      <c r="AP292" s="25"/>
      <c r="AQ292" s="25"/>
      <c r="AR292" s="25">
        <v>4921</v>
      </c>
      <c r="AS292" s="25"/>
      <c r="AT292" s="25"/>
      <c r="AU292" s="25"/>
      <c r="AV292" s="25"/>
      <c r="AW292" s="25"/>
      <c r="AX292" s="25">
        <v>16132</v>
      </c>
      <c r="AY292" s="25"/>
      <c r="AZ292" s="25"/>
      <c r="BA292" s="25"/>
      <c r="BB292" s="25"/>
      <c r="BC292" s="25"/>
      <c r="BD292" s="25">
        <v>0</v>
      </c>
      <c r="BE292" s="25"/>
      <c r="BF292" s="25"/>
      <c r="BG292" s="25"/>
      <c r="BH292" s="25"/>
      <c r="BI292" s="25"/>
      <c r="BJ292" s="25">
        <v>511</v>
      </c>
      <c r="BK292" s="25"/>
      <c r="BL292" s="25"/>
      <c r="BM292" s="25"/>
      <c r="BN292" s="25"/>
      <c r="BO292" s="25"/>
      <c r="BP292" s="25">
        <v>19505</v>
      </c>
      <c r="BQ292" s="25"/>
      <c r="BR292" s="25"/>
      <c r="BS292" s="25"/>
      <c r="BT292" s="25"/>
      <c r="BU292" s="25"/>
      <c r="BV292" s="25">
        <v>8277</v>
      </c>
      <c r="BW292" s="25"/>
      <c r="BX292" s="25"/>
      <c r="BY292" s="25"/>
      <c r="BZ292" s="25"/>
      <c r="CA292" s="25"/>
      <c r="CB292" s="25">
        <v>554</v>
      </c>
      <c r="CC292" s="25"/>
      <c r="CD292" s="25"/>
      <c r="CE292" s="25"/>
      <c r="CF292" s="25"/>
      <c r="CG292" s="25"/>
      <c r="CH292" s="25">
        <v>4527</v>
      </c>
      <c r="CI292" s="25"/>
      <c r="CJ292" s="25"/>
      <c r="CK292" s="25"/>
      <c r="CL292" s="25"/>
      <c r="CM292" s="25"/>
      <c r="CN292" s="25">
        <v>424</v>
      </c>
      <c r="CO292" s="25"/>
      <c r="CP292" s="25"/>
      <c r="CQ292" s="25"/>
      <c r="CR292" s="25"/>
      <c r="CS292" s="25"/>
      <c r="CT292" s="25">
        <v>167567</v>
      </c>
      <c r="CU292" s="25"/>
      <c r="CV292" s="25"/>
      <c r="CW292" s="25"/>
      <c r="CX292" s="25"/>
      <c r="CY292" s="25"/>
    </row>
    <row r="293" spans="2:103">
      <c r="B293" s="13" t="s">
        <v>1160</v>
      </c>
      <c r="C293" s="13"/>
      <c r="D293" s="13"/>
      <c r="E293" s="13"/>
      <c r="F293" s="13"/>
      <c r="G293" s="13"/>
      <c r="H293" s="13"/>
      <c r="I293" s="13"/>
      <c r="J293" s="13"/>
      <c r="K293" s="13"/>
      <c r="L293" s="13"/>
      <c r="M293" s="13"/>
      <c r="N293" s="25">
        <v>51668</v>
      </c>
      <c r="O293" s="25"/>
      <c r="P293" s="25"/>
      <c r="Q293" s="25"/>
      <c r="R293" s="25"/>
      <c r="S293" s="25"/>
      <c r="T293" s="25">
        <v>28403</v>
      </c>
      <c r="U293" s="25"/>
      <c r="V293" s="25"/>
      <c r="W293" s="25"/>
      <c r="X293" s="25"/>
      <c r="Y293" s="25"/>
      <c r="Z293" s="25">
        <v>13646</v>
      </c>
      <c r="AA293" s="25"/>
      <c r="AB293" s="25"/>
      <c r="AC293" s="25"/>
      <c r="AD293" s="25"/>
      <c r="AE293" s="25"/>
      <c r="AF293" s="25">
        <v>474</v>
      </c>
      <c r="AG293" s="25"/>
      <c r="AH293" s="25"/>
      <c r="AI293" s="25"/>
      <c r="AJ293" s="25"/>
      <c r="AK293" s="25"/>
      <c r="AL293" s="25">
        <v>15552</v>
      </c>
      <c r="AM293" s="25"/>
      <c r="AN293" s="25"/>
      <c r="AO293" s="25"/>
      <c r="AP293" s="25"/>
      <c r="AQ293" s="25"/>
      <c r="AR293" s="25">
        <v>3812</v>
      </c>
      <c r="AS293" s="25"/>
      <c r="AT293" s="25"/>
      <c r="AU293" s="25"/>
      <c r="AV293" s="25"/>
      <c r="AW293" s="25"/>
      <c r="AX293" s="25">
        <v>15604</v>
      </c>
      <c r="AY293" s="25"/>
      <c r="AZ293" s="25"/>
      <c r="BA293" s="25"/>
      <c r="BB293" s="25"/>
      <c r="BC293" s="25"/>
      <c r="BD293" s="25">
        <v>0</v>
      </c>
      <c r="BE293" s="25"/>
      <c r="BF293" s="25"/>
      <c r="BG293" s="25"/>
      <c r="BH293" s="25"/>
      <c r="BI293" s="25"/>
      <c r="BJ293" s="25">
        <v>445</v>
      </c>
      <c r="BK293" s="25"/>
      <c r="BL293" s="25"/>
      <c r="BM293" s="25"/>
      <c r="BN293" s="25"/>
      <c r="BO293" s="25"/>
      <c r="BP293" s="25">
        <v>19291</v>
      </c>
      <c r="BQ293" s="25"/>
      <c r="BR293" s="25"/>
      <c r="BS293" s="25"/>
      <c r="BT293" s="25"/>
      <c r="BU293" s="25"/>
      <c r="BV293" s="25">
        <v>8492</v>
      </c>
      <c r="BW293" s="25"/>
      <c r="BX293" s="25"/>
      <c r="BY293" s="25"/>
      <c r="BZ293" s="25"/>
      <c r="CA293" s="25"/>
      <c r="CB293" s="25">
        <v>531</v>
      </c>
      <c r="CC293" s="25"/>
      <c r="CD293" s="25"/>
      <c r="CE293" s="25"/>
      <c r="CF293" s="25"/>
      <c r="CG293" s="25"/>
      <c r="CH293" s="25">
        <v>4102</v>
      </c>
      <c r="CI293" s="25"/>
      <c r="CJ293" s="25"/>
      <c r="CK293" s="25"/>
      <c r="CL293" s="25"/>
      <c r="CM293" s="25"/>
      <c r="CN293" s="25">
        <v>1925</v>
      </c>
      <c r="CO293" s="25"/>
      <c r="CP293" s="25"/>
      <c r="CQ293" s="25"/>
      <c r="CR293" s="25"/>
      <c r="CS293" s="25"/>
      <c r="CT293" s="25">
        <v>181264</v>
      </c>
      <c r="CU293" s="25"/>
      <c r="CV293" s="25"/>
      <c r="CW293" s="25"/>
      <c r="CX293" s="25"/>
      <c r="CY293" s="25"/>
    </row>
    <row r="294" spans="2:103">
      <c r="B294" s="13" t="s">
        <v>1162</v>
      </c>
      <c r="C294" s="13"/>
      <c r="D294" s="13"/>
      <c r="E294" s="13"/>
      <c r="F294" s="13"/>
      <c r="G294" s="13"/>
      <c r="H294" s="13"/>
      <c r="I294" s="13"/>
      <c r="J294" s="13"/>
      <c r="K294" s="13"/>
      <c r="L294" s="13"/>
      <c r="M294" s="13"/>
      <c r="N294" s="25">
        <v>59108</v>
      </c>
      <c r="O294" s="25"/>
      <c r="P294" s="25"/>
      <c r="Q294" s="25"/>
      <c r="R294" s="25"/>
      <c r="S294" s="25"/>
      <c r="T294" s="25">
        <v>27707</v>
      </c>
      <c r="U294" s="25"/>
      <c r="V294" s="25"/>
      <c r="W294" s="25"/>
      <c r="X294" s="25"/>
      <c r="Y294" s="25"/>
      <c r="Z294" s="25">
        <v>14262</v>
      </c>
      <c r="AA294" s="25"/>
      <c r="AB294" s="25"/>
      <c r="AC294" s="25"/>
      <c r="AD294" s="25"/>
      <c r="AE294" s="25"/>
      <c r="AF294" s="25">
        <v>409</v>
      </c>
      <c r="AG294" s="25"/>
      <c r="AH294" s="25"/>
      <c r="AI294" s="25"/>
      <c r="AJ294" s="25"/>
      <c r="AK294" s="25"/>
      <c r="AL294" s="25">
        <v>23328</v>
      </c>
      <c r="AM294" s="25"/>
      <c r="AN294" s="25"/>
      <c r="AO294" s="25"/>
      <c r="AP294" s="25"/>
      <c r="AQ294" s="25"/>
      <c r="AR294" s="25">
        <v>6038</v>
      </c>
      <c r="AS294" s="25"/>
      <c r="AT294" s="25"/>
      <c r="AU294" s="25"/>
      <c r="AV294" s="25"/>
      <c r="AW294" s="25"/>
      <c r="AX294" s="25">
        <v>21131</v>
      </c>
      <c r="AY294" s="25"/>
      <c r="AZ294" s="25"/>
      <c r="BA294" s="25"/>
      <c r="BB294" s="25"/>
      <c r="BC294" s="25"/>
      <c r="BD294" s="25">
        <v>0</v>
      </c>
      <c r="BE294" s="25"/>
      <c r="BF294" s="25"/>
      <c r="BG294" s="25"/>
      <c r="BH294" s="25"/>
      <c r="BI294" s="25"/>
      <c r="BJ294" s="25">
        <v>439</v>
      </c>
      <c r="BK294" s="25"/>
      <c r="BL294" s="25"/>
      <c r="BM294" s="25"/>
      <c r="BN294" s="25"/>
      <c r="BO294" s="25"/>
      <c r="BP294" s="25">
        <v>18626</v>
      </c>
      <c r="BQ294" s="25"/>
      <c r="BR294" s="25"/>
      <c r="BS294" s="25"/>
      <c r="BT294" s="25"/>
      <c r="BU294" s="25"/>
      <c r="BV294" s="25">
        <v>16274</v>
      </c>
      <c r="BW294" s="25"/>
      <c r="BX294" s="25"/>
      <c r="BY294" s="25"/>
      <c r="BZ294" s="25"/>
      <c r="CA294" s="25"/>
      <c r="CB294" s="25">
        <v>147</v>
      </c>
      <c r="CC294" s="25"/>
      <c r="CD294" s="25"/>
      <c r="CE294" s="25"/>
      <c r="CF294" s="25"/>
      <c r="CG294" s="25"/>
      <c r="CH294" s="25">
        <v>4286</v>
      </c>
      <c r="CI294" s="25"/>
      <c r="CJ294" s="25"/>
      <c r="CK294" s="25"/>
      <c r="CL294" s="25"/>
      <c r="CM294" s="25"/>
      <c r="CN294" s="25">
        <v>1665</v>
      </c>
      <c r="CO294" s="25"/>
      <c r="CP294" s="25"/>
      <c r="CQ294" s="25"/>
      <c r="CR294" s="25"/>
      <c r="CS294" s="25"/>
      <c r="CT294" s="25">
        <v>210316</v>
      </c>
      <c r="CU294" s="25"/>
      <c r="CV294" s="25"/>
      <c r="CW294" s="25"/>
      <c r="CX294" s="25"/>
      <c r="CY294" s="25"/>
    </row>
    <row r="295" spans="2:103">
      <c r="B295" s="13" t="s">
        <v>1164</v>
      </c>
      <c r="C295" s="13"/>
      <c r="D295" s="13"/>
      <c r="E295" s="13"/>
      <c r="F295" s="13"/>
      <c r="G295" s="13"/>
      <c r="H295" s="13"/>
      <c r="I295" s="13"/>
      <c r="J295" s="13"/>
      <c r="K295" s="13"/>
      <c r="L295" s="13"/>
      <c r="M295" s="13"/>
      <c r="N295" s="25">
        <v>53773</v>
      </c>
      <c r="O295" s="25"/>
      <c r="P295" s="25"/>
      <c r="Q295" s="25"/>
      <c r="R295" s="25"/>
      <c r="S295" s="25"/>
      <c r="T295" s="25">
        <v>34356</v>
      </c>
      <c r="U295" s="25"/>
      <c r="V295" s="25"/>
      <c r="W295" s="25"/>
      <c r="X295" s="25"/>
      <c r="Y295" s="25"/>
      <c r="Z295" s="25">
        <v>18676</v>
      </c>
      <c r="AA295" s="25"/>
      <c r="AB295" s="25"/>
      <c r="AC295" s="25"/>
      <c r="AD295" s="25"/>
      <c r="AE295" s="25"/>
      <c r="AF295" s="25">
        <v>386</v>
      </c>
      <c r="AG295" s="25"/>
      <c r="AH295" s="25"/>
      <c r="AI295" s="25"/>
      <c r="AJ295" s="25"/>
      <c r="AK295" s="25"/>
      <c r="AL295" s="25">
        <v>36135</v>
      </c>
      <c r="AM295" s="25"/>
      <c r="AN295" s="25"/>
      <c r="AO295" s="25"/>
      <c r="AP295" s="25"/>
      <c r="AQ295" s="25"/>
      <c r="AR295" s="25">
        <v>15100</v>
      </c>
      <c r="AS295" s="25"/>
      <c r="AT295" s="25"/>
      <c r="AU295" s="25"/>
      <c r="AV295" s="25"/>
      <c r="AW295" s="25"/>
      <c r="AX295" s="25">
        <v>28214</v>
      </c>
      <c r="AY295" s="25"/>
      <c r="AZ295" s="25"/>
      <c r="BA295" s="25"/>
      <c r="BB295" s="25"/>
      <c r="BC295" s="25"/>
      <c r="BD295" s="25">
        <v>0</v>
      </c>
      <c r="BE295" s="25"/>
      <c r="BF295" s="25"/>
      <c r="BG295" s="25"/>
      <c r="BH295" s="25"/>
      <c r="BI295" s="25"/>
      <c r="BJ295" s="25">
        <v>407</v>
      </c>
      <c r="BK295" s="25"/>
      <c r="BL295" s="25"/>
      <c r="BM295" s="25"/>
      <c r="BN295" s="25"/>
      <c r="BO295" s="25"/>
      <c r="BP295" s="25">
        <v>17423</v>
      </c>
      <c r="BQ295" s="25"/>
      <c r="BR295" s="25"/>
      <c r="BS295" s="25"/>
      <c r="BT295" s="25"/>
      <c r="BU295" s="25"/>
      <c r="BV295" s="25">
        <v>23734</v>
      </c>
      <c r="BW295" s="25"/>
      <c r="BX295" s="25"/>
      <c r="BY295" s="25"/>
      <c r="BZ295" s="25"/>
      <c r="CA295" s="25"/>
      <c r="CB295" s="25">
        <v>0</v>
      </c>
      <c r="CC295" s="25"/>
      <c r="CD295" s="25"/>
      <c r="CE295" s="25"/>
      <c r="CF295" s="25"/>
      <c r="CG295" s="25"/>
      <c r="CH295" s="25">
        <v>6209</v>
      </c>
      <c r="CI295" s="25"/>
      <c r="CJ295" s="25"/>
      <c r="CK295" s="25"/>
      <c r="CL295" s="25"/>
      <c r="CM295" s="25"/>
      <c r="CN295" s="25">
        <v>2081</v>
      </c>
      <c r="CO295" s="25"/>
      <c r="CP295" s="25"/>
      <c r="CQ295" s="25"/>
      <c r="CR295" s="25"/>
      <c r="CS295" s="25"/>
      <c r="CT295" s="25">
        <v>252785</v>
      </c>
      <c r="CU295" s="25"/>
      <c r="CV295" s="25"/>
      <c r="CW295" s="25"/>
      <c r="CX295" s="25"/>
      <c r="CY295" s="25"/>
    </row>
    <row r="296" spans="2:103">
      <c r="B296" s="13" t="s">
        <v>1166</v>
      </c>
      <c r="C296" s="13"/>
      <c r="D296" s="13"/>
      <c r="E296" s="13"/>
      <c r="F296" s="13"/>
      <c r="G296" s="13"/>
      <c r="H296" s="13"/>
      <c r="I296" s="13"/>
      <c r="J296" s="13"/>
      <c r="K296" s="13"/>
      <c r="L296" s="13"/>
      <c r="M296" s="13"/>
      <c r="N296" s="25">
        <v>64105</v>
      </c>
      <c r="O296" s="25"/>
      <c r="P296" s="25"/>
      <c r="Q296" s="25"/>
      <c r="R296" s="25"/>
      <c r="S296" s="25"/>
      <c r="T296" s="25">
        <v>42788</v>
      </c>
      <c r="U296" s="25"/>
      <c r="V296" s="25"/>
      <c r="W296" s="25"/>
      <c r="X296" s="25"/>
      <c r="Y296" s="25"/>
      <c r="Z296" s="25">
        <v>25839</v>
      </c>
      <c r="AA296" s="25"/>
      <c r="AB296" s="25"/>
      <c r="AC296" s="25"/>
      <c r="AD296" s="25"/>
      <c r="AE296" s="25"/>
      <c r="AF296" s="25">
        <v>353</v>
      </c>
      <c r="AG296" s="25"/>
      <c r="AH296" s="25"/>
      <c r="AI296" s="25"/>
      <c r="AJ296" s="25"/>
      <c r="AK296" s="25"/>
      <c r="AL296" s="25">
        <v>33921</v>
      </c>
      <c r="AM296" s="25"/>
      <c r="AN296" s="25"/>
      <c r="AO296" s="25"/>
      <c r="AP296" s="25"/>
      <c r="AQ296" s="25"/>
      <c r="AR296" s="25">
        <v>15588</v>
      </c>
      <c r="AS296" s="25"/>
      <c r="AT296" s="25"/>
      <c r="AU296" s="25"/>
      <c r="AV296" s="25"/>
      <c r="AW296" s="25"/>
      <c r="AX296" s="25">
        <v>30396</v>
      </c>
      <c r="AY296" s="25"/>
      <c r="AZ296" s="25"/>
      <c r="BA296" s="25"/>
      <c r="BB296" s="25"/>
      <c r="BC296" s="25"/>
      <c r="BD296" s="25">
        <v>591</v>
      </c>
      <c r="BE296" s="25"/>
      <c r="BF296" s="25"/>
      <c r="BG296" s="25"/>
      <c r="BH296" s="25"/>
      <c r="BI296" s="25"/>
      <c r="BJ296" s="25">
        <v>383</v>
      </c>
      <c r="BK296" s="25"/>
      <c r="BL296" s="25"/>
      <c r="BM296" s="25"/>
      <c r="BN296" s="25"/>
      <c r="BO296" s="25"/>
      <c r="BP296" s="25">
        <v>14652</v>
      </c>
      <c r="BQ296" s="25"/>
      <c r="BR296" s="25"/>
      <c r="BS296" s="25"/>
      <c r="BT296" s="25"/>
      <c r="BU296" s="25"/>
      <c r="BV296" s="25">
        <v>18739</v>
      </c>
      <c r="BW296" s="25"/>
      <c r="BX296" s="25"/>
      <c r="BY296" s="25"/>
      <c r="BZ296" s="25"/>
      <c r="CA296" s="25"/>
      <c r="CB296" s="25">
        <v>0</v>
      </c>
      <c r="CC296" s="25"/>
      <c r="CD296" s="25"/>
      <c r="CE296" s="25"/>
      <c r="CF296" s="25"/>
      <c r="CG296" s="25"/>
      <c r="CH296" s="25">
        <v>7524</v>
      </c>
      <c r="CI296" s="25"/>
      <c r="CJ296" s="25"/>
      <c r="CK296" s="25"/>
      <c r="CL296" s="25"/>
      <c r="CM296" s="25"/>
      <c r="CN296" s="25">
        <v>1827</v>
      </c>
      <c r="CO296" s="25"/>
      <c r="CP296" s="25"/>
      <c r="CQ296" s="25"/>
      <c r="CR296" s="25"/>
      <c r="CS296" s="25"/>
      <c r="CT296" s="25">
        <v>271805</v>
      </c>
      <c r="CU296" s="25"/>
      <c r="CV296" s="25"/>
      <c r="CW296" s="25"/>
      <c r="CX296" s="25"/>
      <c r="CY296" s="25"/>
    </row>
    <row r="297" spans="2:103">
      <c r="B297" s="13" t="s">
        <v>1168</v>
      </c>
      <c r="C297" s="13"/>
      <c r="D297" s="13"/>
      <c r="E297" s="13"/>
      <c r="F297" s="13"/>
      <c r="G297" s="13"/>
      <c r="H297" s="13"/>
      <c r="I297" s="13"/>
      <c r="J297" s="13"/>
      <c r="K297" s="13"/>
      <c r="L297" s="13"/>
      <c r="M297" s="13"/>
      <c r="N297" s="25">
        <v>75034</v>
      </c>
      <c r="O297" s="25"/>
      <c r="P297" s="25"/>
      <c r="Q297" s="25"/>
      <c r="R297" s="25"/>
      <c r="S297" s="25"/>
      <c r="T297" s="25">
        <v>42163</v>
      </c>
      <c r="U297" s="25"/>
      <c r="V297" s="25"/>
      <c r="W297" s="25"/>
      <c r="X297" s="25"/>
      <c r="Y297" s="25"/>
      <c r="Z297" s="25">
        <v>25193</v>
      </c>
      <c r="AA297" s="25"/>
      <c r="AB297" s="25"/>
      <c r="AC297" s="25"/>
      <c r="AD297" s="25"/>
      <c r="AE297" s="25"/>
      <c r="AF297" s="25">
        <v>323</v>
      </c>
      <c r="AG297" s="25"/>
      <c r="AH297" s="25"/>
      <c r="AI297" s="25"/>
      <c r="AJ297" s="25"/>
      <c r="AK297" s="25"/>
      <c r="AL297" s="25">
        <v>39408</v>
      </c>
      <c r="AM297" s="25"/>
      <c r="AN297" s="25"/>
      <c r="AO297" s="25"/>
      <c r="AP297" s="25"/>
      <c r="AQ297" s="25"/>
      <c r="AR297" s="25">
        <v>16424</v>
      </c>
      <c r="AS297" s="25"/>
      <c r="AT297" s="25"/>
      <c r="AU297" s="25"/>
      <c r="AV297" s="25"/>
      <c r="AW297" s="25"/>
      <c r="AX297" s="25">
        <v>28804</v>
      </c>
      <c r="AY297" s="25"/>
      <c r="AZ297" s="25"/>
      <c r="BA297" s="25"/>
      <c r="BB297" s="25"/>
      <c r="BC297" s="25"/>
      <c r="BD297" s="25">
        <v>3126</v>
      </c>
      <c r="BE297" s="25"/>
      <c r="BF297" s="25"/>
      <c r="BG297" s="25"/>
      <c r="BH297" s="25"/>
      <c r="BI297" s="25"/>
      <c r="BJ297" s="25">
        <v>360</v>
      </c>
      <c r="BK297" s="25"/>
      <c r="BL297" s="25"/>
      <c r="BM297" s="25"/>
      <c r="BN297" s="25"/>
      <c r="BO297" s="25"/>
      <c r="BP297" s="25">
        <v>16324</v>
      </c>
      <c r="BQ297" s="25"/>
      <c r="BR297" s="25"/>
      <c r="BS297" s="25"/>
      <c r="BT297" s="25"/>
      <c r="BU297" s="25"/>
      <c r="BV297" s="25">
        <v>20069</v>
      </c>
      <c r="BW297" s="25"/>
      <c r="BX297" s="25"/>
      <c r="BY297" s="25"/>
      <c r="BZ297" s="25"/>
      <c r="CA297" s="25"/>
      <c r="CB297" s="25">
        <v>0</v>
      </c>
      <c r="CC297" s="25"/>
      <c r="CD297" s="25"/>
      <c r="CE297" s="25"/>
      <c r="CF297" s="25"/>
      <c r="CG297" s="25"/>
      <c r="CH297" s="25">
        <v>6452</v>
      </c>
      <c r="CI297" s="25"/>
      <c r="CJ297" s="25"/>
      <c r="CK297" s="25"/>
      <c r="CL297" s="25"/>
      <c r="CM297" s="25"/>
      <c r="CN297" s="25">
        <v>1181</v>
      </c>
      <c r="CO297" s="25"/>
      <c r="CP297" s="25"/>
      <c r="CQ297" s="25"/>
      <c r="CR297" s="25"/>
      <c r="CS297" s="25"/>
      <c r="CT297" s="25">
        <v>288502</v>
      </c>
      <c r="CU297" s="25"/>
      <c r="CV297" s="25"/>
      <c r="CW297" s="25"/>
      <c r="CX297" s="25"/>
      <c r="CY297" s="25"/>
    </row>
    <row r="298" spans="2:103">
      <c r="B298" s="13" t="s">
        <v>1170</v>
      </c>
      <c r="C298" s="13"/>
      <c r="D298" s="13"/>
      <c r="E298" s="13"/>
      <c r="F298" s="13"/>
      <c r="G298" s="13"/>
      <c r="H298" s="13"/>
      <c r="I298" s="13"/>
      <c r="J298" s="13"/>
      <c r="K298" s="13"/>
      <c r="L298" s="13"/>
      <c r="M298" s="13"/>
      <c r="N298" s="25">
        <v>76635</v>
      </c>
      <c r="O298" s="25"/>
      <c r="P298" s="25"/>
      <c r="Q298" s="25"/>
      <c r="R298" s="25"/>
      <c r="S298" s="25"/>
      <c r="T298" s="25">
        <v>46260</v>
      </c>
      <c r="U298" s="25"/>
      <c r="V298" s="25"/>
      <c r="W298" s="25"/>
      <c r="X298" s="25"/>
      <c r="Y298" s="25"/>
      <c r="Z298" s="25">
        <v>30357</v>
      </c>
      <c r="AA298" s="25"/>
      <c r="AB298" s="25"/>
      <c r="AC298" s="25"/>
      <c r="AD298" s="25"/>
      <c r="AE298" s="25"/>
      <c r="AF298" s="25">
        <v>296</v>
      </c>
      <c r="AG298" s="25"/>
      <c r="AH298" s="25"/>
      <c r="AI298" s="25"/>
      <c r="AJ298" s="25"/>
      <c r="AK298" s="25"/>
      <c r="AL298" s="25">
        <v>38965</v>
      </c>
      <c r="AM298" s="25"/>
      <c r="AN298" s="25"/>
      <c r="AO298" s="25"/>
      <c r="AP298" s="25"/>
      <c r="AQ298" s="25"/>
      <c r="AR298" s="25">
        <v>15785</v>
      </c>
      <c r="AS298" s="25"/>
      <c r="AT298" s="25"/>
      <c r="AU298" s="25"/>
      <c r="AV298" s="25"/>
      <c r="AW298" s="25"/>
      <c r="AX298" s="25">
        <v>29779</v>
      </c>
      <c r="AY298" s="25"/>
      <c r="AZ298" s="25"/>
      <c r="BA298" s="25"/>
      <c r="BB298" s="25"/>
      <c r="BC298" s="25"/>
      <c r="BD298" s="25">
        <v>1788</v>
      </c>
      <c r="BE298" s="25"/>
      <c r="BF298" s="25"/>
      <c r="BG298" s="25"/>
      <c r="BH298" s="25"/>
      <c r="BI298" s="25"/>
      <c r="BJ298" s="25">
        <v>339</v>
      </c>
      <c r="BK298" s="25"/>
      <c r="BL298" s="25"/>
      <c r="BM298" s="25"/>
      <c r="BN298" s="25"/>
      <c r="BO298" s="25"/>
      <c r="BP298" s="25">
        <v>14782</v>
      </c>
      <c r="BQ298" s="25"/>
      <c r="BR298" s="25"/>
      <c r="BS298" s="25"/>
      <c r="BT298" s="25"/>
      <c r="BU298" s="25"/>
      <c r="BV298" s="25">
        <v>19449</v>
      </c>
      <c r="BW298" s="25"/>
      <c r="BX298" s="25"/>
      <c r="BY298" s="25"/>
      <c r="BZ298" s="25"/>
      <c r="CA298" s="25"/>
      <c r="CB298" s="25">
        <v>0</v>
      </c>
      <c r="CC298" s="25"/>
      <c r="CD298" s="25"/>
      <c r="CE298" s="25"/>
      <c r="CF298" s="25"/>
      <c r="CG298" s="25"/>
      <c r="CH298" s="25">
        <v>5008</v>
      </c>
      <c r="CI298" s="25"/>
      <c r="CJ298" s="25"/>
      <c r="CK298" s="25"/>
      <c r="CL298" s="25"/>
      <c r="CM298" s="25"/>
      <c r="CN298" s="25">
        <v>1081</v>
      </c>
      <c r="CO298" s="25"/>
      <c r="CP298" s="25"/>
      <c r="CQ298" s="25"/>
      <c r="CR298" s="25"/>
      <c r="CS298" s="25"/>
      <c r="CT298" s="25">
        <v>293811</v>
      </c>
      <c r="CU298" s="25"/>
      <c r="CV298" s="25"/>
      <c r="CW298" s="25"/>
      <c r="CX298" s="25"/>
      <c r="CY298" s="25"/>
    </row>
    <row r="299" spans="2:103">
      <c r="B299" s="13" t="s">
        <v>1172</v>
      </c>
      <c r="C299" s="13"/>
      <c r="D299" s="13"/>
      <c r="E299" s="13"/>
      <c r="F299" s="13"/>
      <c r="G299" s="13"/>
      <c r="H299" s="13"/>
      <c r="I299" s="13"/>
      <c r="J299" s="13"/>
      <c r="K299" s="13"/>
      <c r="L299" s="13"/>
      <c r="M299" s="13"/>
      <c r="N299" s="25">
        <v>81876</v>
      </c>
      <c r="O299" s="25"/>
      <c r="P299" s="25"/>
      <c r="Q299" s="25"/>
      <c r="R299" s="25"/>
      <c r="S299" s="25"/>
      <c r="T299" s="25">
        <v>44363</v>
      </c>
      <c r="U299" s="25"/>
      <c r="V299" s="25"/>
      <c r="W299" s="25"/>
      <c r="X299" s="25"/>
      <c r="Y299" s="25"/>
      <c r="Z299" s="25">
        <v>32992</v>
      </c>
      <c r="AA299" s="25"/>
      <c r="AB299" s="25"/>
      <c r="AC299" s="25"/>
      <c r="AD299" s="25"/>
      <c r="AE299" s="25"/>
      <c r="AF299" s="25">
        <v>275</v>
      </c>
      <c r="AG299" s="25"/>
      <c r="AH299" s="25"/>
      <c r="AI299" s="25"/>
      <c r="AJ299" s="25"/>
      <c r="AK299" s="25"/>
      <c r="AL299" s="25">
        <v>40106</v>
      </c>
      <c r="AM299" s="25"/>
      <c r="AN299" s="25"/>
      <c r="AO299" s="25"/>
      <c r="AP299" s="25"/>
      <c r="AQ299" s="25"/>
      <c r="AR299" s="25">
        <v>16916</v>
      </c>
      <c r="AS299" s="25"/>
      <c r="AT299" s="25"/>
      <c r="AU299" s="25"/>
      <c r="AV299" s="25"/>
      <c r="AW299" s="25"/>
      <c r="AX299" s="25">
        <v>29087</v>
      </c>
      <c r="AY299" s="25"/>
      <c r="AZ299" s="25"/>
      <c r="BA299" s="25"/>
      <c r="BB299" s="25"/>
      <c r="BC299" s="25"/>
      <c r="BD299" s="25">
        <v>1049</v>
      </c>
      <c r="BE299" s="25"/>
      <c r="BF299" s="25"/>
      <c r="BG299" s="25"/>
      <c r="BH299" s="25"/>
      <c r="BI299" s="25"/>
      <c r="BJ299" s="25">
        <v>331</v>
      </c>
      <c r="BK299" s="25"/>
      <c r="BL299" s="25"/>
      <c r="BM299" s="25"/>
      <c r="BN299" s="25"/>
      <c r="BO299" s="25"/>
      <c r="BP299" s="25">
        <v>11747</v>
      </c>
      <c r="BQ299" s="25"/>
      <c r="BR299" s="25"/>
      <c r="BS299" s="25"/>
      <c r="BT299" s="25"/>
      <c r="BU299" s="25"/>
      <c r="BV299" s="25">
        <v>21487</v>
      </c>
      <c r="BW299" s="25"/>
      <c r="BX299" s="25"/>
      <c r="BY299" s="25"/>
      <c r="BZ299" s="25"/>
      <c r="CA299" s="25"/>
      <c r="CB299" s="25">
        <v>2240</v>
      </c>
      <c r="CC299" s="25"/>
      <c r="CD299" s="25"/>
      <c r="CE299" s="25"/>
      <c r="CF299" s="25"/>
      <c r="CG299" s="25"/>
      <c r="CH299" s="25">
        <v>3996</v>
      </c>
      <c r="CI299" s="25"/>
      <c r="CJ299" s="25"/>
      <c r="CK299" s="25"/>
      <c r="CL299" s="25"/>
      <c r="CM299" s="25"/>
      <c r="CN299" s="25">
        <v>961</v>
      </c>
      <c r="CO299" s="25"/>
      <c r="CP299" s="25"/>
      <c r="CQ299" s="25"/>
      <c r="CR299" s="25"/>
      <c r="CS299" s="25"/>
      <c r="CT299" s="25">
        <v>300468</v>
      </c>
      <c r="CU299" s="25"/>
      <c r="CV299" s="25"/>
      <c r="CW299" s="25"/>
      <c r="CX299" s="25"/>
      <c r="CY299" s="25"/>
    </row>
    <row r="300" spans="2:103">
      <c r="B300" s="13" t="s">
        <v>1174</v>
      </c>
      <c r="C300" s="13"/>
      <c r="D300" s="13"/>
      <c r="E300" s="13"/>
      <c r="F300" s="13"/>
      <c r="G300" s="13"/>
      <c r="H300" s="13"/>
      <c r="I300" s="13"/>
      <c r="J300" s="13"/>
      <c r="K300" s="13"/>
      <c r="L300" s="13"/>
      <c r="M300" s="13"/>
      <c r="N300" s="25">
        <v>90679</v>
      </c>
      <c r="O300" s="25"/>
      <c r="P300" s="25"/>
      <c r="Q300" s="25"/>
      <c r="R300" s="25"/>
      <c r="S300" s="25"/>
      <c r="T300" s="25">
        <v>45191</v>
      </c>
      <c r="U300" s="25"/>
      <c r="V300" s="25"/>
      <c r="W300" s="25"/>
      <c r="X300" s="25"/>
      <c r="Y300" s="25"/>
      <c r="Z300" s="25">
        <v>35586</v>
      </c>
      <c r="AA300" s="25"/>
      <c r="AB300" s="25"/>
      <c r="AC300" s="25"/>
      <c r="AD300" s="25"/>
      <c r="AE300" s="25"/>
      <c r="AF300" s="25">
        <v>1494</v>
      </c>
      <c r="AG300" s="25"/>
      <c r="AH300" s="25"/>
      <c r="AI300" s="25"/>
      <c r="AJ300" s="25"/>
      <c r="AK300" s="25"/>
      <c r="AL300" s="25">
        <v>38795</v>
      </c>
      <c r="AM300" s="25"/>
      <c r="AN300" s="25"/>
      <c r="AO300" s="25"/>
      <c r="AP300" s="25"/>
      <c r="AQ300" s="25"/>
      <c r="AR300" s="25">
        <v>15474</v>
      </c>
      <c r="AS300" s="25"/>
      <c r="AT300" s="25"/>
      <c r="AU300" s="25"/>
      <c r="AV300" s="25"/>
      <c r="AW300" s="25"/>
      <c r="AX300" s="25">
        <v>31049</v>
      </c>
      <c r="AY300" s="25"/>
      <c r="AZ300" s="25"/>
      <c r="BA300" s="25"/>
      <c r="BB300" s="25"/>
      <c r="BC300" s="25"/>
      <c r="BD300" s="25">
        <v>724</v>
      </c>
      <c r="BE300" s="25"/>
      <c r="BF300" s="25"/>
      <c r="BG300" s="25"/>
      <c r="BH300" s="25"/>
      <c r="BI300" s="25"/>
      <c r="BJ300" s="25">
        <v>282</v>
      </c>
      <c r="BK300" s="25"/>
      <c r="BL300" s="25"/>
      <c r="BM300" s="25"/>
      <c r="BN300" s="25"/>
      <c r="BO300" s="25"/>
      <c r="BP300" s="25">
        <v>7266</v>
      </c>
      <c r="BQ300" s="25"/>
      <c r="BR300" s="25"/>
      <c r="BS300" s="25"/>
      <c r="BT300" s="25"/>
      <c r="BU300" s="25"/>
      <c r="BV300" s="25">
        <v>18984</v>
      </c>
      <c r="BW300" s="25"/>
      <c r="BX300" s="25"/>
      <c r="BY300" s="25"/>
      <c r="BZ300" s="25"/>
      <c r="CA300" s="25"/>
      <c r="CB300" s="25">
        <v>3271</v>
      </c>
      <c r="CC300" s="25"/>
      <c r="CD300" s="25"/>
      <c r="CE300" s="25"/>
      <c r="CF300" s="25"/>
      <c r="CG300" s="25"/>
      <c r="CH300" s="25">
        <v>2575</v>
      </c>
      <c r="CI300" s="25"/>
      <c r="CJ300" s="25"/>
      <c r="CK300" s="25"/>
      <c r="CL300" s="25"/>
      <c r="CM300" s="25"/>
      <c r="CN300" s="25">
        <v>832</v>
      </c>
      <c r="CO300" s="25"/>
      <c r="CP300" s="25"/>
      <c r="CQ300" s="25"/>
      <c r="CR300" s="25"/>
      <c r="CS300" s="25"/>
      <c r="CT300" s="25">
        <v>304410</v>
      </c>
      <c r="CU300" s="25"/>
      <c r="CV300" s="25"/>
      <c r="CW300" s="25"/>
      <c r="CX300" s="25"/>
      <c r="CY300" s="25"/>
    </row>
    <row r="301" spans="2:103">
      <c r="B301" s="13" t="s">
        <v>1176</v>
      </c>
      <c r="C301" s="13"/>
      <c r="D301" s="13"/>
      <c r="E301" s="13"/>
      <c r="F301" s="13"/>
      <c r="G301" s="13"/>
      <c r="H301" s="13"/>
      <c r="I301" s="13"/>
      <c r="J301" s="13"/>
      <c r="K301" s="13"/>
      <c r="L301" s="13"/>
      <c r="M301" s="13"/>
      <c r="N301" s="25">
        <v>88489</v>
      </c>
      <c r="O301" s="25"/>
      <c r="P301" s="25"/>
      <c r="Q301" s="25"/>
      <c r="R301" s="25"/>
      <c r="S301" s="25"/>
      <c r="T301" s="25">
        <v>57479</v>
      </c>
      <c r="U301" s="25"/>
      <c r="V301" s="25"/>
      <c r="W301" s="25"/>
      <c r="X301" s="25"/>
      <c r="Y301" s="25"/>
      <c r="Z301" s="25">
        <v>34428</v>
      </c>
      <c r="AA301" s="25"/>
      <c r="AB301" s="25"/>
      <c r="AC301" s="25"/>
      <c r="AD301" s="25"/>
      <c r="AE301" s="25"/>
      <c r="AF301" s="25">
        <v>1882</v>
      </c>
      <c r="AG301" s="25"/>
      <c r="AH301" s="25"/>
      <c r="AI301" s="25"/>
      <c r="AJ301" s="25"/>
      <c r="AK301" s="25"/>
      <c r="AL301" s="25">
        <v>36887</v>
      </c>
      <c r="AM301" s="25"/>
      <c r="AN301" s="25"/>
      <c r="AO301" s="25"/>
      <c r="AP301" s="25"/>
      <c r="AQ301" s="25"/>
      <c r="AR301" s="25">
        <v>17174</v>
      </c>
      <c r="AS301" s="25"/>
      <c r="AT301" s="25"/>
      <c r="AU301" s="25"/>
      <c r="AV301" s="25"/>
      <c r="AW301" s="25"/>
      <c r="AX301" s="25">
        <v>29683</v>
      </c>
      <c r="AY301" s="25"/>
      <c r="AZ301" s="25"/>
      <c r="BA301" s="25"/>
      <c r="BB301" s="25"/>
      <c r="BC301" s="25"/>
      <c r="BD301" s="25">
        <v>5440</v>
      </c>
      <c r="BE301" s="25"/>
      <c r="BF301" s="25"/>
      <c r="BG301" s="25"/>
      <c r="BH301" s="25"/>
      <c r="BI301" s="25"/>
      <c r="BJ301" s="25">
        <v>271</v>
      </c>
      <c r="BK301" s="25"/>
      <c r="BL301" s="25"/>
      <c r="BM301" s="25"/>
      <c r="BN301" s="25"/>
      <c r="BO301" s="25"/>
      <c r="BP301" s="25">
        <v>8915</v>
      </c>
      <c r="BQ301" s="25"/>
      <c r="BR301" s="25"/>
      <c r="BS301" s="25"/>
      <c r="BT301" s="25"/>
      <c r="BU301" s="25"/>
      <c r="BV301" s="25">
        <v>14547</v>
      </c>
      <c r="BW301" s="25"/>
      <c r="BX301" s="25"/>
      <c r="BY301" s="25"/>
      <c r="BZ301" s="25"/>
      <c r="CA301" s="25"/>
      <c r="CB301" s="25">
        <v>2475</v>
      </c>
      <c r="CC301" s="25"/>
      <c r="CD301" s="25"/>
      <c r="CE301" s="25"/>
      <c r="CF301" s="25"/>
      <c r="CG301" s="25"/>
      <c r="CH301" s="25">
        <v>7253</v>
      </c>
      <c r="CI301" s="25"/>
      <c r="CJ301" s="25"/>
      <c r="CK301" s="25"/>
      <c r="CL301" s="25"/>
      <c r="CM301" s="25"/>
      <c r="CN301" s="25">
        <v>724</v>
      </c>
      <c r="CO301" s="25"/>
      <c r="CP301" s="25"/>
      <c r="CQ301" s="25"/>
      <c r="CR301" s="25"/>
      <c r="CS301" s="25"/>
      <c r="CT301" s="25">
        <v>317009</v>
      </c>
      <c r="CU301" s="25"/>
      <c r="CV301" s="25"/>
      <c r="CW301" s="25"/>
      <c r="CX301" s="25"/>
      <c r="CY301" s="25"/>
    </row>
    <row r="302" spans="2:103">
      <c r="B302" s="13" t="s">
        <v>1177</v>
      </c>
      <c r="C302" s="13"/>
      <c r="D302" s="13"/>
      <c r="E302" s="13"/>
      <c r="F302" s="13"/>
      <c r="G302" s="13"/>
      <c r="H302" s="13"/>
      <c r="I302" s="13"/>
      <c r="J302" s="13"/>
      <c r="K302" s="13"/>
      <c r="L302" s="13"/>
      <c r="M302" s="13"/>
      <c r="N302" s="25">
        <v>90648</v>
      </c>
      <c r="O302" s="25"/>
      <c r="P302" s="25"/>
      <c r="Q302" s="25"/>
      <c r="R302" s="25"/>
      <c r="S302" s="25"/>
      <c r="T302" s="25">
        <v>58543</v>
      </c>
      <c r="U302" s="25"/>
      <c r="V302" s="25"/>
      <c r="W302" s="25"/>
      <c r="X302" s="25"/>
      <c r="Y302" s="25"/>
      <c r="Z302" s="25">
        <v>37919</v>
      </c>
      <c r="AA302" s="25"/>
      <c r="AB302" s="25"/>
      <c r="AC302" s="25"/>
      <c r="AD302" s="25"/>
      <c r="AE302" s="25"/>
      <c r="AF302" s="25">
        <v>1792</v>
      </c>
      <c r="AG302" s="25"/>
      <c r="AH302" s="25"/>
      <c r="AI302" s="25"/>
      <c r="AJ302" s="25"/>
      <c r="AK302" s="25"/>
      <c r="AL302" s="25">
        <v>30446</v>
      </c>
      <c r="AM302" s="25"/>
      <c r="AN302" s="25"/>
      <c r="AO302" s="25"/>
      <c r="AP302" s="25"/>
      <c r="AQ302" s="25"/>
      <c r="AR302" s="25">
        <v>22094</v>
      </c>
      <c r="AS302" s="25"/>
      <c r="AT302" s="25"/>
      <c r="AU302" s="25"/>
      <c r="AV302" s="25"/>
      <c r="AW302" s="25"/>
      <c r="AX302" s="25">
        <v>31438</v>
      </c>
      <c r="AY302" s="25"/>
      <c r="AZ302" s="25"/>
      <c r="BA302" s="25"/>
      <c r="BB302" s="25"/>
      <c r="BC302" s="25"/>
      <c r="BD302" s="25">
        <v>5555</v>
      </c>
      <c r="BE302" s="25"/>
      <c r="BF302" s="25"/>
      <c r="BG302" s="25"/>
      <c r="BH302" s="25"/>
      <c r="BI302" s="25"/>
      <c r="BJ302" s="25">
        <v>304</v>
      </c>
      <c r="BK302" s="25"/>
      <c r="BL302" s="25"/>
      <c r="BM302" s="25"/>
      <c r="BN302" s="25"/>
      <c r="BO302" s="25"/>
      <c r="BP302" s="25">
        <v>10975</v>
      </c>
      <c r="BQ302" s="25"/>
      <c r="BR302" s="25"/>
      <c r="BS302" s="25"/>
      <c r="BT302" s="25"/>
      <c r="BU302" s="25"/>
      <c r="BV302" s="25">
        <v>13549</v>
      </c>
      <c r="BW302" s="25"/>
      <c r="BX302" s="25"/>
      <c r="BY302" s="25"/>
      <c r="BZ302" s="25"/>
      <c r="CA302" s="25"/>
      <c r="CB302" s="25">
        <v>1892</v>
      </c>
      <c r="CC302" s="25"/>
      <c r="CD302" s="25"/>
      <c r="CE302" s="25"/>
      <c r="CF302" s="25"/>
      <c r="CG302" s="25"/>
      <c r="CH302" s="25">
        <v>4847</v>
      </c>
      <c r="CI302" s="25"/>
      <c r="CJ302" s="25"/>
      <c r="CK302" s="25"/>
      <c r="CL302" s="25"/>
      <c r="CM302" s="25"/>
      <c r="CN302" s="25">
        <v>372</v>
      </c>
      <c r="CO302" s="25"/>
      <c r="CP302" s="25"/>
      <c r="CQ302" s="25"/>
      <c r="CR302" s="25"/>
      <c r="CS302" s="25"/>
      <c r="CT302" s="25">
        <v>320982</v>
      </c>
      <c r="CU302" s="25"/>
      <c r="CV302" s="25"/>
      <c r="CW302" s="25"/>
      <c r="CX302" s="25"/>
      <c r="CY302" s="25"/>
    </row>
    <row r="303" spans="2:103">
      <c r="B303" s="13" t="s">
        <v>1175</v>
      </c>
      <c r="C303" s="13"/>
      <c r="D303" s="13"/>
      <c r="E303" s="13"/>
      <c r="F303" s="13"/>
      <c r="G303" s="13"/>
      <c r="H303" s="13"/>
      <c r="I303" s="13"/>
      <c r="J303" s="13"/>
      <c r="K303" s="13"/>
      <c r="L303" s="13"/>
      <c r="M303" s="13"/>
      <c r="N303" s="25">
        <v>86207</v>
      </c>
      <c r="O303" s="25"/>
      <c r="P303" s="25"/>
      <c r="Q303" s="25"/>
      <c r="R303" s="25"/>
      <c r="S303" s="25"/>
      <c r="T303" s="25">
        <v>62903</v>
      </c>
      <c r="U303" s="25"/>
      <c r="V303" s="25"/>
      <c r="W303" s="25"/>
      <c r="X303" s="25"/>
      <c r="Y303" s="25"/>
      <c r="Z303" s="25">
        <v>39912</v>
      </c>
      <c r="AA303" s="25"/>
      <c r="AB303" s="25"/>
      <c r="AC303" s="25"/>
      <c r="AD303" s="25"/>
      <c r="AE303" s="25"/>
      <c r="AF303" s="25">
        <v>1721</v>
      </c>
      <c r="AG303" s="25"/>
      <c r="AH303" s="25"/>
      <c r="AI303" s="25"/>
      <c r="AJ303" s="25"/>
      <c r="AK303" s="25"/>
      <c r="AL303" s="25">
        <v>34755</v>
      </c>
      <c r="AM303" s="25"/>
      <c r="AN303" s="25"/>
      <c r="AO303" s="25"/>
      <c r="AP303" s="25"/>
      <c r="AQ303" s="25"/>
      <c r="AR303" s="25">
        <v>18302</v>
      </c>
      <c r="AS303" s="25"/>
      <c r="AT303" s="25"/>
      <c r="AU303" s="25"/>
      <c r="AV303" s="25"/>
      <c r="AW303" s="25"/>
      <c r="AX303" s="25">
        <v>32933</v>
      </c>
      <c r="AY303" s="25"/>
      <c r="AZ303" s="25"/>
      <c r="BA303" s="25"/>
      <c r="BB303" s="25"/>
      <c r="BC303" s="25"/>
      <c r="BD303" s="25">
        <v>3109</v>
      </c>
      <c r="BE303" s="25"/>
      <c r="BF303" s="25"/>
      <c r="BG303" s="25"/>
      <c r="BH303" s="25"/>
      <c r="BI303" s="25"/>
      <c r="BJ303" s="25">
        <v>246</v>
      </c>
      <c r="BK303" s="25"/>
      <c r="BL303" s="25"/>
      <c r="BM303" s="25"/>
      <c r="BN303" s="25"/>
      <c r="BO303" s="25"/>
      <c r="BP303" s="25">
        <v>13296</v>
      </c>
      <c r="BQ303" s="25"/>
      <c r="BR303" s="25"/>
      <c r="BS303" s="25"/>
      <c r="BT303" s="25"/>
      <c r="BU303" s="25"/>
      <c r="BV303" s="25">
        <v>17207</v>
      </c>
      <c r="BW303" s="25"/>
      <c r="BX303" s="25"/>
      <c r="BY303" s="25"/>
      <c r="BZ303" s="25"/>
      <c r="CA303" s="25"/>
      <c r="CB303" s="25">
        <v>1543</v>
      </c>
      <c r="CC303" s="25"/>
      <c r="CD303" s="25"/>
      <c r="CE303" s="25"/>
      <c r="CF303" s="25"/>
      <c r="CG303" s="25"/>
      <c r="CH303" s="25">
        <v>4903</v>
      </c>
      <c r="CI303" s="25"/>
      <c r="CJ303" s="25"/>
      <c r="CK303" s="25"/>
      <c r="CL303" s="25"/>
      <c r="CM303" s="25"/>
      <c r="CN303" s="25">
        <v>19</v>
      </c>
      <c r="CO303" s="25"/>
      <c r="CP303" s="25"/>
      <c r="CQ303" s="25"/>
      <c r="CR303" s="25"/>
      <c r="CS303" s="25"/>
      <c r="CT303" s="25">
        <v>327650</v>
      </c>
      <c r="CU303" s="25"/>
      <c r="CV303" s="25"/>
      <c r="CW303" s="25"/>
      <c r="CX303" s="25"/>
      <c r="CY303" s="25"/>
    </row>
    <row r="304" spans="2:103">
      <c r="B304" s="13" t="s">
        <v>1173</v>
      </c>
      <c r="C304" s="13"/>
      <c r="D304" s="13"/>
      <c r="E304" s="13"/>
      <c r="F304" s="13"/>
      <c r="G304" s="13"/>
      <c r="H304" s="13"/>
      <c r="I304" s="13"/>
      <c r="J304" s="13"/>
      <c r="K304" s="13"/>
      <c r="L304" s="13"/>
      <c r="M304" s="13"/>
      <c r="N304" s="25">
        <v>92682</v>
      </c>
      <c r="O304" s="25"/>
      <c r="P304" s="25"/>
      <c r="Q304" s="25"/>
      <c r="R304" s="25"/>
      <c r="S304" s="25"/>
      <c r="T304" s="25">
        <v>68358</v>
      </c>
      <c r="U304" s="25"/>
      <c r="V304" s="25"/>
      <c r="W304" s="25"/>
      <c r="X304" s="25"/>
      <c r="Y304" s="25"/>
      <c r="Z304" s="25">
        <v>57353</v>
      </c>
      <c r="AA304" s="25"/>
      <c r="AB304" s="25"/>
      <c r="AC304" s="25"/>
      <c r="AD304" s="25"/>
      <c r="AE304" s="25"/>
      <c r="AF304" s="25">
        <v>1364</v>
      </c>
      <c r="AG304" s="25"/>
      <c r="AH304" s="25"/>
      <c r="AI304" s="25"/>
      <c r="AJ304" s="25"/>
      <c r="AK304" s="25"/>
      <c r="AL304" s="25">
        <v>29006</v>
      </c>
      <c r="AM304" s="25"/>
      <c r="AN304" s="25"/>
      <c r="AO304" s="25"/>
      <c r="AP304" s="25"/>
      <c r="AQ304" s="25"/>
      <c r="AR304" s="25">
        <v>18288</v>
      </c>
      <c r="AS304" s="25"/>
      <c r="AT304" s="25"/>
      <c r="AU304" s="25"/>
      <c r="AV304" s="25"/>
      <c r="AW304" s="25"/>
      <c r="AX304" s="25">
        <v>30846</v>
      </c>
      <c r="AY304" s="25"/>
      <c r="AZ304" s="25"/>
      <c r="BA304" s="25"/>
      <c r="BB304" s="25"/>
      <c r="BC304" s="25"/>
      <c r="BD304" s="25">
        <v>6721</v>
      </c>
      <c r="BE304" s="25"/>
      <c r="BF304" s="25"/>
      <c r="BG304" s="25"/>
      <c r="BH304" s="25"/>
      <c r="BI304" s="25"/>
      <c r="BJ304" s="25">
        <v>268</v>
      </c>
      <c r="BK304" s="25"/>
      <c r="BL304" s="25"/>
      <c r="BM304" s="25"/>
      <c r="BN304" s="25"/>
      <c r="BO304" s="25"/>
      <c r="BP304" s="25">
        <v>9307</v>
      </c>
      <c r="BQ304" s="25"/>
      <c r="BR304" s="25"/>
      <c r="BS304" s="25"/>
      <c r="BT304" s="25"/>
      <c r="BU304" s="25"/>
      <c r="BV304" s="25">
        <v>14481</v>
      </c>
      <c r="BW304" s="25"/>
      <c r="BX304" s="25"/>
      <c r="BY304" s="25"/>
      <c r="BZ304" s="25"/>
      <c r="CA304" s="25"/>
      <c r="CB304" s="25">
        <v>1964</v>
      </c>
      <c r="CC304" s="25"/>
      <c r="CD304" s="25"/>
      <c r="CE304" s="25"/>
      <c r="CF304" s="25"/>
      <c r="CG304" s="25"/>
      <c r="CH304" s="25">
        <v>6567</v>
      </c>
      <c r="CI304" s="25"/>
      <c r="CJ304" s="25"/>
      <c r="CK304" s="25"/>
      <c r="CL304" s="25"/>
      <c r="CM304" s="25"/>
      <c r="CN304" s="25">
        <v>21</v>
      </c>
      <c r="CO304" s="25"/>
      <c r="CP304" s="25"/>
      <c r="CQ304" s="25"/>
      <c r="CR304" s="25"/>
      <c r="CS304" s="25"/>
      <c r="CT304" s="25">
        <v>349205</v>
      </c>
      <c r="CU304" s="25"/>
      <c r="CV304" s="25"/>
      <c r="CW304" s="25"/>
      <c r="CX304" s="25"/>
      <c r="CY304" s="25"/>
    </row>
    <row r="305" spans="2:127">
      <c r="B305" s="13" t="s">
        <v>1171</v>
      </c>
      <c r="C305" s="13"/>
      <c r="D305" s="13"/>
      <c r="E305" s="13"/>
      <c r="F305" s="13"/>
      <c r="G305" s="13"/>
      <c r="H305" s="13"/>
      <c r="I305" s="13"/>
      <c r="J305" s="13"/>
      <c r="K305" s="13"/>
      <c r="L305" s="13"/>
      <c r="M305" s="13"/>
      <c r="N305" s="25">
        <v>97178</v>
      </c>
      <c r="O305" s="25"/>
      <c r="P305" s="25"/>
      <c r="Q305" s="25"/>
      <c r="R305" s="25"/>
      <c r="S305" s="25"/>
      <c r="T305" s="25">
        <v>65177</v>
      </c>
      <c r="U305" s="25"/>
      <c r="V305" s="25"/>
      <c r="W305" s="25"/>
      <c r="X305" s="25"/>
      <c r="Y305" s="25"/>
      <c r="Z305" s="25">
        <v>56421</v>
      </c>
      <c r="AA305" s="25"/>
      <c r="AB305" s="25"/>
      <c r="AC305" s="25"/>
      <c r="AD305" s="25"/>
      <c r="AE305" s="25"/>
      <c r="AF305" s="25">
        <v>1207</v>
      </c>
      <c r="AG305" s="25"/>
      <c r="AH305" s="25"/>
      <c r="AI305" s="25"/>
      <c r="AJ305" s="25"/>
      <c r="AK305" s="25"/>
      <c r="AL305" s="25">
        <v>36761</v>
      </c>
      <c r="AM305" s="25"/>
      <c r="AN305" s="25"/>
      <c r="AO305" s="25"/>
      <c r="AP305" s="25"/>
      <c r="AQ305" s="25"/>
      <c r="AR305" s="25">
        <v>19417</v>
      </c>
      <c r="AS305" s="25"/>
      <c r="AT305" s="25"/>
      <c r="AU305" s="25"/>
      <c r="AV305" s="25"/>
      <c r="AW305" s="25"/>
      <c r="AX305" s="25">
        <v>30193</v>
      </c>
      <c r="AY305" s="25"/>
      <c r="AZ305" s="25"/>
      <c r="BA305" s="25"/>
      <c r="BB305" s="25"/>
      <c r="BC305" s="25"/>
      <c r="BD305" s="25">
        <v>9433</v>
      </c>
      <c r="BE305" s="25"/>
      <c r="BF305" s="25"/>
      <c r="BG305" s="25"/>
      <c r="BH305" s="25"/>
      <c r="BI305" s="25"/>
      <c r="BJ305" s="25">
        <v>327</v>
      </c>
      <c r="BK305" s="25"/>
      <c r="BL305" s="25"/>
      <c r="BM305" s="25"/>
      <c r="BN305" s="25"/>
      <c r="BO305" s="25"/>
      <c r="BP305" s="25">
        <v>10210</v>
      </c>
      <c r="BQ305" s="25"/>
      <c r="BR305" s="25"/>
      <c r="BS305" s="25"/>
      <c r="BT305" s="25"/>
      <c r="BU305" s="25"/>
      <c r="BV305" s="25">
        <v>7131</v>
      </c>
      <c r="BW305" s="25"/>
      <c r="BX305" s="25"/>
      <c r="BY305" s="25"/>
      <c r="BZ305" s="25"/>
      <c r="CA305" s="25"/>
      <c r="CB305" s="25">
        <v>4368</v>
      </c>
      <c r="CC305" s="25"/>
      <c r="CD305" s="25"/>
      <c r="CE305" s="25"/>
      <c r="CF305" s="25"/>
      <c r="CG305" s="25"/>
      <c r="CH305" s="25">
        <v>5861</v>
      </c>
      <c r="CI305" s="25"/>
      <c r="CJ305" s="25"/>
      <c r="CK305" s="25"/>
      <c r="CL305" s="25"/>
      <c r="CM305" s="25"/>
      <c r="CN305" s="25">
        <v>8</v>
      </c>
      <c r="CO305" s="25"/>
      <c r="CP305" s="25"/>
      <c r="CQ305" s="25"/>
      <c r="CR305" s="25"/>
      <c r="CS305" s="25"/>
      <c r="CT305" s="25">
        <v>354784</v>
      </c>
      <c r="CU305" s="25"/>
      <c r="CV305" s="25"/>
      <c r="CW305" s="25"/>
      <c r="CX305" s="25"/>
      <c r="CY305" s="25"/>
    </row>
    <row r="306" spans="2:127">
      <c r="B306" s="13" t="s">
        <v>1169</v>
      </c>
      <c r="C306" s="13"/>
      <c r="D306" s="13"/>
      <c r="E306" s="13"/>
      <c r="F306" s="13"/>
      <c r="G306" s="13"/>
      <c r="H306" s="13"/>
      <c r="I306" s="13"/>
      <c r="J306" s="13"/>
      <c r="K306" s="13"/>
      <c r="L306" s="13"/>
      <c r="M306" s="13"/>
      <c r="N306" s="25">
        <v>92581</v>
      </c>
      <c r="O306" s="25"/>
      <c r="P306" s="25"/>
      <c r="Q306" s="25"/>
      <c r="R306" s="25"/>
      <c r="S306" s="25"/>
      <c r="T306" s="25">
        <v>75608</v>
      </c>
      <c r="U306" s="25"/>
      <c r="V306" s="25"/>
      <c r="W306" s="25"/>
      <c r="X306" s="25"/>
      <c r="Y306" s="25"/>
      <c r="Z306" s="25">
        <v>45336</v>
      </c>
      <c r="AA306" s="25"/>
      <c r="AB306" s="25"/>
      <c r="AC306" s="25"/>
      <c r="AD306" s="25"/>
      <c r="AE306" s="25"/>
      <c r="AF306" s="25">
        <v>1121</v>
      </c>
      <c r="AG306" s="25"/>
      <c r="AH306" s="25"/>
      <c r="AI306" s="25"/>
      <c r="AJ306" s="25"/>
      <c r="AK306" s="25"/>
      <c r="AL306" s="25">
        <v>33632</v>
      </c>
      <c r="AM306" s="25"/>
      <c r="AN306" s="25"/>
      <c r="AO306" s="25"/>
      <c r="AP306" s="25"/>
      <c r="AQ306" s="25"/>
      <c r="AR306" s="25">
        <v>31414</v>
      </c>
      <c r="AS306" s="25"/>
      <c r="AT306" s="25"/>
      <c r="AU306" s="25"/>
      <c r="AV306" s="25"/>
      <c r="AW306" s="25"/>
      <c r="AX306" s="25">
        <v>33309</v>
      </c>
      <c r="AY306" s="25"/>
      <c r="AZ306" s="25"/>
      <c r="BA306" s="25"/>
      <c r="BB306" s="25"/>
      <c r="BC306" s="25"/>
      <c r="BD306" s="25">
        <v>12446</v>
      </c>
      <c r="BE306" s="25"/>
      <c r="BF306" s="25"/>
      <c r="BG306" s="25"/>
      <c r="BH306" s="25"/>
      <c r="BI306" s="25"/>
      <c r="BJ306" s="25">
        <v>287</v>
      </c>
      <c r="BK306" s="25"/>
      <c r="BL306" s="25"/>
      <c r="BM306" s="25"/>
      <c r="BN306" s="25"/>
      <c r="BO306" s="25"/>
      <c r="BP306" s="25">
        <v>7889</v>
      </c>
      <c r="BQ306" s="25"/>
      <c r="BR306" s="25"/>
      <c r="BS306" s="25"/>
      <c r="BT306" s="25"/>
      <c r="BU306" s="25"/>
      <c r="BV306" s="25">
        <v>9628</v>
      </c>
      <c r="BW306" s="25"/>
      <c r="BX306" s="25"/>
      <c r="BY306" s="25"/>
      <c r="BZ306" s="25"/>
      <c r="CA306" s="25"/>
      <c r="CB306" s="25">
        <v>3314</v>
      </c>
      <c r="CC306" s="25"/>
      <c r="CD306" s="25"/>
      <c r="CE306" s="25"/>
      <c r="CF306" s="25"/>
      <c r="CG306" s="25"/>
      <c r="CH306" s="25">
        <v>4348</v>
      </c>
      <c r="CI306" s="25"/>
      <c r="CJ306" s="25"/>
      <c r="CK306" s="25"/>
      <c r="CL306" s="25"/>
      <c r="CM306" s="25"/>
      <c r="CN306" s="25">
        <v>0</v>
      </c>
      <c r="CO306" s="25"/>
      <c r="CP306" s="25"/>
      <c r="CQ306" s="25"/>
      <c r="CR306" s="25"/>
      <c r="CS306" s="25"/>
      <c r="CT306" s="25">
        <v>361715</v>
      </c>
      <c r="CU306" s="25"/>
      <c r="CV306" s="25"/>
      <c r="CW306" s="25"/>
      <c r="CX306" s="25"/>
      <c r="CY306" s="25"/>
    </row>
    <row r="307" spans="2:127">
      <c r="B307" s="13" t="s">
        <v>1167</v>
      </c>
      <c r="C307" s="13"/>
      <c r="D307" s="13"/>
      <c r="E307" s="13"/>
      <c r="F307" s="13"/>
      <c r="G307" s="13"/>
      <c r="H307" s="13"/>
      <c r="I307" s="13"/>
      <c r="J307" s="13"/>
      <c r="K307" s="13"/>
      <c r="L307" s="13"/>
      <c r="M307" s="13"/>
      <c r="N307" s="25">
        <v>100269</v>
      </c>
      <c r="O307" s="25"/>
      <c r="P307" s="25"/>
      <c r="Q307" s="25"/>
      <c r="R307" s="25"/>
      <c r="S307" s="25"/>
      <c r="T307" s="25">
        <v>73245</v>
      </c>
      <c r="U307" s="25"/>
      <c r="V307" s="25"/>
      <c r="W307" s="25"/>
      <c r="X307" s="25"/>
      <c r="Y307" s="25"/>
      <c r="Z307" s="25">
        <v>58548</v>
      </c>
      <c r="AA307" s="25"/>
      <c r="AB307" s="25"/>
      <c r="AC307" s="25"/>
      <c r="AD307" s="25"/>
      <c r="AE307" s="25"/>
      <c r="AF307" s="25">
        <v>611</v>
      </c>
      <c r="AG307" s="25"/>
      <c r="AH307" s="25"/>
      <c r="AI307" s="25"/>
      <c r="AJ307" s="25"/>
      <c r="AK307" s="25"/>
      <c r="AL307" s="25">
        <v>29882</v>
      </c>
      <c r="AM307" s="25"/>
      <c r="AN307" s="25"/>
      <c r="AO307" s="25"/>
      <c r="AP307" s="25"/>
      <c r="AQ307" s="25"/>
      <c r="AR307" s="25">
        <v>33865</v>
      </c>
      <c r="AS307" s="25"/>
      <c r="AT307" s="25"/>
      <c r="AU307" s="25"/>
      <c r="AV307" s="25"/>
      <c r="AW307" s="25"/>
      <c r="AX307" s="25">
        <v>33653</v>
      </c>
      <c r="AY307" s="25"/>
      <c r="AZ307" s="25"/>
      <c r="BA307" s="25"/>
      <c r="BB307" s="25"/>
      <c r="BC307" s="25"/>
      <c r="BD307" s="25">
        <v>15129</v>
      </c>
      <c r="BE307" s="25"/>
      <c r="BF307" s="25"/>
      <c r="BG307" s="25"/>
      <c r="BH307" s="25"/>
      <c r="BI307" s="25"/>
      <c r="BJ307" s="25">
        <v>247</v>
      </c>
      <c r="BK307" s="25"/>
      <c r="BL307" s="25"/>
      <c r="BM307" s="25"/>
      <c r="BN307" s="25"/>
      <c r="BO307" s="25"/>
      <c r="BP307" s="25">
        <v>8059</v>
      </c>
      <c r="BQ307" s="25"/>
      <c r="BR307" s="25"/>
      <c r="BS307" s="25"/>
      <c r="BT307" s="25"/>
      <c r="BU307" s="25"/>
      <c r="BV307" s="25">
        <v>13065</v>
      </c>
      <c r="BW307" s="25"/>
      <c r="BX307" s="25"/>
      <c r="BY307" s="25"/>
      <c r="BZ307" s="25"/>
      <c r="CA307" s="25"/>
      <c r="CB307" s="25">
        <v>3706</v>
      </c>
      <c r="CC307" s="25"/>
      <c r="CD307" s="25"/>
      <c r="CE307" s="25"/>
      <c r="CF307" s="25"/>
      <c r="CG307" s="25"/>
      <c r="CH307" s="25">
        <v>4640</v>
      </c>
      <c r="CI307" s="25"/>
      <c r="CJ307" s="25"/>
      <c r="CK307" s="25"/>
      <c r="CL307" s="25"/>
      <c r="CM307" s="25"/>
      <c r="CN307" s="25">
        <v>0</v>
      </c>
      <c r="CO307" s="25"/>
      <c r="CP307" s="25"/>
      <c r="CQ307" s="25"/>
      <c r="CR307" s="25"/>
      <c r="CS307" s="25"/>
      <c r="CT307" s="25">
        <v>384158</v>
      </c>
      <c r="CU307" s="25"/>
      <c r="CV307" s="25"/>
      <c r="CW307" s="25"/>
      <c r="CX307" s="25"/>
      <c r="CY307" s="25"/>
    </row>
    <row r="308" spans="2:127">
      <c r="B308" s="13" t="s">
        <v>1165</v>
      </c>
      <c r="C308" s="13"/>
      <c r="D308" s="13"/>
      <c r="E308" s="13"/>
      <c r="F308" s="13"/>
      <c r="G308" s="13"/>
      <c r="H308" s="13"/>
      <c r="I308" s="13"/>
      <c r="J308" s="13"/>
      <c r="K308" s="13"/>
      <c r="L308" s="13"/>
      <c r="M308" s="13"/>
      <c r="N308" s="25">
        <v>106349</v>
      </c>
      <c r="O308" s="25"/>
      <c r="P308" s="25"/>
      <c r="Q308" s="25"/>
      <c r="R308" s="25"/>
      <c r="S308" s="25"/>
      <c r="T308" s="25">
        <v>79543</v>
      </c>
      <c r="U308" s="25"/>
      <c r="V308" s="25"/>
      <c r="W308" s="25"/>
      <c r="X308" s="25"/>
      <c r="Y308" s="25"/>
      <c r="Z308" s="25">
        <v>64693</v>
      </c>
      <c r="AA308" s="25"/>
      <c r="AB308" s="25"/>
      <c r="AC308" s="25"/>
      <c r="AD308" s="25"/>
      <c r="AE308" s="25"/>
      <c r="AF308" s="25">
        <v>6398</v>
      </c>
      <c r="AG308" s="25"/>
      <c r="AH308" s="25"/>
      <c r="AI308" s="25"/>
      <c r="AJ308" s="25"/>
      <c r="AK308" s="25"/>
      <c r="AL308" s="25">
        <v>21122</v>
      </c>
      <c r="AM308" s="25"/>
      <c r="AN308" s="25"/>
      <c r="AO308" s="25"/>
      <c r="AP308" s="25"/>
      <c r="AQ308" s="25"/>
      <c r="AR308" s="25">
        <v>20331</v>
      </c>
      <c r="AS308" s="25"/>
      <c r="AT308" s="25"/>
      <c r="AU308" s="25"/>
      <c r="AV308" s="25"/>
      <c r="AW308" s="25"/>
      <c r="AX308" s="25">
        <v>25775</v>
      </c>
      <c r="AY308" s="25"/>
      <c r="AZ308" s="25"/>
      <c r="BA308" s="25"/>
      <c r="BB308" s="25"/>
      <c r="BC308" s="25"/>
      <c r="BD308" s="25">
        <v>11488</v>
      </c>
      <c r="BE308" s="25"/>
      <c r="BF308" s="25"/>
      <c r="BG308" s="25"/>
      <c r="BH308" s="25"/>
      <c r="BI308" s="25"/>
      <c r="BJ308" s="25">
        <v>249</v>
      </c>
      <c r="BK308" s="25"/>
      <c r="BL308" s="25"/>
      <c r="BM308" s="25"/>
      <c r="BN308" s="25"/>
      <c r="BO308" s="25"/>
      <c r="BP308" s="25">
        <v>5134</v>
      </c>
      <c r="BQ308" s="25"/>
      <c r="BR308" s="25"/>
      <c r="BS308" s="25"/>
      <c r="BT308" s="25"/>
      <c r="BU308" s="25"/>
      <c r="BV308" s="25">
        <v>8350</v>
      </c>
      <c r="BW308" s="25"/>
      <c r="BX308" s="25"/>
      <c r="BY308" s="25"/>
      <c r="BZ308" s="25"/>
      <c r="CA308" s="25"/>
      <c r="CB308" s="25">
        <v>4945</v>
      </c>
      <c r="CC308" s="25"/>
      <c r="CD308" s="25"/>
      <c r="CE308" s="25"/>
      <c r="CF308" s="25"/>
      <c r="CG308" s="25"/>
      <c r="CH308" s="25">
        <v>3694</v>
      </c>
      <c r="CI308" s="25"/>
      <c r="CJ308" s="25"/>
      <c r="CK308" s="25"/>
      <c r="CL308" s="25"/>
      <c r="CM308" s="25"/>
      <c r="CN308" s="25">
        <v>0</v>
      </c>
      <c r="CO308" s="25"/>
      <c r="CP308" s="25"/>
      <c r="CQ308" s="25"/>
      <c r="CR308" s="25"/>
      <c r="CS308" s="25"/>
      <c r="CT308" s="25">
        <v>367075</v>
      </c>
      <c r="CU308" s="25"/>
      <c r="CV308" s="25"/>
      <c r="CW308" s="25"/>
      <c r="CX308" s="25"/>
      <c r="CY308" s="25"/>
    </row>
    <row r="309" spans="2:127">
      <c r="B309" s="13" t="s">
        <v>1163</v>
      </c>
      <c r="C309" s="13"/>
      <c r="D309" s="13"/>
      <c r="E309" s="13"/>
      <c r="F309" s="13"/>
      <c r="G309" s="13"/>
      <c r="H309" s="13"/>
      <c r="I309" s="13"/>
      <c r="J309" s="13"/>
      <c r="K309" s="13"/>
      <c r="L309" s="13"/>
      <c r="M309" s="13"/>
      <c r="N309" s="25">
        <v>109810</v>
      </c>
      <c r="O309" s="25"/>
      <c r="P309" s="25"/>
      <c r="Q309" s="25"/>
      <c r="R309" s="25"/>
      <c r="S309" s="25"/>
      <c r="T309" s="25">
        <v>67247</v>
      </c>
      <c r="U309" s="25"/>
      <c r="V309" s="25"/>
      <c r="W309" s="25"/>
      <c r="X309" s="25"/>
      <c r="Y309" s="25"/>
      <c r="Z309" s="25">
        <v>70310</v>
      </c>
      <c r="AA309" s="25"/>
      <c r="AB309" s="25"/>
      <c r="AC309" s="25"/>
      <c r="AD309" s="25"/>
      <c r="AE309" s="25"/>
      <c r="AF309" s="25">
        <v>17210</v>
      </c>
      <c r="AG309" s="25"/>
      <c r="AH309" s="25"/>
      <c r="AI309" s="25"/>
      <c r="AJ309" s="25"/>
      <c r="AK309" s="25"/>
      <c r="AL309" s="25">
        <v>29189</v>
      </c>
      <c r="AM309" s="25"/>
      <c r="AN309" s="25"/>
      <c r="AO309" s="25"/>
      <c r="AP309" s="25"/>
      <c r="AQ309" s="25"/>
      <c r="AR309" s="25">
        <v>25535</v>
      </c>
      <c r="AS309" s="25"/>
      <c r="AT309" s="25"/>
      <c r="AU309" s="25"/>
      <c r="AV309" s="25"/>
      <c r="AW309" s="25"/>
      <c r="AX309" s="25">
        <v>28901</v>
      </c>
      <c r="AY309" s="25"/>
      <c r="AZ309" s="25"/>
      <c r="BA309" s="25"/>
      <c r="BB309" s="25"/>
      <c r="BC309" s="25"/>
      <c r="BD309" s="25">
        <v>13650</v>
      </c>
      <c r="BE309" s="25"/>
      <c r="BF309" s="25"/>
      <c r="BG309" s="25"/>
      <c r="BH309" s="25"/>
      <c r="BI309" s="25"/>
      <c r="BJ309" s="25">
        <v>232</v>
      </c>
      <c r="BK309" s="25"/>
      <c r="BL309" s="25"/>
      <c r="BM309" s="25"/>
      <c r="BN309" s="25"/>
      <c r="BO309" s="25"/>
      <c r="BP309" s="25">
        <v>7007</v>
      </c>
      <c r="BQ309" s="25"/>
      <c r="BR309" s="25"/>
      <c r="BS309" s="25"/>
      <c r="BT309" s="25"/>
      <c r="BU309" s="25"/>
      <c r="BV309" s="25">
        <v>12000</v>
      </c>
      <c r="BW309" s="25"/>
      <c r="BX309" s="25"/>
      <c r="BY309" s="25"/>
      <c r="BZ309" s="25"/>
      <c r="CA309" s="25"/>
      <c r="CB309" s="25">
        <v>4525</v>
      </c>
      <c r="CC309" s="25"/>
      <c r="CD309" s="25"/>
      <c r="CE309" s="25"/>
      <c r="CF309" s="25"/>
      <c r="CG309" s="25"/>
      <c r="CH309" s="25">
        <v>4241</v>
      </c>
      <c r="CI309" s="25"/>
      <c r="CJ309" s="25"/>
      <c r="CK309" s="25"/>
      <c r="CL309" s="25"/>
      <c r="CM309" s="25"/>
      <c r="CN309" s="25">
        <v>0</v>
      </c>
      <c r="CO309" s="25"/>
      <c r="CP309" s="25"/>
      <c r="CQ309" s="25"/>
      <c r="CR309" s="25"/>
      <c r="CS309" s="25"/>
      <c r="CT309" s="25">
        <v>396203</v>
      </c>
      <c r="CU309" s="25"/>
      <c r="CV309" s="25"/>
      <c r="CW309" s="25"/>
      <c r="CX309" s="25"/>
      <c r="CY309" s="25"/>
    </row>
    <row r="310" spans="2:127">
      <c r="B310" s="13" t="s">
        <v>1161</v>
      </c>
      <c r="C310" s="13"/>
      <c r="D310" s="13"/>
      <c r="E310" s="13"/>
      <c r="F310" s="13"/>
      <c r="G310" s="13"/>
      <c r="H310" s="13"/>
      <c r="I310" s="13"/>
      <c r="J310" s="13"/>
      <c r="K310" s="13"/>
      <c r="L310" s="13"/>
      <c r="M310" s="13"/>
      <c r="N310" s="25">
        <v>100402</v>
      </c>
      <c r="O310" s="25"/>
      <c r="P310" s="25"/>
      <c r="Q310" s="25"/>
      <c r="R310" s="25"/>
      <c r="S310" s="25"/>
      <c r="T310" s="25">
        <v>74982</v>
      </c>
      <c r="U310" s="25"/>
      <c r="V310" s="25"/>
      <c r="W310" s="25"/>
      <c r="X310" s="25"/>
      <c r="Y310" s="25"/>
      <c r="Z310" s="25">
        <v>66638</v>
      </c>
      <c r="AA310" s="25"/>
      <c r="AB310" s="25"/>
      <c r="AC310" s="25"/>
      <c r="AD310" s="25"/>
      <c r="AE310" s="25"/>
      <c r="AF310" s="25">
        <v>24384</v>
      </c>
      <c r="AG310" s="25"/>
      <c r="AH310" s="25"/>
      <c r="AI310" s="25"/>
      <c r="AJ310" s="25"/>
      <c r="AK310" s="25"/>
      <c r="AL310" s="25">
        <v>34067</v>
      </c>
      <c r="AM310" s="25"/>
      <c r="AN310" s="25"/>
      <c r="AO310" s="25"/>
      <c r="AP310" s="25"/>
      <c r="AQ310" s="25"/>
      <c r="AR310" s="25">
        <v>30517</v>
      </c>
      <c r="AS310" s="25"/>
      <c r="AT310" s="25"/>
      <c r="AU310" s="25"/>
      <c r="AV310" s="25"/>
      <c r="AW310" s="25"/>
      <c r="AX310" s="25">
        <v>27290</v>
      </c>
      <c r="AY310" s="25"/>
      <c r="AZ310" s="25"/>
      <c r="BA310" s="25"/>
      <c r="BB310" s="25"/>
      <c r="BC310" s="25"/>
      <c r="BD310" s="25">
        <v>14153</v>
      </c>
      <c r="BE310" s="25"/>
      <c r="BF310" s="25"/>
      <c r="BG310" s="25"/>
      <c r="BH310" s="25"/>
      <c r="BI310" s="25"/>
      <c r="BJ310" s="25">
        <v>519</v>
      </c>
      <c r="BK310" s="25"/>
      <c r="BL310" s="25"/>
      <c r="BM310" s="25"/>
      <c r="BN310" s="25"/>
      <c r="BO310" s="25"/>
      <c r="BP310" s="25">
        <v>9291</v>
      </c>
      <c r="BQ310" s="25"/>
      <c r="BR310" s="25"/>
      <c r="BS310" s="25"/>
      <c r="BT310" s="25"/>
      <c r="BU310" s="25"/>
      <c r="BV310" s="25">
        <v>12113</v>
      </c>
      <c r="BW310" s="25"/>
      <c r="BX310" s="25"/>
      <c r="BY310" s="25"/>
      <c r="BZ310" s="25"/>
      <c r="CA310" s="25"/>
      <c r="CB310" s="25">
        <v>3723</v>
      </c>
      <c r="CC310" s="25"/>
      <c r="CD310" s="25"/>
      <c r="CE310" s="25"/>
      <c r="CF310" s="25"/>
      <c r="CG310" s="25"/>
      <c r="CH310" s="25">
        <v>3975</v>
      </c>
      <c r="CI310" s="25"/>
      <c r="CJ310" s="25"/>
      <c r="CK310" s="25"/>
      <c r="CL310" s="25"/>
      <c r="CM310" s="25"/>
      <c r="CN310" s="25">
        <v>0</v>
      </c>
      <c r="CO310" s="25"/>
      <c r="CP310" s="25"/>
      <c r="CQ310" s="25"/>
      <c r="CR310" s="25"/>
      <c r="CS310" s="25"/>
      <c r="CT310" s="25">
        <v>406224</v>
      </c>
      <c r="CU310" s="25"/>
      <c r="CV310" s="25"/>
      <c r="CW310" s="25"/>
      <c r="CX310" s="25"/>
      <c r="CY310" s="25"/>
    </row>
    <row r="311" spans="2:127">
      <c r="B311" s="13" t="s">
        <v>1159</v>
      </c>
      <c r="C311" s="13"/>
      <c r="D311" s="13"/>
      <c r="E311" s="13"/>
      <c r="F311" s="13"/>
      <c r="G311" s="13"/>
      <c r="H311" s="13"/>
      <c r="I311" s="13"/>
      <c r="J311" s="13"/>
      <c r="K311" s="13"/>
      <c r="L311" s="13"/>
      <c r="M311" s="13"/>
      <c r="N311" s="25">
        <v>102796</v>
      </c>
      <c r="O311" s="25"/>
      <c r="P311" s="25"/>
      <c r="Q311" s="25"/>
      <c r="R311" s="25"/>
      <c r="S311" s="25"/>
      <c r="T311" s="25">
        <v>84365</v>
      </c>
      <c r="U311" s="25"/>
      <c r="V311" s="25"/>
      <c r="W311" s="25"/>
      <c r="X311" s="25"/>
      <c r="Y311" s="25"/>
      <c r="Z311" s="25">
        <v>81299</v>
      </c>
      <c r="AA311" s="25"/>
      <c r="AB311" s="25"/>
      <c r="AC311" s="25"/>
      <c r="AD311" s="25"/>
      <c r="AE311" s="25"/>
      <c r="AF311" s="25">
        <v>26725</v>
      </c>
      <c r="AG311" s="25"/>
      <c r="AH311" s="25"/>
      <c r="AI311" s="25"/>
      <c r="AJ311" s="25"/>
      <c r="AK311" s="25"/>
      <c r="AL311" s="25">
        <v>31551</v>
      </c>
      <c r="AM311" s="25"/>
      <c r="AN311" s="25"/>
      <c r="AO311" s="25"/>
      <c r="AP311" s="25"/>
      <c r="AQ311" s="25"/>
      <c r="AR311" s="25">
        <v>33743</v>
      </c>
      <c r="AS311" s="25"/>
      <c r="AT311" s="25"/>
      <c r="AU311" s="25"/>
      <c r="AV311" s="25"/>
      <c r="AW311" s="25"/>
      <c r="AX311" s="25">
        <v>27892</v>
      </c>
      <c r="AY311" s="25"/>
      <c r="AZ311" s="25"/>
      <c r="BA311" s="25"/>
      <c r="BB311" s="25"/>
      <c r="BC311" s="25"/>
      <c r="BD311" s="25">
        <v>19797</v>
      </c>
      <c r="BE311" s="25"/>
      <c r="BF311" s="25"/>
      <c r="BG311" s="25"/>
      <c r="BH311" s="25"/>
      <c r="BI311" s="25"/>
      <c r="BJ311" s="25">
        <v>8088</v>
      </c>
      <c r="BK311" s="25"/>
      <c r="BL311" s="25"/>
      <c r="BM311" s="25"/>
      <c r="BN311" s="25"/>
      <c r="BO311" s="25"/>
      <c r="BP311" s="25">
        <v>8333</v>
      </c>
      <c r="BQ311" s="25"/>
      <c r="BR311" s="25"/>
      <c r="BS311" s="25"/>
      <c r="BT311" s="25"/>
      <c r="BU311" s="25"/>
      <c r="BV311" s="25">
        <v>9382</v>
      </c>
      <c r="BW311" s="25"/>
      <c r="BX311" s="25"/>
      <c r="BY311" s="25"/>
      <c r="BZ311" s="25"/>
      <c r="CA311" s="25"/>
      <c r="CB311" s="25">
        <v>4191</v>
      </c>
      <c r="CC311" s="25"/>
      <c r="CD311" s="25"/>
      <c r="CE311" s="25"/>
      <c r="CF311" s="25"/>
      <c r="CG311" s="25"/>
      <c r="CH311" s="25">
        <v>4310</v>
      </c>
      <c r="CI311" s="25"/>
      <c r="CJ311" s="25"/>
      <c r="CK311" s="25"/>
      <c r="CL311" s="25"/>
      <c r="CM311" s="25"/>
      <c r="CN311" s="25">
        <v>0</v>
      </c>
      <c r="CO311" s="25"/>
      <c r="CP311" s="25"/>
      <c r="CQ311" s="25"/>
      <c r="CR311" s="25"/>
      <c r="CS311" s="25"/>
      <c r="CT311" s="25">
        <v>446607</v>
      </c>
      <c r="CU311" s="25"/>
      <c r="CV311" s="25"/>
      <c r="CW311" s="25"/>
      <c r="CX311" s="25"/>
      <c r="CY311" s="25"/>
    </row>
    <row r="312" spans="2:127">
      <c r="B312" s="13" t="s">
        <v>1157</v>
      </c>
      <c r="C312" s="13"/>
      <c r="D312" s="13"/>
      <c r="E312" s="13"/>
      <c r="F312" s="13"/>
      <c r="G312" s="13"/>
      <c r="H312" s="13"/>
      <c r="I312" s="13"/>
      <c r="J312" s="13"/>
      <c r="K312" s="13"/>
      <c r="L312" s="13"/>
      <c r="M312" s="13"/>
      <c r="N312" s="25">
        <v>116565</v>
      </c>
      <c r="O312" s="25"/>
      <c r="P312" s="25"/>
      <c r="Q312" s="25"/>
      <c r="R312" s="25"/>
      <c r="S312" s="25"/>
      <c r="T312" s="25">
        <v>97232</v>
      </c>
      <c r="U312" s="25"/>
      <c r="V312" s="25"/>
      <c r="W312" s="25"/>
      <c r="X312" s="25"/>
      <c r="Y312" s="25"/>
      <c r="Z312" s="25">
        <v>74988</v>
      </c>
      <c r="AA312" s="25"/>
      <c r="AB312" s="25"/>
      <c r="AC312" s="25"/>
      <c r="AD312" s="25"/>
      <c r="AE312" s="25"/>
      <c r="AF312" s="25">
        <v>39008</v>
      </c>
      <c r="AG312" s="25"/>
      <c r="AH312" s="25"/>
      <c r="AI312" s="25"/>
      <c r="AJ312" s="25"/>
      <c r="AK312" s="25"/>
      <c r="AL312" s="25">
        <v>19514</v>
      </c>
      <c r="AM312" s="25"/>
      <c r="AN312" s="25"/>
      <c r="AO312" s="25"/>
      <c r="AP312" s="25"/>
      <c r="AQ312" s="25"/>
      <c r="AR312" s="25">
        <v>18531</v>
      </c>
      <c r="AS312" s="25"/>
      <c r="AT312" s="25"/>
      <c r="AU312" s="25"/>
      <c r="AV312" s="25"/>
      <c r="AW312" s="25"/>
      <c r="AX312" s="25">
        <v>23119</v>
      </c>
      <c r="AY312" s="25"/>
      <c r="AZ312" s="25"/>
      <c r="BA312" s="25"/>
      <c r="BB312" s="25"/>
      <c r="BC312" s="25"/>
      <c r="BD312" s="25">
        <v>23844</v>
      </c>
      <c r="BE312" s="25"/>
      <c r="BF312" s="25"/>
      <c r="BG312" s="25"/>
      <c r="BH312" s="25"/>
      <c r="BI312" s="25"/>
      <c r="BJ312" s="25">
        <v>12209</v>
      </c>
      <c r="BK312" s="25"/>
      <c r="BL312" s="25"/>
      <c r="BM312" s="25"/>
      <c r="BN312" s="25"/>
      <c r="BO312" s="25"/>
      <c r="BP312" s="25">
        <v>7002</v>
      </c>
      <c r="BQ312" s="25"/>
      <c r="BR312" s="25"/>
      <c r="BS312" s="25"/>
      <c r="BT312" s="25"/>
      <c r="BU312" s="25"/>
      <c r="BV312" s="25">
        <v>3923</v>
      </c>
      <c r="BW312" s="25"/>
      <c r="BX312" s="25"/>
      <c r="BY312" s="25"/>
      <c r="BZ312" s="25"/>
      <c r="CA312" s="25"/>
      <c r="CB312" s="25">
        <v>6512</v>
      </c>
      <c r="CC312" s="25"/>
      <c r="CD312" s="25"/>
      <c r="CE312" s="25"/>
      <c r="CF312" s="25"/>
      <c r="CG312" s="25"/>
      <c r="CH312" s="25">
        <v>3847</v>
      </c>
      <c r="CI312" s="25"/>
      <c r="CJ312" s="25"/>
      <c r="CK312" s="25"/>
      <c r="CL312" s="25"/>
      <c r="CM312" s="25"/>
      <c r="CN312" s="25">
        <v>0</v>
      </c>
      <c r="CO312" s="25"/>
      <c r="CP312" s="25"/>
      <c r="CQ312" s="25"/>
      <c r="CR312" s="25"/>
      <c r="CS312" s="25"/>
      <c r="CT312" s="25">
        <v>447838</v>
      </c>
      <c r="CU312" s="25"/>
      <c r="CV312" s="25"/>
      <c r="CW312" s="25"/>
      <c r="CX312" s="25"/>
      <c r="CY312" s="25"/>
    </row>
    <row r="313" spans="2:127">
      <c r="B313" s="13" t="s">
        <v>1153</v>
      </c>
      <c r="C313" s="13"/>
      <c r="D313" s="13"/>
      <c r="E313" s="13"/>
      <c r="F313" s="13"/>
      <c r="G313" s="13"/>
      <c r="H313" s="13"/>
      <c r="I313" s="13"/>
      <c r="J313" s="13"/>
      <c r="K313" s="13"/>
      <c r="L313" s="13"/>
      <c r="M313" s="13"/>
      <c r="N313" s="25">
        <v>118849</v>
      </c>
      <c r="O313" s="25"/>
      <c r="P313" s="25"/>
      <c r="Q313" s="25"/>
      <c r="R313" s="25"/>
      <c r="S313" s="25"/>
      <c r="T313" s="25">
        <v>95307</v>
      </c>
      <c r="U313" s="25"/>
      <c r="V313" s="25"/>
      <c r="W313" s="25"/>
      <c r="X313" s="25"/>
      <c r="Y313" s="25"/>
      <c r="Z313" s="25">
        <v>76861</v>
      </c>
      <c r="AA313" s="25"/>
      <c r="AB313" s="25"/>
      <c r="AC313" s="25"/>
      <c r="AD313" s="25"/>
      <c r="AE313" s="25"/>
      <c r="AF313" s="25">
        <v>39211</v>
      </c>
      <c r="AG313" s="25"/>
      <c r="AH313" s="25"/>
      <c r="AI313" s="25"/>
      <c r="AJ313" s="25"/>
      <c r="AK313" s="25"/>
      <c r="AL313" s="25">
        <v>28658</v>
      </c>
      <c r="AM313" s="25"/>
      <c r="AN313" s="25"/>
      <c r="AO313" s="25"/>
      <c r="AP313" s="25"/>
      <c r="AQ313" s="25"/>
      <c r="AR313" s="25">
        <v>21287</v>
      </c>
      <c r="AS313" s="25"/>
      <c r="AT313" s="25"/>
      <c r="AU313" s="25"/>
      <c r="AV313" s="25"/>
      <c r="AW313" s="25"/>
      <c r="AX313" s="25">
        <v>24229</v>
      </c>
      <c r="AY313" s="25"/>
      <c r="AZ313" s="25"/>
      <c r="BA313" s="25"/>
      <c r="BB313" s="25"/>
      <c r="BC313" s="25"/>
      <c r="BD313" s="25">
        <v>23625</v>
      </c>
      <c r="BE313" s="25"/>
      <c r="BF313" s="25"/>
      <c r="BG313" s="25"/>
      <c r="BH313" s="25"/>
      <c r="BI313" s="25"/>
      <c r="BJ313" s="25">
        <v>17109</v>
      </c>
      <c r="BK313" s="25"/>
      <c r="BL313" s="25"/>
      <c r="BM313" s="25"/>
      <c r="BN313" s="25"/>
      <c r="BO313" s="25"/>
      <c r="BP313" s="25">
        <v>8790</v>
      </c>
      <c r="BQ313" s="25"/>
      <c r="BR313" s="25"/>
      <c r="BS313" s="25"/>
      <c r="BT313" s="25"/>
      <c r="BU313" s="25"/>
      <c r="BV313" s="25">
        <v>5336</v>
      </c>
      <c r="BW313" s="25"/>
      <c r="BX313" s="25"/>
      <c r="BY313" s="25"/>
      <c r="BZ313" s="25"/>
      <c r="CA313" s="25"/>
      <c r="CB313" s="25">
        <v>4665</v>
      </c>
      <c r="CC313" s="25"/>
      <c r="CD313" s="25"/>
      <c r="CE313" s="25"/>
      <c r="CF313" s="25"/>
      <c r="CG313" s="25"/>
      <c r="CH313" s="25">
        <v>4072</v>
      </c>
      <c r="CI313" s="25"/>
      <c r="CJ313" s="25"/>
      <c r="CK313" s="25"/>
      <c r="CL313" s="25"/>
      <c r="CM313" s="25"/>
      <c r="CN313" s="25">
        <v>612</v>
      </c>
      <c r="CO313" s="25"/>
      <c r="CP313" s="25"/>
      <c r="CQ313" s="25"/>
      <c r="CR313" s="25"/>
      <c r="CS313" s="25"/>
      <c r="CT313" s="25">
        <v>471166</v>
      </c>
      <c r="CU313" s="25"/>
      <c r="CV313" s="25"/>
      <c r="CW313" s="25"/>
      <c r="CX313" s="25"/>
      <c r="CY313" s="25"/>
    </row>
    <row r="314" spans="2:127">
      <c r="B314" s="13" t="s">
        <v>1144</v>
      </c>
      <c r="C314" s="13"/>
      <c r="D314" s="13"/>
      <c r="E314" s="13"/>
      <c r="F314" s="13"/>
      <c r="G314" s="13"/>
      <c r="H314" s="13"/>
      <c r="I314" s="13"/>
      <c r="J314" s="13"/>
      <c r="K314" s="13"/>
      <c r="L314" s="13"/>
      <c r="M314" s="13"/>
      <c r="N314" s="25">
        <v>110561</v>
      </c>
      <c r="O314" s="25"/>
      <c r="P314" s="25"/>
      <c r="Q314" s="25"/>
      <c r="R314" s="25"/>
      <c r="S314" s="25"/>
      <c r="T314" s="25">
        <v>94132</v>
      </c>
      <c r="U314" s="25"/>
      <c r="V314" s="25"/>
      <c r="W314" s="25"/>
      <c r="X314" s="25"/>
      <c r="Y314" s="25"/>
      <c r="Z314" s="25">
        <v>75396</v>
      </c>
      <c r="AA314" s="25"/>
      <c r="AB314" s="25"/>
      <c r="AC314" s="25"/>
      <c r="AD314" s="25"/>
      <c r="AE314" s="25"/>
      <c r="AF314" s="25">
        <v>49557</v>
      </c>
      <c r="AG314" s="25"/>
      <c r="AH314" s="25"/>
      <c r="AI314" s="25"/>
      <c r="AJ314" s="25"/>
      <c r="AK314" s="25"/>
      <c r="AL314" s="25">
        <v>34124</v>
      </c>
      <c r="AM314" s="25"/>
      <c r="AN314" s="25"/>
      <c r="AO314" s="25"/>
      <c r="AP314" s="25"/>
      <c r="AQ314" s="25"/>
      <c r="AR314" s="25">
        <v>25657</v>
      </c>
      <c r="AS314" s="25"/>
      <c r="AT314" s="25"/>
      <c r="AU314" s="25"/>
      <c r="AV314" s="25"/>
      <c r="AW314" s="25"/>
      <c r="AX314" s="25">
        <v>23038</v>
      </c>
      <c r="AY314" s="25"/>
      <c r="AZ314" s="25"/>
      <c r="BA314" s="25"/>
      <c r="BB314" s="25"/>
      <c r="BC314" s="25"/>
      <c r="BD314" s="25">
        <v>20271</v>
      </c>
      <c r="BE314" s="25"/>
      <c r="BF314" s="25"/>
      <c r="BG314" s="25"/>
      <c r="BH314" s="25"/>
      <c r="BI314" s="25"/>
      <c r="BJ314" s="25">
        <v>16188</v>
      </c>
      <c r="BK314" s="25"/>
      <c r="BL314" s="25"/>
      <c r="BM314" s="25"/>
      <c r="BN314" s="25"/>
      <c r="BO314" s="25"/>
      <c r="BP314" s="25">
        <v>9314</v>
      </c>
      <c r="BQ314" s="25"/>
      <c r="BR314" s="25"/>
      <c r="BS314" s="25"/>
      <c r="BT314" s="25"/>
      <c r="BU314" s="25"/>
      <c r="BV314" s="25">
        <v>5551</v>
      </c>
      <c r="BW314" s="25"/>
      <c r="BX314" s="25"/>
      <c r="BY314" s="25"/>
      <c r="BZ314" s="25"/>
      <c r="CA314" s="25"/>
      <c r="CB314" s="25">
        <v>4759</v>
      </c>
      <c r="CC314" s="25"/>
      <c r="CD314" s="25"/>
      <c r="CE314" s="25"/>
      <c r="CF314" s="25"/>
      <c r="CG314" s="25"/>
      <c r="CH314" s="25">
        <v>3463</v>
      </c>
      <c r="CI314" s="25"/>
      <c r="CJ314" s="25"/>
      <c r="CK314" s="25"/>
      <c r="CL314" s="25"/>
      <c r="CM314" s="25"/>
      <c r="CN314" s="25">
        <v>5688</v>
      </c>
      <c r="CO314" s="25"/>
      <c r="CP314" s="25"/>
      <c r="CQ314" s="25"/>
      <c r="CR314" s="25"/>
      <c r="CS314" s="25"/>
      <c r="CT314" s="25">
        <v>484941</v>
      </c>
      <c r="CU314" s="25"/>
      <c r="CV314" s="25"/>
      <c r="CW314" s="25"/>
      <c r="CX314" s="25"/>
      <c r="CY314" s="25"/>
    </row>
    <row r="316" spans="2:127">
      <c r="B316" s="11" t="s">
        <v>1288</v>
      </c>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c r="CD316" s="11"/>
      <c r="CE316" s="11"/>
      <c r="CF316" s="11"/>
      <c r="CG316" s="11"/>
      <c r="CH316" s="11"/>
      <c r="CI316" s="11"/>
      <c r="CJ316" s="11"/>
      <c r="CK316" s="11"/>
      <c r="CL316" s="11"/>
      <c r="CM316" s="11"/>
      <c r="CN316" s="11"/>
      <c r="CO316" s="11"/>
      <c r="CP316" s="11"/>
      <c r="CQ316" s="11"/>
      <c r="CR316" s="11"/>
      <c r="CS316" s="11"/>
      <c r="CT316" s="11"/>
      <c r="CU316" s="11"/>
      <c r="CV316" s="11"/>
      <c r="CW316" s="11"/>
      <c r="CX316" s="11"/>
      <c r="CY316" s="11"/>
      <c r="CZ316" s="11"/>
      <c r="DA316" s="11"/>
      <c r="DB316" s="11"/>
      <c r="DC316" s="11"/>
      <c r="DD316" s="11"/>
      <c r="DE316" s="11"/>
      <c r="DF316" s="11"/>
      <c r="DG316" s="11"/>
      <c r="DH316" s="11"/>
      <c r="DI316" s="11"/>
      <c r="DJ316" s="11"/>
      <c r="DK316" s="11"/>
      <c r="DL316" s="11"/>
      <c r="DM316" s="11"/>
      <c r="DN316" s="11"/>
      <c r="DO316" s="11"/>
      <c r="DP316" s="11"/>
      <c r="DQ316" s="11"/>
      <c r="DR316" s="11"/>
      <c r="DS316" s="11"/>
      <c r="DT316" s="11"/>
      <c r="DU316" s="11"/>
      <c r="DV316" s="11"/>
      <c r="DW316" s="11"/>
    </row>
    <row r="317" spans="2:127">
      <c r="B317" s="12"/>
      <c r="C317" s="12"/>
      <c r="D317" s="12"/>
      <c r="E317" s="12"/>
      <c r="F317" s="12"/>
      <c r="G317" s="12"/>
      <c r="H317" s="12"/>
      <c r="I317" s="12"/>
      <c r="J317" s="12"/>
      <c r="K317" s="12"/>
      <c r="L317" s="12"/>
      <c r="M317" s="12"/>
      <c r="N317" s="12" t="s">
        <v>1289</v>
      </c>
      <c r="O317" s="12"/>
      <c r="P317" s="12"/>
      <c r="Q317" s="12"/>
      <c r="R317" s="12"/>
      <c r="S317" s="12"/>
      <c r="T317" s="12" t="s">
        <v>1290</v>
      </c>
      <c r="U317" s="12"/>
      <c r="V317" s="12"/>
      <c r="W317" s="12"/>
      <c r="X317" s="12"/>
      <c r="Y317" s="12"/>
      <c r="Z317" s="12" t="s">
        <v>1291</v>
      </c>
      <c r="AA317" s="12"/>
      <c r="AB317" s="12"/>
      <c r="AC317" s="12"/>
      <c r="AD317" s="12"/>
      <c r="AE317" s="12"/>
      <c r="AF317" s="12" t="s">
        <v>1150</v>
      </c>
      <c r="AG317" s="12"/>
      <c r="AH317" s="12"/>
      <c r="AI317" s="12"/>
      <c r="AJ317" s="12"/>
      <c r="AK317" s="12"/>
      <c r="AL317" s="12" t="s">
        <v>1230</v>
      </c>
      <c r="AM317" s="12"/>
      <c r="AN317" s="12"/>
      <c r="AO317" s="12"/>
      <c r="AP317" s="12"/>
      <c r="AQ317" s="12"/>
      <c r="AR317" s="12" t="s">
        <v>1292</v>
      </c>
      <c r="AS317" s="12"/>
      <c r="AT317" s="12"/>
      <c r="AU317" s="12"/>
      <c r="AV317" s="12"/>
      <c r="AW317" s="12"/>
      <c r="AX317" s="12" t="s">
        <v>1293</v>
      </c>
      <c r="AY317" s="12"/>
      <c r="AZ317" s="12"/>
      <c r="BA317" s="12"/>
      <c r="BB317" s="12"/>
      <c r="BC317" s="12"/>
      <c r="BD317" s="12" t="s">
        <v>1294</v>
      </c>
      <c r="BE317" s="12"/>
      <c r="BF317" s="12"/>
      <c r="BG317" s="12"/>
      <c r="BH317" s="12"/>
      <c r="BI317" s="12"/>
      <c r="BJ317" s="12" t="s">
        <v>1295</v>
      </c>
      <c r="BK317" s="12"/>
      <c r="BL317" s="12"/>
      <c r="BM317" s="12"/>
      <c r="BN317" s="12"/>
      <c r="BO317" s="12"/>
      <c r="BP317" s="12" t="s">
        <v>1296</v>
      </c>
      <c r="BQ317" s="12"/>
      <c r="BR317" s="12"/>
      <c r="BS317" s="12"/>
      <c r="BT317" s="12"/>
      <c r="BU317" s="12"/>
      <c r="BV317" s="12" t="s">
        <v>1297</v>
      </c>
      <c r="BW317" s="12"/>
      <c r="BX317" s="12"/>
      <c r="BY317" s="12"/>
      <c r="BZ317" s="12"/>
      <c r="CA317" s="12"/>
      <c r="CB317" s="12" t="s">
        <v>1298</v>
      </c>
      <c r="CC317" s="12"/>
      <c r="CD317" s="12"/>
      <c r="CE317" s="12"/>
      <c r="CF317" s="12"/>
      <c r="CG317" s="12"/>
      <c r="CH317" s="12" t="s">
        <v>1299</v>
      </c>
      <c r="CI317" s="12"/>
      <c r="CJ317" s="12"/>
      <c r="CK317" s="12"/>
      <c r="CL317" s="12"/>
      <c r="CM317" s="12"/>
      <c r="CN317" s="12" t="s">
        <v>1300</v>
      </c>
      <c r="CO317" s="12"/>
      <c r="CP317" s="12"/>
      <c r="CQ317" s="12"/>
      <c r="CR317" s="12"/>
      <c r="CS317" s="12"/>
      <c r="CT317" s="12" t="s">
        <v>1301</v>
      </c>
      <c r="CU317" s="12"/>
      <c r="CV317" s="12"/>
      <c r="CW317" s="12"/>
      <c r="CX317" s="12"/>
      <c r="CY317" s="12"/>
      <c r="CZ317" s="12" t="s">
        <v>1302</v>
      </c>
      <c r="DA317" s="12"/>
      <c r="DB317" s="12"/>
      <c r="DC317" s="12"/>
      <c r="DD317" s="12"/>
      <c r="DE317" s="12"/>
      <c r="DF317" s="12" t="s">
        <v>1303</v>
      </c>
      <c r="DG317" s="12"/>
      <c r="DH317" s="12"/>
      <c r="DI317" s="12"/>
      <c r="DJ317" s="12"/>
      <c r="DK317" s="12"/>
      <c r="DL317" s="12" t="s">
        <v>1304</v>
      </c>
      <c r="DM317" s="12"/>
      <c r="DN317" s="12"/>
      <c r="DO317" s="12"/>
      <c r="DP317" s="12"/>
      <c r="DQ317" s="12"/>
      <c r="DR317" s="12" t="s">
        <v>1305</v>
      </c>
      <c r="DS317" s="12"/>
      <c r="DT317" s="12"/>
      <c r="DU317" s="12"/>
      <c r="DV317" s="12"/>
      <c r="DW317" s="12"/>
    </row>
    <row r="318" spans="2:127">
      <c r="B318" s="13" t="s">
        <v>1269</v>
      </c>
      <c r="C318" s="13"/>
      <c r="D318" s="13"/>
      <c r="E318" s="13"/>
      <c r="F318" s="13"/>
      <c r="G318" s="13"/>
      <c r="H318" s="13"/>
      <c r="I318" s="13"/>
      <c r="J318" s="13"/>
      <c r="K318" s="13"/>
      <c r="L318" s="13"/>
      <c r="M318" s="13"/>
      <c r="N318" s="24">
        <v>167.7</v>
      </c>
      <c r="O318" s="24"/>
      <c r="P318" s="24"/>
      <c r="Q318" s="24"/>
      <c r="R318" s="24"/>
      <c r="S318" s="24"/>
      <c r="T318" s="24">
        <v>-262.3</v>
      </c>
      <c r="U318" s="24"/>
      <c r="V318" s="24"/>
      <c r="W318" s="24"/>
      <c r="X318" s="24"/>
      <c r="Y318" s="24"/>
      <c r="Z318" s="25">
        <f>N(IFERROR(INDEX($N$285:$N$314,MATCH($AU$4,$B$285:$B$314,0)),""))</f>
        <v/>
      </c>
      <c r="AA318" s="25"/>
      <c r="AB318" s="25"/>
      <c r="AC318" s="25"/>
      <c r="AD318" s="25"/>
      <c r="AE318" s="25"/>
      <c r="AF318" s="25">
        <f>IFERROR(INDEX($N$285:$N$314,MATCH($N$131,$B$285:$B$314,0)),"")</f>
        <v/>
      </c>
      <c r="AG318" s="25"/>
      <c r="AH318" s="25"/>
      <c r="AI318" s="25"/>
      <c r="AJ318" s="25"/>
      <c r="AK318" s="25"/>
      <c r="AL318" s="19">
        <f>IFERROR(IF(N($AF$318)=0,"",($Z$318-$AF$318)/ABS($AF$318)),"")</f>
        <v/>
      </c>
      <c r="AM318" s="19"/>
      <c r="AN318" s="19"/>
      <c r="AO318" s="19"/>
      <c r="AP318" s="19"/>
      <c r="AQ318" s="19"/>
      <c r="AR318" s="14">
        <f>IF($Z$318&lt;=0,0,MIN(5,ROUNDUP(5*SQRT($Z$318/MAX($N$285:$CN$314)),0)))</f>
        <v/>
      </c>
      <c r="AS318" s="14"/>
      <c r="AT318" s="14"/>
      <c r="AU318" s="14"/>
      <c r="AV318" s="14"/>
      <c r="AW318" s="14"/>
      <c r="AX318" s="14">
        <f>IF(N($AL$318)&lt;0,1,0)</f>
        <v/>
      </c>
      <c r="AY318" s="14"/>
      <c r="AZ318" s="14"/>
      <c r="BA318" s="14"/>
      <c r="BB318" s="14"/>
      <c r="BC318" s="14"/>
      <c r="BD318" s="22">
        <f>$Z$318+14/1000</f>
        <v/>
      </c>
      <c r="BE318" s="22"/>
      <c r="BF318" s="22"/>
      <c r="BG318" s="22"/>
      <c r="BH318" s="22"/>
      <c r="BI318" s="22"/>
      <c r="BJ318" s="14">
        <f>IF($Z$318&gt;0,IF(RANK($BD$318,$BD$318:$BD$331,0)&lt;=10,RANK($BD$318,$BD$318:$BD$331,0),""),"")</f>
        <v/>
      </c>
      <c r="BK318" s="14"/>
      <c r="BL318" s="14"/>
      <c r="BM318" s="14"/>
      <c r="BN318" s="14"/>
      <c r="BO318" s="14"/>
      <c r="BP318" s="24">
        <f>IF(AND($AR$318=1,$AX$318=0),$T$318,NA())</f>
        <v/>
      </c>
      <c r="BQ318" s="24"/>
      <c r="BR318" s="24"/>
      <c r="BS318" s="24"/>
      <c r="BT318" s="24"/>
      <c r="BU318" s="24"/>
      <c r="BV318" s="24">
        <f>IF(AND($AR$318=2,$AX$318=0),$T$318,NA())</f>
        <v/>
      </c>
      <c r="BW318" s="24"/>
      <c r="BX318" s="24"/>
      <c r="BY318" s="24"/>
      <c r="BZ318" s="24"/>
      <c r="CA318" s="24"/>
      <c r="CB318" s="24">
        <f>IF(AND($AR$318=3,$AX$318=0),$T$318,NA())</f>
        <v/>
      </c>
      <c r="CC318" s="24"/>
      <c r="CD318" s="24"/>
      <c r="CE318" s="24"/>
      <c r="CF318" s="24"/>
      <c r="CG318" s="24"/>
      <c r="CH318" s="24">
        <f>IF(AND($AR$318=4,$AX$318=0),$T$318,NA())</f>
        <v/>
      </c>
      <c r="CI318" s="24"/>
      <c r="CJ318" s="24"/>
      <c r="CK318" s="24"/>
      <c r="CL318" s="24"/>
      <c r="CM318" s="24"/>
      <c r="CN318" s="24">
        <f>IF(AND($AR$318=5,$AX$318=0),$T$318,NA())</f>
        <v/>
      </c>
      <c r="CO318" s="24"/>
      <c r="CP318" s="24"/>
      <c r="CQ318" s="24"/>
      <c r="CR318" s="24"/>
      <c r="CS318" s="24"/>
      <c r="CT318" s="24">
        <f>IF(AND($AR$318=1,$AX$318=1),$T$318,NA())</f>
        <v/>
      </c>
      <c r="CU318" s="24"/>
      <c r="CV318" s="24"/>
      <c r="CW318" s="24"/>
      <c r="CX318" s="24"/>
      <c r="CY318" s="24"/>
      <c r="CZ318" s="24">
        <f>IF(AND($AR$318=2,$AX$318=1),$T$318,NA())</f>
        <v/>
      </c>
      <c r="DA318" s="24"/>
      <c r="DB318" s="24"/>
      <c r="DC318" s="24"/>
      <c r="DD318" s="24"/>
      <c r="DE318" s="24"/>
      <c r="DF318" s="24">
        <f>IF(AND($AR$318=3,$AX$318=1),$T$318,NA())</f>
        <v/>
      </c>
      <c r="DG318" s="24"/>
      <c r="DH318" s="24"/>
      <c r="DI318" s="24"/>
      <c r="DJ318" s="24"/>
      <c r="DK318" s="24"/>
      <c r="DL318" s="24">
        <f>IF(AND($AR$318=4,$AX$318=1),$T$318,NA())</f>
        <v/>
      </c>
      <c r="DM318" s="24"/>
      <c r="DN318" s="24"/>
      <c r="DO318" s="24"/>
      <c r="DP318" s="24"/>
      <c r="DQ318" s="24"/>
      <c r="DR318" s="24">
        <f>IF(AND($AR$318=5,$AX$318=1),$T$318,NA())</f>
        <v/>
      </c>
      <c r="DS318" s="24"/>
      <c r="DT318" s="24"/>
      <c r="DU318" s="24"/>
      <c r="DV318" s="24"/>
      <c r="DW318" s="24"/>
    </row>
    <row r="319" spans="2:127">
      <c r="B319" s="13" t="s">
        <v>1270</v>
      </c>
      <c r="C319" s="13"/>
      <c r="D319" s="13"/>
      <c r="E319" s="13"/>
      <c r="F319" s="13"/>
      <c r="G319" s="13"/>
      <c r="H319" s="13"/>
      <c r="I319" s="13"/>
      <c r="J319" s="13"/>
      <c r="K319" s="13"/>
      <c r="L319" s="13"/>
      <c r="M319" s="13"/>
      <c r="N319" s="24">
        <v>169.1</v>
      </c>
      <c r="O319" s="24"/>
      <c r="P319" s="24"/>
      <c r="Q319" s="24"/>
      <c r="R319" s="24"/>
      <c r="S319" s="24"/>
      <c r="T319" s="24">
        <v>-253.6</v>
      </c>
      <c r="U319" s="24"/>
      <c r="V319" s="24"/>
      <c r="W319" s="24"/>
      <c r="X319" s="24"/>
      <c r="Y319" s="24"/>
      <c r="Z319" s="25">
        <f>N(IFERROR(INDEX($T$285:$T$314,MATCH($AU$4,$B$285:$B$314,0)),""))</f>
        <v/>
      </c>
      <c r="AA319" s="25"/>
      <c r="AB319" s="25"/>
      <c r="AC319" s="25"/>
      <c r="AD319" s="25"/>
      <c r="AE319" s="25"/>
      <c r="AF319" s="25">
        <f>IFERROR(INDEX($T$285:$T$314,MATCH($N$131,$B$285:$B$314,0)),"")</f>
        <v/>
      </c>
      <c r="AG319" s="25"/>
      <c r="AH319" s="25"/>
      <c r="AI319" s="25"/>
      <c r="AJ319" s="25"/>
      <c r="AK319" s="25"/>
      <c r="AL319" s="19">
        <f>IFERROR(IF(N($AF$319)=0,"",($Z$319-$AF$319)/ABS($AF$319)),"")</f>
        <v/>
      </c>
      <c r="AM319" s="19"/>
      <c r="AN319" s="19"/>
      <c r="AO319" s="19"/>
      <c r="AP319" s="19"/>
      <c r="AQ319" s="19"/>
      <c r="AR319" s="14">
        <f>IF($Z$319&lt;=0,0,MIN(5,ROUNDUP(5*SQRT($Z$319/MAX($N$285:$CN$314)),0)))</f>
        <v/>
      </c>
      <c r="AS319" s="14"/>
      <c r="AT319" s="14"/>
      <c r="AU319" s="14"/>
      <c r="AV319" s="14"/>
      <c r="AW319" s="14"/>
      <c r="AX319" s="14">
        <f>IF(N($AL$319)&lt;0,1,0)</f>
        <v/>
      </c>
      <c r="AY319" s="14"/>
      <c r="AZ319" s="14"/>
      <c r="BA319" s="14"/>
      <c r="BB319" s="14"/>
      <c r="BC319" s="14"/>
      <c r="BD319" s="22">
        <f>$Z$319+13/1000</f>
        <v/>
      </c>
      <c r="BE319" s="22"/>
      <c r="BF319" s="22"/>
      <c r="BG319" s="22"/>
      <c r="BH319" s="22"/>
      <c r="BI319" s="22"/>
      <c r="BJ319" s="14">
        <f>IF($Z$319&gt;0,IF(RANK($BD$319,$BD$318:$BD$331,0)&lt;=10,RANK($BD$319,$BD$318:$BD$331,0),""),"")</f>
        <v/>
      </c>
      <c r="BK319" s="14"/>
      <c r="BL319" s="14"/>
      <c r="BM319" s="14"/>
      <c r="BN319" s="14"/>
      <c r="BO319" s="14"/>
      <c r="BP319" s="24">
        <f>IF(AND($AR$319=1,$AX$319=0),$T$319,NA())</f>
        <v/>
      </c>
      <c r="BQ319" s="24"/>
      <c r="BR319" s="24"/>
      <c r="BS319" s="24"/>
      <c r="BT319" s="24"/>
      <c r="BU319" s="24"/>
      <c r="BV319" s="24">
        <f>IF(AND($AR$319=2,$AX$319=0),$T$319,NA())</f>
        <v/>
      </c>
      <c r="BW319" s="24"/>
      <c r="BX319" s="24"/>
      <c r="BY319" s="24"/>
      <c r="BZ319" s="24"/>
      <c r="CA319" s="24"/>
      <c r="CB319" s="24">
        <f>IF(AND($AR$319=3,$AX$319=0),$T$319,NA())</f>
        <v/>
      </c>
      <c r="CC319" s="24"/>
      <c r="CD319" s="24"/>
      <c r="CE319" s="24"/>
      <c r="CF319" s="24"/>
      <c r="CG319" s="24"/>
      <c r="CH319" s="24">
        <f>IF(AND($AR$319=4,$AX$319=0),$T$319,NA())</f>
        <v/>
      </c>
      <c r="CI319" s="24"/>
      <c r="CJ319" s="24"/>
      <c r="CK319" s="24"/>
      <c r="CL319" s="24"/>
      <c r="CM319" s="24"/>
      <c r="CN319" s="24">
        <f>IF(AND($AR$319=5,$AX$319=0),$T$319,NA())</f>
        <v/>
      </c>
      <c r="CO319" s="24"/>
      <c r="CP319" s="24"/>
      <c r="CQ319" s="24"/>
      <c r="CR319" s="24"/>
      <c r="CS319" s="24"/>
      <c r="CT319" s="24">
        <f>IF(AND($AR$319=1,$AX$319=1),$T$319,NA())</f>
        <v/>
      </c>
      <c r="CU319" s="24"/>
      <c r="CV319" s="24"/>
      <c r="CW319" s="24"/>
      <c r="CX319" s="24"/>
      <c r="CY319" s="24"/>
      <c r="CZ319" s="24">
        <f>IF(AND($AR$319=2,$AX$319=1),$T$319,NA())</f>
        <v/>
      </c>
      <c r="DA319" s="24"/>
      <c r="DB319" s="24"/>
      <c r="DC319" s="24"/>
      <c r="DD319" s="24"/>
      <c r="DE319" s="24"/>
      <c r="DF319" s="24">
        <f>IF(AND($AR$319=3,$AX$319=1),$T$319,NA())</f>
        <v/>
      </c>
      <c r="DG319" s="24"/>
      <c r="DH319" s="24"/>
      <c r="DI319" s="24"/>
      <c r="DJ319" s="24"/>
      <c r="DK319" s="24"/>
      <c r="DL319" s="24">
        <f>IF(AND($AR$319=4,$AX$319=1),$T$319,NA())</f>
        <v/>
      </c>
      <c r="DM319" s="24"/>
      <c r="DN319" s="24"/>
      <c r="DO319" s="24"/>
      <c r="DP319" s="24"/>
      <c r="DQ319" s="24"/>
      <c r="DR319" s="24">
        <f>IF(AND($AR$319=5,$AX$319=1),$T$319,NA())</f>
        <v/>
      </c>
      <c r="DS319" s="24"/>
      <c r="DT319" s="24"/>
      <c r="DU319" s="24"/>
      <c r="DV319" s="24"/>
      <c r="DW319" s="24"/>
    </row>
    <row r="320" spans="2:127">
      <c r="B320" s="13" t="s">
        <v>1271</v>
      </c>
      <c r="C320" s="13"/>
      <c r="D320" s="13"/>
      <c r="E320" s="13"/>
      <c r="F320" s="13"/>
      <c r="G320" s="13"/>
      <c r="H320" s="13"/>
      <c r="I320" s="13"/>
      <c r="J320" s="13"/>
      <c r="K320" s="13"/>
      <c r="L320" s="13"/>
      <c r="M320" s="13"/>
      <c r="N320" s="24">
        <v>166</v>
      </c>
      <c r="O320" s="24"/>
      <c r="P320" s="24"/>
      <c r="Q320" s="24"/>
      <c r="R320" s="24"/>
      <c r="S320" s="24"/>
      <c r="T320" s="24">
        <v>-257.7</v>
      </c>
      <c r="U320" s="24"/>
      <c r="V320" s="24"/>
      <c r="W320" s="24"/>
      <c r="X320" s="24"/>
      <c r="Y320" s="24"/>
      <c r="Z320" s="25">
        <f>N(IFERROR(INDEX($Z$285:$Z$314,MATCH($AU$4,$B$285:$B$314,0)),""))</f>
        <v/>
      </c>
      <c r="AA320" s="25"/>
      <c r="AB320" s="25"/>
      <c r="AC320" s="25"/>
      <c r="AD320" s="25"/>
      <c r="AE320" s="25"/>
      <c r="AF320" s="25">
        <f>IFERROR(INDEX($Z$285:$Z$314,MATCH($N$131,$B$285:$B$314,0)),"")</f>
        <v/>
      </c>
      <c r="AG320" s="25"/>
      <c r="AH320" s="25"/>
      <c r="AI320" s="25"/>
      <c r="AJ320" s="25"/>
      <c r="AK320" s="25"/>
      <c r="AL320" s="19">
        <f>IFERROR(IF(N($AF$320)=0,"",($Z$320-$AF$320)/ABS($AF$320)),"")</f>
        <v/>
      </c>
      <c r="AM320" s="19"/>
      <c r="AN320" s="19"/>
      <c r="AO320" s="19"/>
      <c r="AP320" s="19"/>
      <c r="AQ320" s="19"/>
      <c r="AR320" s="14">
        <f>IF($Z$320&lt;=0,0,MIN(5,ROUNDUP(5*SQRT($Z$320/MAX($N$285:$CN$314)),0)))</f>
        <v/>
      </c>
      <c r="AS320" s="14"/>
      <c r="AT320" s="14"/>
      <c r="AU320" s="14"/>
      <c r="AV320" s="14"/>
      <c r="AW320" s="14"/>
      <c r="AX320" s="14">
        <f>IF(N($AL$320)&lt;0,1,0)</f>
        <v/>
      </c>
      <c r="AY320" s="14"/>
      <c r="AZ320" s="14"/>
      <c r="BA320" s="14"/>
      <c r="BB320" s="14"/>
      <c r="BC320" s="14"/>
      <c r="BD320" s="22">
        <f>$Z$320+12/1000</f>
        <v/>
      </c>
      <c r="BE320" s="22"/>
      <c r="BF320" s="22"/>
      <c r="BG320" s="22"/>
      <c r="BH320" s="22"/>
      <c r="BI320" s="22"/>
      <c r="BJ320" s="14">
        <f>IF($Z$320&gt;0,IF(RANK($BD$320,$BD$318:$BD$331,0)&lt;=10,RANK($BD$320,$BD$318:$BD$331,0),""),"")</f>
        <v/>
      </c>
      <c r="BK320" s="14"/>
      <c r="BL320" s="14"/>
      <c r="BM320" s="14"/>
      <c r="BN320" s="14"/>
      <c r="BO320" s="14"/>
      <c r="BP320" s="24">
        <f>IF(AND($AR$320=1,$AX$320=0),$T$320,NA())</f>
        <v/>
      </c>
      <c r="BQ320" s="24"/>
      <c r="BR320" s="24"/>
      <c r="BS320" s="24"/>
      <c r="BT320" s="24"/>
      <c r="BU320" s="24"/>
      <c r="BV320" s="24">
        <f>IF(AND($AR$320=2,$AX$320=0),$T$320,NA())</f>
        <v/>
      </c>
      <c r="BW320" s="24"/>
      <c r="BX320" s="24"/>
      <c r="BY320" s="24"/>
      <c r="BZ320" s="24"/>
      <c r="CA320" s="24"/>
      <c r="CB320" s="24">
        <f>IF(AND($AR$320=3,$AX$320=0),$T$320,NA())</f>
        <v/>
      </c>
      <c r="CC320" s="24"/>
      <c r="CD320" s="24"/>
      <c r="CE320" s="24"/>
      <c r="CF320" s="24"/>
      <c r="CG320" s="24"/>
      <c r="CH320" s="24">
        <f>IF(AND($AR$320=4,$AX$320=0),$T$320,NA())</f>
        <v/>
      </c>
      <c r="CI320" s="24"/>
      <c r="CJ320" s="24"/>
      <c r="CK320" s="24"/>
      <c r="CL320" s="24"/>
      <c r="CM320" s="24"/>
      <c r="CN320" s="24">
        <f>IF(AND($AR$320=5,$AX$320=0),$T$320,NA())</f>
        <v/>
      </c>
      <c r="CO320" s="24"/>
      <c r="CP320" s="24"/>
      <c r="CQ320" s="24"/>
      <c r="CR320" s="24"/>
      <c r="CS320" s="24"/>
      <c r="CT320" s="24">
        <f>IF(AND($AR$320=1,$AX$320=1),$T$320,NA())</f>
        <v/>
      </c>
      <c r="CU320" s="24"/>
      <c r="CV320" s="24"/>
      <c r="CW320" s="24"/>
      <c r="CX320" s="24"/>
      <c r="CY320" s="24"/>
      <c r="CZ320" s="24">
        <f>IF(AND($AR$320=2,$AX$320=1),$T$320,NA())</f>
        <v/>
      </c>
      <c r="DA320" s="24"/>
      <c r="DB320" s="24"/>
      <c r="DC320" s="24"/>
      <c r="DD320" s="24"/>
      <c r="DE320" s="24"/>
      <c r="DF320" s="24">
        <f>IF(AND($AR$320=3,$AX$320=1),$T$320,NA())</f>
        <v/>
      </c>
      <c r="DG320" s="24"/>
      <c r="DH320" s="24"/>
      <c r="DI320" s="24"/>
      <c r="DJ320" s="24"/>
      <c r="DK320" s="24"/>
      <c r="DL320" s="24">
        <f>IF(AND($AR$320=4,$AX$320=1),$T$320,NA())</f>
        <v/>
      </c>
      <c r="DM320" s="24"/>
      <c r="DN320" s="24"/>
      <c r="DO320" s="24"/>
      <c r="DP320" s="24"/>
      <c r="DQ320" s="24"/>
      <c r="DR320" s="24">
        <f>IF(AND($AR$320=5,$AX$320=1),$T$320,NA())</f>
        <v/>
      </c>
      <c r="DS320" s="24"/>
      <c r="DT320" s="24"/>
      <c r="DU320" s="24"/>
      <c r="DV320" s="24"/>
      <c r="DW320" s="24"/>
    </row>
    <row r="321" spans="2:127">
      <c r="B321" s="13" t="s">
        <v>1272</v>
      </c>
      <c r="C321" s="13"/>
      <c r="D321" s="13"/>
      <c r="E321" s="13"/>
      <c r="F321" s="13"/>
      <c r="G321" s="13"/>
      <c r="H321" s="13"/>
      <c r="I321" s="13"/>
      <c r="J321" s="13"/>
      <c r="K321" s="13"/>
      <c r="L321" s="13"/>
      <c r="M321" s="13"/>
      <c r="N321" s="24">
        <v>166.6</v>
      </c>
      <c r="O321" s="24"/>
      <c r="P321" s="24"/>
      <c r="Q321" s="24"/>
      <c r="R321" s="24"/>
      <c r="S321" s="24"/>
      <c r="T321" s="24">
        <v>-282.5</v>
      </c>
      <c r="U321" s="24"/>
      <c r="V321" s="24"/>
      <c r="W321" s="24"/>
      <c r="X321" s="24"/>
      <c r="Y321" s="24"/>
      <c r="Z321" s="25">
        <f>N(IFERROR(INDEX($AF$285:$AF$314,MATCH($AU$4,$B$285:$B$314,0)),""))</f>
        <v/>
      </c>
      <c r="AA321" s="25"/>
      <c r="AB321" s="25"/>
      <c r="AC321" s="25"/>
      <c r="AD321" s="25"/>
      <c r="AE321" s="25"/>
      <c r="AF321" s="25">
        <f>IFERROR(INDEX($AF$285:$AF$314,MATCH($N$131,$B$285:$B$314,0)),"")</f>
        <v/>
      </c>
      <c r="AG321" s="25"/>
      <c r="AH321" s="25"/>
      <c r="AI321" s="25"/>
      <c r="AJ321" s="25"/>
      <c r="AK321" s="25"/>
      <c r="AL321" s="19">
        <f>IFERROR(IF(N($AF$321)=0,"",($Z$321-$AF$321)/ABS($AF$321)),"")</f>
        <v/>
      </c>
      <c r="AM321" s="19"/>
      <c r="AN321" s="19"/>
      <c r="AO321" s="19"/>
      <c r="AP321" s="19"/>
      <c r="AQ321" s="19"/>
      <c r="AR321" s="14">
        <f>IF($Z$321&lt;=0,0,MIN(5,ROUNDUP(5*SQRT($Z$321/MAX($N$285:$CN$314)),0)))</f>
        <v/>
      </c>
      <c r="AS321" s="14"/>
      <c r="AT321" s="14"/>
      <c r="AU321" s="14"/>
      <c r="AV321" s="14"/>
      <c r="AW321" s="14"/>
      <c r="AX321" s="14">
        <f>IF(N($AL$321)&lt;0,1,0)</f>
        <v/>
      </c>
      <c r="AY321" s="14"/>
      <c r="AZ321" s="14"/>
      <c r="BA321" s="14"/>
      <c r="BB321" s="14"/>
      <c r="BC321" s="14"/>
      <c r="BD321" s="22">
        <f>$Z$321+11/1000</f>
        <v/>
      </c>
      <c r="BE321" s="22"/>
      <c r="BF321" s="22"/>
      <c r="BG321" s="22"/>
      <c r="BH321" s="22"/>
      <c r="BI321" s="22"/>
      <c r="BJ321" s="14">
        <f>IF($Z$321&gt;0,IF(RANK($BD$321,$BD$318:$BD$331,0)&lt;=10,RANK($BD$321,$BD$318:$BD$331,0),""),"")</f>
        <v/>
      </c>
      <c r="BK321" s="14"/>
      <c r="BL321" s="14"/>
      <c r="BM321" s="14"/>
      <c r="BN321" s="14"/>
      <c r="BO321" s="14"/>
      <c r="BP321" s="24">
        <f>IF(AND($AR$321=1,$AX$321=0),$T$321,NA())</f>
        <v/>
      </c>
      <c r="BQ321" s="24"/>
      <c r="BR321" s="24"/>
      <c r="BS321" s="24"/>
      <c r="BT321" s="24"/>
      <c r="BU321" s="24"/>
      <c r="BV321" s="24">
        <f>IF(AND($AR$321=2,$AX$321=0),$T$321,NA())</f>
        <v/>
      </c>
      <c r="BW321" s="24"/>
      <c r="BX321" s="24"/>
      <c r="BY321" s="24"/>
      <c r="BZ321" s="24"/>
      <c r="CA321" s="24"/>
      <c r="CB321" s="24">
        <f>IF(AND($AR$321=3,$AX$321=0),$T$321,NA())</f>
        <v/>
      </c>
      <c r="CC321" s="24"/>
      <c r="CD321" s="24"/>
      <c r="CE321" s="24"/>
      <c r="CF321" s="24"/>
      <c r="CG321" s="24"/>
      <c r="CH321" s="24">
        <f>IF(AND($AR$321=4,$AX$321=0),$T$321,NA())</f>
        <v/>
      </c>
      <c r="CI321" s="24"/>
      <c r="CJ321" s="24"/>
      <c r="CK321" s="24"/>
      <c r="CL321" s="24"/>
      <c r="CM321" s="24"/>
      <c r="CN321" s="24">
        <f>IF(AND($AR$321=5,$AX$321=0),$T$321,NA())</f>
        <v/>
      </c>
      <c r="CO321" s="24"/>
      <c r="CP321" s="24"/>
      <c r="CQ321" s="24"/>
      <c r="CR321" s="24"/>
      <c r="CS321" s="24"/>
      <c r="CT321" s="24">
        <f>IF(AND($AR$321=1,$AX$321=1),$T$321,NA())</f>
        <v/>
      </c>
      <c r="CU321" s="24"/>
      <c r="CV321" s="24"/>
      <c r="CW321" s="24"/>
      <c r="CX321" s="24"/>
      <c r="CY321" s="24"/>
      <c r="CZ321" s="24">
        <f>IF(AND($AR$321=2,$AX$321=1),$T$321,NA())</f>
        <v/>
      </c>
      <c r="DA321" s="24"/>
      <c r="DB321" s="24"/>
      <c r="DC321" s="24"/>
      <c r="DD321" s="24"/>
      <c r="DE321" s="24"/>
      <c r="DF321" s="24">
        <f>IF(AND($AR$321=3,$AX$321=1),$T$321,NA())</f>
        <v/>
      </c>
      <c r="DG321" s="24"/>
      <c r="DH321" s="24"/>
      <c r="DI321" s="24"/>
      <c r="DJ321" s="24"/>
      <c r="DK321" s="24"/>
      <c r="DL321" s="24">
        <f>IF(AND($AR$321=4,$AX$321=1),$T$321,NA())</f>
        <v/>
      </c>
      <c r="DM321" s="24"/>
      <c r="DN321" s="24"/>
      <c r="DO321" s="24"/>
      <c r="DP321" s="24"/>
      <c r="DQ321" s="24"/>
      <c r="DR321" s="24">
        <f>IF(AND($AR$321=5,$AX$321=1),$T$321,NA())</f>
        <v/>
      </c>
      <c r="DS321" s="24"/>
      <c r="DT321" s="24"/>
      <c r="DU321" s="24"/>
      <c r="DV321" s="24"/>
      <c r="DW321" s="24"/>
    </row>
    <row r="322" spans="2:127">
      <c r="B322" s="13" t="s">
        <v>1273</v>
      </c>
      <c r="C322" s="13"/>
      <c r="D322" s="13"/>
      <c r="E322" s="13"/>
      <c r="F322" s="13"/>
      <c r="G322" s="13"/>
      <c r="H322" s="13"/>
      <c r="I322" s="13"/>
      <c r="J322" s="13"/>
      <c r="K322" s="13"/>
      <c r="L322" s="13"/>
      <c r="M322" s="13"/>
      <c r="N322" s="24">
        <v>137.1</v>
      </c>
      <c r="O322" s="24"/>
      <c r="P322" s="24"/>
      <c r="Q322" s="24"/>
      <c r="R322" s="24"/>
      <c r="S322" s="24"/>
      <c r="T322" s="24">
        <v>-273.9</v>
      </c>
      <c r="U322" s="24"/>
      <c r="V322" s="24"/>
      <c r="W322" s="24"/>
      <c r="X322" s="24"/>
      <c r="Y322" s="24"/>
      <c r="Z322" s="25">
        <f>N(IFERROR(INDEX($AL$285:$AL$314,MATCH($AU$4,$B$285:$B$314,0)),""))</f>
        <v/>
      </c>
      <c r="AA322" s="25"/>
      <c r="AB322" s="25"/>
      <c r="AC322" s="25"/>
      <c r="AD322" s="25"/>
      <c r="AE322" s="25"/>
      <c r="AF322" s="25">
        <f>IFERROR(INDEX($AL$285:$AL$314,MATCH($N$131,$B$285:$B$314,0)),"")</f>
        <v/>
      </c>
      <c r="AG322" s="25"/>
      <c r="AH322" s="25"/>
      <c r="AI322" s="25"/>
      <c r="AJ322" s="25"/>
      <c r="AK322" s="25"/>
      <c r="AL322" s="19">
        <f>IFERROR(IF(N($AF$322)=0,"",($Z$322-$AF$322)/ABS($AF$322)),"")</f>
        <v/>
      </c>
      <c r="AM322" s="19"/>
      <c r="AN322" s="19"/>
      <c r="AO322" s="19"/>
      <c r="AP322" s="19"/>
      <c r="AQ322" s="19"/>
      <c r="AR322" s="14">
        <f>IF($Z$322&lt;=0,0,MIN(5,ROUNDUP(5*SQRT($Z$322/MAX($N$285:$CN$314)),0)))</f>
        <v/>
      </c>
      <c r="AS322" s="14"/>
      <c r="AT322" s="14"/>
      <c r="AU322" s="14"/>
      <c r="AV322" s="14"/>
      <c r="AW322" s="14"/>
      <c r="AX322" s="14">
        <f>IF(N($AL$322)&lt;0,1,0)</f>
        <v/>
      </c>
      <c r="AY322" s="14"/>
      <c r="AZ322" s="14"/>
      <c r="BA322" s="14"/>
      <c r="BB322" s="14"/>
      <c r="BC322" s="14"/>
      <c r="BD322" s="22">
        <f>$Z$322+10/1000</f>
        <v/>
      </c>
      <c r="BE322" s="22"/>
      <c r="BF322" s="22"/>
      <c r="BG322" s="22"/>
      <c r="BH322" s="22"/>
      <c r="BI322" s="22"/>
      <c r="BJ322" s="14">
        <f>IF($Z$322&gt;0,IF(RANK($BD$322,$BD$318:$BD$331,0)&lt;=10,RANK($BD$322,$BD$318:$BD$331,0),""),"")</f>
        <v/>
      </c>
      <c r="BK322" s="14"/>
      <c r="BL322" s="14"/>
      <c r="BM322" s="14"/>
      <c r="BN322" s="14"/>
      <c r="BO322" s="14"/>
      <c r="BP322" s="24">
        <f>IF(AND($AR$322=1,$AX$322=0),$T$322,NA())</f>
        <v/>
      </c>
      <c r="BQ322" s="24"/>
      <c r="BR322" s="24"/>
      <c r="BS322" s="24"/>
      <c r="BT322" s="24"/>
      <c r="BU322" s="24"/>
      <c r="BV322" s="24">
        <f>IF(AND($AR$322=2,$AX$322=0),$T$322,NA())</f>
        <v/>
      </c>
      <c r="BW322" s="24"/>
      <c r="BX322" s="24"/>
      <c r="BY322" s="24"/>
      <c r="BZ322" s="24"/>
      <c r="CA322" s="24"/>
      <c r="CB322" s="24">
        <f>IF(AND($AR$322=3,$AX$322=0),$T$322,NA())</f>
        <v/>
      </c>
      <c r="CC322" s="24"/>
      <c r="CD322" s="24"/>
      <c r="CE322" s="24"/>
      <c r="CF322" s="24"/>
      <c r="CG322" s="24"/>
      <c r="CH322" s="24">
        <f>IF(AND($AR$322=4,$AX$322=0),$T$322,NA())</f>
        <v/>
      </c>
      <c r="CI322" s="24"/>
      <c r="CJ322" s="24"/>
      <c r="CK322" s="24"/>
      <c r="CL322" s="24"/>
      <c r="CM322" s="24"/>
      <c r="CN322" s="24">
        <f>IF(AND($AR$322=5,$AX$322=0),$T$322,NA())</f>
        <v/>
      </c>
      <c r="CO322" s="24"/>
      <c r="CP322" s="24"/>
      <c r="CQ322" s="24"/>
      <c r="CR322" s="24"/>
      <c r="CS322" s="24"/>
      <c r="CT322" s="24">
        <f>IF(AND($AR$322=1,$AX$322=1),$T$322,NA())</f>
        <v/>
      </c>
      <c r="CU322" s="24"/>
      <c r="CV322" s="24"/>
      <c r="CW322" s="24"/>
      <c r="CX322" s="24"/>
      <c r="CY322" s="24"/>
      <c r="CZ322" s="24">
        <f>IF(AND($AR$322=2,$AX$322=1),$T$322,NA())</f>
        <v/>
      </c>
      <c r="DA322" s="24"/>
      <c r="DB322" s="24"/>
      <c r="DC322" s="24"/>
      <c r="DD322" s="24"/>
      <c r="DE322" s="24"/>
      <c r="DF322" s="24">
        <f>IF(AND($AR$322=3,$AX$322=1),$T$322,NA())</f>
        <v/>
      </c>
      <c r="DG322" s="24"/>
      <c r="DH322" s="24"/>
      <c r="DI322" s="24"/>
      <c r="DJ322" s="24"/>
      <c r="DK322" s="24"/>
      <c r="DL322" s="24">
        <f>IF(AND($AR$322=4,$AX$322=1),$T$322,NA())</f>
        <v/>
      </c>
      <c r="DM322" s="24"/>
      <c r="DN322" s="24"/>
      <c r="DO322" s="24"/>
      <c r="DP322" s="24"/>
      <c r="DQ322" s="24"/>
      <c r="DR322" s="24">
        <f>IF(AND($AR$322=5,$AX$322=1),$T$322,NA())</f>
        <v/>
      </c>
      <c r="DS322" s="24"/>
      <c r="DT322" s="24"/>
      <c r="DU322" s="24"/>
      <c r="DV322" s="24"/>
      <c r="DW322" s="24"/>
    </row>
    <row r="323" spans="2:127">
      <c r="B323" s="13" t="s">
        <v>1274</v>
      </c>
      <c r="C323" s="13"/>
      <c r="D323" s="13"/>
      <c r="E323" s="13"/>
      <c r="F323" s="13"/>
      <c r="G323" s="13"/>
      <c r="H323" s="13"/>
      <c r="I323" s="13"/>
      <c r="J323" s="13"/>
      <c r="K323" s="13"/>
      <c r="L323" s="13"/>
      <c r="M323" s="13"/>
      <c r="N323" s="24">
        <v>144.8</v>
      </c>
      <c r="O323" s="24"/>
      <c r="P323" s="24"/>
      <c r="Q323" s="24"/>
      <c r="R323" s="24"/>
      <c r="S323" s="24"/>
      <c r="T323" s="24">
        <v>-253.2</v>
      </c>
      <c r="U323" s="24"/>
      <c r="V323" s="24"/>
      <c r="W323" s="24"/>
      <c r="X323" s="24"/>
      <c r="Y323" s="24"/>
      <c r="Z323" s="25">
        <f>N(IFERROR(INDEX($AR$285:$AR$314,MATCH($AU$4,$B$285:$B$314,0)),""))</f>
        <v/>
      </c>
      <c r="AA323" s="25"/>
      <c r="AB323" s="25"/>
      <c r="AC323" s="25"/>
      <c r="AD323" s="25"/>
      <c r="AE323" s="25"/>
      <c r="AF323" s="25">
        <f>IFERROR(INDEX($AR$285:$AR$314,MATCH($N$131,$B$285:$B$314,0)),"")</f>
        <v/>
      </c>
      <c r="AG323" s="25"/>
      <c r="AH323" s="25"/>
      <c r="AI323" s="25"/>
      <c r="AJ323" s="25"/>
      <c r="AK323" s="25"/>
      <c r="AL323" s="19">
        <f>IFERROR(IF(N($AF$323)=0,"",($Z$323-$AF$323)/ABS($AF$323)),"")</f>
        <v/>
      </c>
      <c r="AM323" s="19"/>
      <c r="AN323" s="19"/>
      <c r="AO323" s="19"/>
      <c r="AP323" s="19"/>
      <c r="AQ323" s="19"/>
      <c r="AR323" s="14">
        <f>IF($Z$323&lt;=0,0,MIN(5,ROUNDUP(5*SQRT($Z$323/MAX($N$285:$CN$314)),0)))</f>
        <v/>
      </c>
      <c r="AS323" s="14"/>
      <c r="AT323" s="14"/>
      <c r="AU323" s="14"/>
      <c r="AV323" s="14"/>
      <c r="AW323" s="14"/>
      <c r="AX323" s="14">
        <f>IF(N($AL$323)&lt;0,1,0)</f>
        <v/>
      </c>
      <c r="AY323" s="14"/>
      <c r="AZ323" s="14"/>
      <c r="BA323" s="14"/>
      <c r="BB323" s="14"/>
      <c r="BC323" s="14"/>
      <c r="BD323" s="22">
        <f>$Z$323+9/1000</f>
        <v/>
      </c>
      <c r="BE323" s="22"/>
      <c r="BF323" s="22"/>
      <c r="BG323" s="22"/>
      <c r="BH323" s="22"/>
      <c r="BI323" s="22"/>
      <c r="BJ323" s="14">
        <f>IF($Z$323&gt;0,IF(RANK($BD$323,$BD$318:$BD$331,0)&lt;=10,RANK($BD$323,$BD$318:$BD$331,0),""),"")</f>
        <v/>
      </c>
      <c r="BK323" s="14"/>
      <c r="BL323" s="14"/>
      <c r="BM323" s="14"/>
      <c r="BN323" s="14"/>
      <c r="BO323" s="14"/>
      <c r="BP323" s="24">
        <f>IF(AND($AR$323=1,$AX$323=0),$T$323,NA())</f>
        <v/>
      </c>
      <c r="BQ323" s="24"/>
      <c r="BR323" s="24"/>
      <c r="BS323" s="24"/>
      <c r="BT323" s="24"/>
      <c r="BU323" s="24"/>
      <c r="BV323" s="24">
        <f>IF(AND($AR$323=2,$AX$323=0),$T$323,NA())</f>
        <v/>
      </c>
      <c r="BW323" s="24"/>
      <c r="BX323" s="24"/>
      <c r="BY323" s="24"/>
      <c r="BZ323" s="24"/>
      <c r="CA323" s="24"/>
      <c r="CB323" s="24">
        <f>IF(AND($AR$323=3,$AX$323=0),$T$323,NA())</f>
        <v/>
      </c>
      <c r="CC323" s="24"/>
      <c r="CD323" s="24"/>
      <c r="CE323" s="24"/>
      <c r="CF323" s="24"/>
      <c r="CG323" s="24"/>
      <c r="CH323" s="24">
        <f>IF(AND($AR$323=4,$AX$323=0),$T$323,NA())</f>
        <v/>
      </c>
      <c r="CI323" s="24"/>
      <c r="CJ323" s="24"/>
      <c r="CK323" s="24"/>
      <c r="CL323" s="24"/>
      <c r="CM323" s="24"/>
      <c r="CN323" s="24">
        <f>IF(AND($AR$323=5,$AX$323=0),$T$323,NA())</f>
        <v/>
      </c>
      <c r="CO323" s="24"/>
      <c r="CP323" s="24"/>
      <c r="CQ323" s="24"/>
      <c r="CR323" s="24"/>
      <c r="CS323" s="24"/>
      <c r="CT323" s="24">
        <f>IF(AND($AR$323=1,$AX$323=1),$T$323,NA())</f>
        <v/>
      </c>
      <c r="CU323" s="24"/>
      <c r="CV323" s="24"/>
      <c r="CW323" s="24"/>
      <c r="CX323" s="24"/>
      <c r="CY323" s="24"/>
      <c r="CZ323" s="24">
        <f>IF(AND($AR$323=2,$AX$323=1),$T$323,NA())</f>
        <v/>
      </c>
      <c r="DA323" s="24"/>
      <c r="DB323" s="24"/>
      <c r="DC323" s="24"/>
      <c r="DD323" s="24"/>
      <c r="DE323" s="24"/>
      <c r="DF323" s="24">
        <f>IF(AND($AR$323=3,$AX$323=1),$T$323,NA())</f>
        <v/>
      </c>
      <c r="DG323" s="24"/>
      <c r="DH323" s="24"/>
      <c r="DI323" s="24"/>
      <c r="DJ323" s="24"/>
      <c r="DK323" s="24"/>
      <c r="DL323" s="24">
        <f>IF(AND($AR$323=4,$AX$323=1),$T$323,NA())</f>
        <v/>
      </c>
      <c r="DM323" s="24"/>
      <c r="DN323" s="24"/>
      <c r="DO323" s="24"/>
      <c r="DP323" s="24"/>
      <c r="DQ323" s="24"/>
      <c r="DR323" s="24">
        <f>IF(AND($AR$323=5,$AX$323=1),$T$323,NA())</f>
        <v/>
      </c>
      <c r="DS323" s="24"/>
      <c r="DT323" s="24"/>
      <c r="DU323" s="24"/>
      <c r="DV323" s="24"/>
      <c r="DW323" s="24"/>
    </row>
    <row r="324" spans="2:127">
      <c r="B324" s="13" t="s">
        <v>1275</v>
      </c>
      <c r="C324" s="13"/>
      <c r="D324" s="13"/>
      <c r="E324" s="13"/>
      <c r="F324" s="13"/>
      <c r="G324" s="13"/>
      <c r="H324" s="13"/>
      <c r="I324" s="13"/>
      <c r="J324" s="13"/>
      <c r="K324" s="13"/>
      <c r="L324" s="13"/>
      <c r="M324" s="13"/>
      <c r="N324" s="24">
        <v>187.5</v>
      </c>
      <c r="O324" s="24"/>
      <c r="P324" s="24"/>
      <c r="Q324" s="24"/>
      <c r="R324" s="24"/>
      <c r="S324" s="24"/>
      <c r="T324" s="24">
        <v>-282.7</v>
      </c>
      <c r="U324" s="24"/>
      <c r="V324" s="24"/>
      <c r="W324" s="24"/>
      <c r="X324" s="24"/>
      <c r="Y324" s="24"/>
      <c r="Z324" s="25">
        <f>N(IFERROR(INDEX($AX$285:$AX$314,MATCH($AU$4,$B$285:$B$314,0)),""))</f>
        <v/>
      </c>
      <c r="AA324" s="25"/>
      <c r="AB324" s="25"/>
      <c r="AC324" s="25"/>
      <c r="AD324" s="25"/>
      <c r="AE324" s="25"/>
      <c r="AF324" s="25">
        <f>IFERROR(INDEX($AX$285:$AX$314,MATCH($N$131,$B$285:$B$314,0)),"")</f>
        <v/>
      </c>
      <c r="AG324" s="25"/>
      <c r="AH324" s="25"/>
      <c r="AI324" s="25"/>
      <c r="AJ324" s="25"/>
      <c r="AK324" s="25"/>
      <c r="AL324" s="19">
        <f>IFERROR(IF(N($AF$324)=0,"",($Z$324-$AF$324)/ABS($AF$324)),"")</f>
        <v/>
      </c>
      <c r="AM324" s="19"/>
      <c r="AN324" s="19"/>
      <c r="AO324" s="19"/>
      <c r="AP324" s="19"/>
      <c r="AQ324" s="19"/>
      <c r="AR324" s="14">
        <f>IF($Z$324&lt;=0,0,MIN(5,ROUNDUP(5*SQRT($Z$324/MAX($N$285:$CN$314)),0)))</f>
        <v/>
      </c>
      <c r="AS324" s="14"/>
      <c r="AT324" s="14"/>
      <c r="AU324" s="14"/>
      <c r="AV324" s="14"/>
      <c r="AW324" s="14"/>
      <c r="AX324" s="14">
        <f>IF(N($AL$324)&lt;0,1,0)</f>
        <v/>
      </c>
      <c r="AY324" s="14"/>
      <c r="AZ324" s="14"/>
      <c r="BA324" s="14"/>
      <c r="BB324" s="14"/>
      <c r="BC324" s="14"/>
      <c r="BD324" s="22">
        <f>$Z$324+8/1000</f>
        <v/>
      </c>
      <c r="BE324" s="22"/>
      <c r="BF324" s="22"/>
      <c r="BG324" s="22"/>
      <c r="BH324" s="22"/>
      <c r="BI324" s="22"/>
      <c r="BJ324" s="14">
        <f>IF($Z$324&gt;0,IF(RANK($BD$324,$BD$318:$BD$331,0)&lt;=10,RANK($BD$324,$BD$318:$BD$331,0),""),"")</f>
        <v/>
      </c>
      <c r="BK324" s="14"/>
      <c r="BL324" s="14"/>
      <c r="BM324" s="14"/>
      <c r="BN324" s="14"/>
      <c r="BO324" s="14"/>
      <c r="BP324" s="24">
        <f>IF(AND($AR$324=1,$AX$324=0),$T$324,NA())</f>
        <v/>
      </c>
      <c r="BQ324" s="24"/>
      <c r="BR324" s="24"/>
      <c r="BS324" s="24"/>
      <c r="BT324" s="24"/>
      <c r="BU324" s="24"/>
      <c r="BV324" s="24">
        <f>IF(AND($AR$324=2,$AX$324=0),$T$324,NA())</f>
        <v/>
      </c>
      <c r="BW324" s="24"/>
      <c r="BX324" s="24"/>
      <c r="BY324" s="24"/>
      <c r="BZ324" s="24"/>
      <c r="CA324" s="24"/>
      <c r="CB324" s="24">
        <f>IF(AND($AR$324=3,$AX$324=0),$T$324,NA())</f>
        <v/>
      </c>
      <c r="CC324" s="24"/>
      <c r="CD324" s="24"/>
      <c r="CE324" s="24"/>
      <c r="CF324" s="24"/>
      <c r="CG324" s="24"/>
      <c r="CH324" s="24">
        <f>IF(AND($AR$324=4,$AX$324=0),$T$324,NA())</f>
        <v/>
      </c>
      <c r="CI324" s="24"/>
      <c r="CJ324" s="24"/>
      <c r="CK324" s="24"/>
      <c r="CL324" s="24"/>
      <c r="CM324" s="24"/>
      <c r="CN324" s="24">
        <f>IF(AND($AR$324=5,$AX$324=0),$T$324,NA())</f>
        <v/>
      </c>
      <c r="CO324" s="24"/>
      <c r="CP324" s="24"/>
      <c r="CQ324" s="24"/>
      <c r="CR324" s="24"/>
      <c r="CS324" s="24"/>
      <c r="CT324" s="24">
        <f>IF(AND($AR$324=1,$AX$324=1),$T$324,NA())</f>
        <v/>
      </c>
      <c r="CU324" s="24"/>
      <c r="CV324" s="24"/>
      <c r="CW324" s="24"/>
      <c r="CX324" s="24"/>
      <c r="CY324" s="24"/>
      <c r="CZ324" s="24">
        <f>IF(AND($AR$324=2,$AX$324=1),$T$324,NA())</f>
        <v/>
      </c>
      <c r="DA324" s="24"/>
      <c r="DB324" s="24"/>
      <c r="DC324" s="24"/>
      <c r="DD324" s="24"/>
      <c r="DE324" s="24"/>
      <c r="DF324" s="24">
        <f>IF(AND($AR$324=3,$AX$324=1),$T$324,NA())</f>
        <v/>
      </c>
      <c r="DG324" s="24"/>
      <c r="DH324" s="24"/>
      <c r="DI324" s="24"/>
      <c r="DJ324" s="24"/>
      <c r="DK324" s="24"/>
      <c r="DL324" s="24">
        <f>IF(AND($AR$324=4,$AX$324=1),$T$324,NA())</f>
        <v/>
      </c>
      <c r="DM324" s="24"/>
      <c r="DN324" s="24"/>
      <c r="DO324" s="24"/>
      <c r="DP324" s="24"/>
      <c r="DQ324" s="24"/>
      <c r="DR324" s="24">
        <f>IF(AND($AR$324=5,$AX$324=1),$T$324,NA())</f>
        <v/>
      </c>
      <c r="DS324" s="24"/>
      <c r="DT324" s="24"/>
      <c r="DU324" s="24"/>
      <c r="DV324" s="24"/>
      <c r="DW324" s="24"/>
    </row>
    <row r="325" spans="2:127">
      <c r="B325" s="13" t="s">
        <v>1276</v>
      </c>
      <c r="C325" s="13"/>
      <c r="D325" s="13"/>
      <c r="E325" s="13"/>
      <c r="F325" s="13"/>
      <c r="G325" s="13"/>
      <c r="H325" s="13"/>
      <c r="I325" s="13"/>
      <c r="J325" s="13"/>
      <c r="K325" s="13"/>
      <c r="L325" s="13"/>
      <c r="M325" s="13"/>
      <c r="N325" s="24">
        <v>173.3</v>
      </c>
      <c r="O325" s="24"/>
      <c r="P325" s="24"/>
      <c r="Q325" s="24"/>
      <c r="R325" s="24"/>
      <c r="S325" s="24"/>
      <c r="T325" s="24">
        <v>-246.7</v>
      </c>
      <c r="U325" s="24"/>
      <c r="V325" s="24"/>
      <c r="W325" s="24"/>
      <c r="X325" s="24"/>
      <c r="Y325" s="24"/>
      <c r="Z325" s="25">
        <f>N(IFERROR(INDEX($BD$285:$BD$314,MATCH($AU$4,$B$285:$B$314,0)),""))</f>
        <v/>
      </c>
      <c r="AA325" s="25"/>
      <c r="AB325" s="25"/>
      <c r="AC325" s="25"/>
      <c r="AD325" s="25"/>
      <c r="AE325" s="25"/>
      <c r="AF325" s="25">
        <f>IFERROR(INDEX($BD$285:$BD$314,MATCH($N$131,$B$285:$B$314,0)),"")</f>
        <v/>
      </c>
      <c r="AG325" s="25"/>
      <c r="AH325" s="25"/>
      <c r="AI325" s="25"/>
      <c r="AJ325" s="25"/>
      <c r="AK325" s="25"/>
      <c r="AL325" s="19">
        <f>IFERROR(IF(N($AF$325)=0,"",($Z$325-$AF$325)/ABS($AF$325)),"")</f>
        <v/>
      </c>
      <c r="AM325" s="19"/>
      <c r="AN325" s="19"/>
      <c r="AO325" s="19"/>
      <c r="AP325" s="19"/>
      <c r="AQ325" s="19"/>
      <c r="AR325" s="14">
        <f>IF($Z$325&lt;=0,0,MIN(5,ROUNDUP(5*SQRT($Z$325/MAX($N$285:$CN$314)),0)))</f>
        <v/>
      </c>
      <c r="AS325" s="14"/>
      <c r="AT325" s="14"/>
      <c r="AU325" s="14"/>
      <c r="AV325" s="14"/>
      <c r="AW325" s="14"/>
      <c r="AX325" s="14">
        <f>IF(N($AL$325)&lt;0,1,0)</f>
        <v/>
      </c>
      <c r="AY325" s="14"/>
      <c r="AZ325" s="14"/>
      <c r="BA325" s="14"/>
      <c r="BB325" s="14"/>
      <c r="BC325" s="14"/>
      <c r="BD325" s="22">
        <f>$Z$325+7/1000</f>
        <v/>
      </c>
      <c r="BE325" s="22"/>
      <c r="BF325" s="22"/>
      <c r="BG325" s="22"/>
      <c r="BH325" s="22"/>
      <c r="BI325" s="22"/>
      <c r="BJ325" s="14">
        <f>IF($Z$325&gt;0,IF(RANK($BD$325,$BD$318:$BD$331,0)&lt;=10,RANK($BD$325,$BD$318:$BD$331,0),""),"")</f>
        <v/>
      </c>
      <c r="BK325" s="14"/>
      <c r="BL325" s="14"/>
      <c r="BM325" s="14"/>
      <c r="BN325" s="14"/>
      <c r="BO325" s="14"/>
      <c r="BP325" s="24">
        <f>IF(AND($AR$325=1,$AX$325=0),$T$325,NA())</f>
        <v/>
      </c>
      <c r="BQ325" s="24"/>
      <c r="BR325" s="24"/>
      <c r="BS325" s="24"/>
      <c r="BT325" s="24"/>
      <c r="BU325" s="24"/>
      <c r="BV325" s="24">
        <f>IF(AND($AR$325=2,$AX$325=0),$T$325,NA())</f>
        <v/>
      </c>
      <c r="BW325" s="24"/>
      <c r="BX325" s="24"/>
      <c r="BY325" s="24"/>
      <c r="BZ325" s="24"/>
      <c r="CA325" s="24"/>
      <c r="CB325" s="24">
        <f>IF(AND($AR$325=3,$AX$325=0),$T$325,NA())</f>
        <v/>
      </c>
      <c r="CC325" s="24"/>
      <c r="CD325" s="24"/>
      <c r="CE325" s="24"/>
      <c r="CF325" s="24"/>
      <c r="CG325" s="24"/>
      <c r="CH325" s="24">
        <f>IF(AND($AR$325=4,$AX$325=0),$T$325,NA())</f>
        <v/>
      </c>
      <c r="CI325" s="24"/>
      <c r="CJ325" s="24"/>
      <c r="CK325" s="24"/>
      <c r="CL325" s="24"/>
      <c r="CM325" s="24"/>
      <c r="CN325" s="24">
        <f>IF(AND($AR$325=5,$AX$325=0),$T$325,NA())</f>
        <v/>
      </c>
      <c r="CO325" s="24"/>
      <c r="CP325" s="24"/>
      <c r="CQ325" s="24"/>
      <c r="CR325" s="24"/>
      <c r="CS325" s="24"/>
      <c r="CT325" s="24">
        <f>IF(AND($AR$325=1,$AX$325=1),$T$325,NA())</f>
        <v/>
      </c>
      <c r="CU325" s="24"/>
      <c r="CV325" s="24"/>
      <c r="CW325" s="24"/>
      <c r="CX325" s="24"/>
      <c r="CY325" s="24"/>
      <c r="CZ325" s="24">
        <f>IF(AND($AR$325=2,$AX$325=1),$T$325,NA())</f>
        <v/>
      </c>
      <c r="DA325" s="24"/>
      <c r="DB325" s="24"/>
      <c r="DC325" s="24"/>
      <c r="DD325" s="24"/>
      <c r="DE325" s="24"/>
      <c r="DF325" s="24">
        <f>IF(AND($AR$325=3,$AX$325=1),$T$325,NA())</f>
        <v/>
      </c>
      <c r="DG325" s="24"/>
      <c r="DH325" s="24"/>
      <c r="DI325" s="24"/>
      <c r="DJ325" s="24"/>
      <c r="DK325" s="24"/>
      <c r="DL325" s="24">
        <f>IF(AND($AR$325=4,$AX$325=1),$T$325,NA())</f>
        <v/>
      </c>
      <c r="DM325" s="24"/>
      <c r="DN325" s="24"/>
      <c r="DO325" s="24"/>
      <c r="DP325" s="24"/>
      <c r="DQ325" s="24"/>
      <c r="DR325" s="24">
        <f>IF(AND($AR$325=5,$AX$325=1),$T$325,NA())</f>
        <v/>
      </c>
      <c r="DS325" s="24"/>
      <c r="DT325" s="24"/>
      <c r="DU325" s="24"/>
      <c r="DV325" s="24"/>
      <c r="DW325" s="24"/>
    </row>
    <row r="326" spans="2:127">
      <c r="B326" s="13" t="s">
        <v>1277</v>
      </c>
      <c r="C326" s="13"/>
      <c r="D326" s="13"/>
      <c r="E326" s="13"/>
      <c r="F326" s="13"/>
      <c r="G326" s="13"/>
      <c r="H326" s="13"/>
      <c r="I326" s="13"/>
      <c r="J326" s="13"/>
      <c r="K326" s="13"/>
      <c r="L326" s="13"/>
      <c r="M326" s="13"/>
      <c r="N326" s="24">
        <v>167</v>
      </c>
      <c r="O326" s="24"/>
      <c r="P326" s="24"/>
      <c r="Q326" s="24"/>
      <c r="R326" s="24"/>
      <c r="S326" s="24"/>
      <c r="T326" s="24">
        <v>-277.9</v>
      </c>
      <c r="U326" s="24"/>
      <c r="V326" s="24"/>
      <c r="W326" s="24"/>
      <c r="X326" s="24"/>
      <c r="Y326" s="24"/>
      <c r="Z326" s="25">
        <f>N(IFERROR(INDEX($BJ$285:$BJ$314,MATCH($AU$4,$B$285:$B$314,0)),""))</f>
        <v/>
      </c>
      <c r="AA326" s="25"/>
      <c r="AB326" s="25"/>
      <c r="AC326" s="25"/>
      <c r="AD326" s="25"/>
      <c r="AE326" s="25"/>
      <c r="AF326" s="25">
        <f>IFERROR(INDEX($BJ$285:$BJ$314,MATCH($N$131,$B$285:$B$314,0)),"")</f>
        <v/>
      </c>
      <c r="AG326" s="25"/>
      <c r="AH326" s="25"/>
      <c r="AI326" s="25"/>
      <c r="AJ326" s="25"/>
      <c r="AK326" s="25"/>
      <c r="AL326" s="19">
        <f>IFERROR(IF(N($AF$326)=0,"",($Z$326-$AF$326)/ABS($AF$326)),"")</f>
        <v/>
      </c>
      <c r="AM326" s="19"/>
      <c r="AN326" s="19"/>
      <c r="AO326" s="19"/>
      <c r="AP326" s="19"/>
      <c r="AQ326" s="19"/>
      <c r="AR326" s="14">
        <f>IF($Z$326&lt;=0,0,MIN(5,ROUNDUP(5*SQRT($Z$326/MAX($N$285:$CN$314)),0)))</f>
        <v/>
      </c>
      <c r="AS326" s="14"/>
      <c r="AT326" s="14"/>
      <c r="AU326" s="14"/>
      <c r="AV326" s="14"/>
      <c r="AW326" s="14"/>
      <c r="AX326" s="14">
        <f>IF(N($AL$326)&lt;0,1,0)</f>
        <v/>
      </c>
      <c r="AY326" s="14"/>
      <c r="AZ326" s="14"/>
      <c r="BA326" s="14"/>
      <c r="BB326" s="14"/>
      <c r="BC326" s="14"/>
      <c r="BD326" s="22">
        <f>$Z$326+6/1000</f>
        <v/>
      </c>
      <c r="BE326" s="22"/>
      <c r="BF326" s="22"/>
      <c r="BG326" s="22"/>
      <c r="BH326" s="22"/>
      <c r="BI326" s="22"/>
      <c r="BJ326" s="14">
        <f>IF($Z$326&gt;0,IF(RANK($BD$326,$BD$318:$BD$331,0)&lt;=10,RANK($BD$326,$BD$318:$BD$331,0),""),"")</f>
        <v/>
      </c>
      <c r="BK326" s="14"/>
      <c r="BL326" s="14"/>
      <c r="BM326" s="14"/>
      <c r="BN326" s="14"/>
      <c r="BO326" s="14"/>
      <c r="BP326" s="24">
        <f>IF(AND($AR$326=1,$AX$326=0),$T$326,NA())</f>
        <v/>
      </c>
      <c r="BQ326" s="24"/>
      <c r="BR326" s="24"/>
      <c r="BS326" s="24"/>
      <c r="BT326" s="24"/>
      <c r="BU326" s="24"/>
      <c r="BV326" s="24">
        <f>IF(AND($AR$326=2,$AX$326=0),$T$326,NA())</f>
        <v/>
      </c>
      <c r="BW326" s="24"/>
      <c r="BX326" s="24"/>
      <c r="BY326" s="24"/>
      <c r="BZ326" s="24"/>
      <c r="CA326" s="24"/>
      <c r="CB326" s="24">
        <f>IF(AND($AR$326=3,$AX$326=0),$T$326,NA())</f>
        <v/>
      </c>
      <c r="CC326" s="24"/>
      <c r="CD326" s="24"/>
      <c r="CE326" s="24"/>
      <c r="CF326" s="24"/>
      <c r="CG326" s="24"/>
      <c r="CH326" s="24">
        <f>IF(AND($AR$326=4,$AX$326=0),$T$326,NA())</f>
        <v/>
      </c>
      <c r="CI326" s="24"/>
      <c r="CJ326" s="24"/>
      <c r="CK326" s="24"/>
      <c r="CL326" s="24"/>
      <c r="CM326" s="24"/>
      <c r="CN326" s="24">
        <f>IF(AND($AR$326=5,$AX$326=0),$T$326,NA())</f>
        <v/>
      </c>
      <c r="CO326" s="24"/>
      <c r="CP326" s="24"/>
      <c r="CQ326" s="24"/>
      <c r="CR326" s="24"/>
      <c r="CS326" s="24"/>
      <c r="CT326" s="24">
        <f>IF(AND($AR$326=1,$AX$326=1),$T$326,NA())</f>
        <v/>
      </c>
      <c r="CU326" s="24"/>
      <c r="CV326" s="24"/>
      <c r="CW326" s="24"/>
      <c r="CX326" s="24"/>
      <c r="CY326" s="24"/>
      <c r="CZ326" s="24">
        <f>IF(AND($AR$326=2,$AX$326=1),$T$326,NA())</f>
        <v/>
      </c>
      <c r="DA326" s="24"/>
      <c r="DB326" s="24"/>
      <c r="DC326" s="24"/>
      <c r="DD326" s="24"/>
      <c r="DE326" s="24"/>
      <c r="DF326" s="24">
        <f>IF(AND($AR$326=3,$AX$326=1),$T$326,NA())</f>
        <v/>
      </c>
      <c r="DG326" s="24"/>
      <c r="DH326" s="24"/>
      <c r="DI326" s="24"/>
      <c r="DJ326" s="24"/>
      <c r="DK326" s="24"/>
      <c r="DL326" s="24">
        <f>IF(AND($AR$326=4,$AX$326=1),$T$326,NA())</f>
        <v/>
      </c>
      <c r="DM326" s="24"/>
      <c r="DN326" s="24"/>
      <c r="DO326" s="24"/>
      <c r="DP326" s="24"/>
      <c r="DQ326" s="24"/>
      <c r="DR326" s="24">
        <f>IF(AND($AR$326=5,$AX$326=1),$T$326,NA())</f>
        <v/>
      </c>
      <c r="DS326" s="24"/>
      <c r="DT326" s="24"/>
      <c r="DU326" s="24"/>
      <c r="DV326" s="24"/>
      <c r="DW326" s="24"/>
    </row>
    <row r="327" spans="2:127">
      <c r="B327" s="13" t="s">
        <v>1278</v>
      </c>
      <c r="C327" s="13"/>
      <c r="D327" s="13"/>
      <c r="E327" s="13"/>
      <c r="F327" s="13"/>
      <c r="G327" s="13"/>
      <c r="H327" s="13"/>
      <c r="I327" s="13"/>
      <c r="J327" s="13"/>
      <c r="K327" s="13"/>
      <c r="L327" s="13"/>
      <c r="M327" s="13"/>
      <c r="N327" s="24">
        <v>156.4</v>
      </c>
      <c r="O327" s="24"/>
      <c r="P327" s="24"/>
      <c r="Q327" s="24"/>
      <c r="R327" s="24"/>
      <c r="S327" s="24"/>
      <c r="T327" s="24">
        <v>-284.4</v>
      </c>
      <c r="U327" s="24"/>
      <c r="V327" s="24"/>
      <c r="W327" s="24"/>
      <c r="X327" s="24"/>
      <c r="Y327" s="24"/>
      <c r="Z327" s="25">
        <f>N(IFERROR(INDEX($BP$285:$BP$314,MATCH($AU$4,$B$285:$B$314,0)),""))</f>
        <v/>
      </c>
      <c r="AA327" s="25"/>
      <c r="AB327" s="25"/>
      <c r="AC327" s="25"/>
      <c r="AD327" s="25"/>
      <c r="AE327" s="25"/>
      <c r="AF327" s="25">
        <f>IFERROR(INDEX($BP$285:$BP$314,MATCH($N$131,$B$285:$B$314,0)),"")</f>
        <v/>
      </c>
      <c r="AG327" s="25"/>
      <c r="AH327" s="25"/>
      <c r="AI327" s="25"/>
      <c r="AJ327" s="25"/>
      <c r="AK327" s="25"/>
      <c r="AL327" s="19">
        <f>IFERROR(IF(N($AF$327)=0,"",($Z$327-$AF$327)/ABS($AF$327)),"")</f>
        <v/>
      </c>
      <c r="AM327" s="19"/>
      <c r="AN327" s="19"/>
      <c r="AO327" s="19"/>
      <c r="AP327" s="19"/>
      <c r="AQ327" s="19"/>
      <c r="AR327" s="14">
        <f>IF($Z$327&lt;=0,0,MIN(5,ROUNDUP(5*SQRT($Z$327/MAX($N$285:$CN$314)),0)))</f>
        <v/>
      </c>
      <c r="AS327" s="14"/>
      <c r="AT327" s="14"/>
      <c r="AU327" s="14"/>
      <c r="AV327" s="14"/>
      <c r="AW327" s="14"/>
      <c r="AX327" s="14">
        <f>IF(N($AL$327)&lt;0,1,0)</f>
        <v/>
      </c>
      <c r="AY327" s="14"/>
      <c r="AZ327" s="14"/>
      <c r="BA327" s="14"/>
      <c r="BB327" s="14"/>
      <c r="BC327" s="14"/>
      <c r="BD327" s="22">
        <f>$Z$327+5/1000</f>
        <v/>
      </c>
      <c r="BE327" s="22"/>
      <c r="BF327" s="22"/>
      <c r="BG327" s="22"/>
      <c r="BH327" s="22"/>
      <c r="BI327" s="22"/>
      <c r="BJ327" s="14">
        <f>IF($Z$327&gt;0,IF(RANK($BD$327,$BD$318:$BD$331,0)&lt;=10,RANK($BD$327,$BD$318:$BD$331,0),""),"")</f>
        <v/>
      </c>
      <c r="BK327" s="14"/>
      <c r="BL327" s="14"/>
      <c r="BM327" s="14"/>
      <c r="BN327" s="14"/>
      <c r="BO327" s="14"/>
      <c r="BP327" s="24">
        <f>IF(AND($AR$327=1,$AX$327=0),$T$327,NA())</f>
        <v/>
      </c>
      <c r="BQ327" s="24"/>
      <c r="BR327" s="24"/>
      <c r="BS327" s="24"/>
      <c r="BT327" s="24"/>
      <c r="BU327" s="24"/>
      <c r="BV327" s="24">
        <f>IF(AND($AR$327=2,$AX$327=0),$T$327,NA())</f>
        <v/>
      </c>
      <c r="BW327" s="24"/>
      <c r="BX327" s="24"/>
      <c r="BY327" s="24"/>
      <c r="BZ327" s="24"/>
      <c r="CA327" s="24"/>
      <c r="CB327" s="24">
        <f>IF(AND($AR$327=3,$AX$327=0),$T$327,NA())</f>
        <v/>
      </c>
      <c r="CC327" s="24"/>
      <c r="CD327" s="24"/>
      <c r="CE327" s="24"/>
      <c r="CF327" s="24"/>
      <c r="CG327" s="24"/>
      <c r="CH327" s="24">
        <f>IF(AND($AR$327=4,$AX$327=0),$T$327,NA())</f>
        <v/>
      </c>
      <c r="CI327" s="24"/>
      <c r="CJ327" s="24"/>
      <c r="CK327" s="24"/>
      <c r="CL327" s="24"/>
      <c r="CM327" s="24"/>
      <c r="CN327" s="24">
        <f>IF(AND($AR$327=5,$AX$327=0),$T$327,NA())</f>
        <v/>
      </c>
      <c r="CO327" s="24"/>
      <c r="CP327" s="24"/>
      <c r="CQ327" s="24"/>
      <c r="CR327" s="24"/>
      <c r="CS327" s="24"/>
      <c r="CT327" s="24">
        <f>IF(AND($AR$327=1,$AX$327=1),$T$327,NA())</f>
        <v/>
      </c>
      <c r="CU327" s="24"/>
      <c r="CV327" s="24"/>
      <c r="CW327" s="24"/>
      <c r="CX327" s="24"/>
      <c r="CY327" s="24"/>
      <c r="CZ327" s="24">
        <f>IF(AND($AR$327=2,$AX$327=1),$T$327,NA())</f>
        <v/>
      </c>
      <c r="DA327" s="24"/>
      <c r="DB327" s="24"/>
      <c r="DC327" s="24"/>
      <c r="DD327" s="24"/>
      <c r="DE327" s="24"/>
      <c r="DF327" s="24">
        <f>IF(AND($AR$327=3,$AX$327=1),$T$327,NA())</f>
        <v/>
      </c>
      <c r="DG327" s="24"/>
      <c r="DH327" s="24"/>
      <c r="DI327" s="24"/>
      <c r="DJ327" s="24"/>
      <c r="DK327" s="24"/>
      <c r="DL327" s="24">
        <f>IF(AND($AR$327=4,$AX$327=1),$T$327,NA())</f>
        <v/>
      </c>
      <c r="DM327" s="24"/>
      <c r="DN327" s="24"/>
      <c r="DO327" s="24"/>
      <c r="DP327" s="24"/>
      <c r="DQ327" s="24"/>
      <c r="DR327" s="24">
        <f>IF(AND($AR$327=5,$AX$327=1),$T$327,NA())</f>
        <v/>
      </c>
      <c r="DS327" s="24"/>
      <c r="DT327" s="24"/>
      <c r="DU327" s="24"/>
      <c r="DV327" s="24"/>
      <c r="DW327" s="24"/>
    </row>
    <row r="328" spans="2:127">
      <c r="B328" s="13" t="s">
        <v>1279</v>
      </c>
      <c r="C328" s="13"/>
      <c r="D328" s="13"/>
      <c r="E328" s="13"/>
      <c r="F328" s="13"/>
      <c r="G328" s="13"/>
      <c r="H328" s="13"/>
      <c r="I328" s="13"/>
      <c r="J328" s="13"/>
      <c r="K328" s="13"/>
      <c r="L328" s="13"/>
      <c r="M328" s="13"/>
      <c r="N328" s="24">
        <v>142</v>
      </c>
      <c r="O328" s="24"/>
      <c r="P328" s="24"/>
      <c r="Q328" s="24"/>
      <c r="R328" s="24"/>
      <c r="S328" s="24"/>
      <c r="T328" s="24">
        <v>-240.4</v>
      </c>
      <c r="U328" s="24"/>
      <c r="V328" s="24"/>
      <c r="W328" s="24"/>
      <c r="X328" s="24"/>
      <c r="Y328" s="24"/>
      <c r="Z328" s="25">
        <f>N(IFERROR(INDEX($BV$285:$BV$314,MATCH($AU$4,$B$285:$B$314,0)),""))</f>
        <v/>
      </c>
      <c r="AA328" s="25"/>
      <c r="AB328" s="25"/>
      <c r="AC328" s="25"/>
      <c r="AD328" s="25"/>
      <c r="AE328" s="25"/>
      <c r="AF328" s="25">
        <f>IFERROR(INDEX($BV$285:$BV$314,MATCH($N$131,$B$285:$B$314,0)),"")</f>
        <v/>
      </c>
      <c r="AG328" s="25"/>
      <c r="AH328" s="25"/>
      <c r="AI328" s="25"/>
      <c r="AJ328" s="25"/>
      <c r="AK328" s="25"/>
      <c r="AL328" s="19">
        <f>IFERROR(IF(N($AF$328)=0,"",($Z$328-$AF$328)/ABS($AF$328)),"")</f>
        <v/>
      </c>
      <c r="AM328" s="19"/>
      <c r="AN328" s="19"/>
      <c r="AO328" s="19"/>
      <c r="AP328" s="19"/>
      <c r="AQ328" s="19"/>
      <c r="AR328" s="14">
        <f>IF($Z$328&lt;=0,0,MIN(5,ROUNDUP(5*SQRT($Z$328/MAX($N$285:$CN$314)),0)))</f>
        <v/>
      </c>
      <c r="AS328" s="14"/>
      <c r="AT328" s="14"/>
      <c r="AU328" s="14"/>
      <c r="AV328" s="14"/>
      <c r="AW328" s="14"/>
      <c r="AX328" s="14">
        <f>IF(N($AL$328)&lt;0,1,0)</f>
        <v/>
      </c>
      <c r="AY328" s="14"/>
      <c r="AZ328" s="14"/>
      <c r="BA328" s="14"/>
      <c r="BB328" s="14"/>
      <c r="BC328" s="14"/>
      <c r="BD328" s="22">
        <f>$Z$328+4/1000</f>
        <v/>
      </c>
      <c r="BE328" s="22"/>
      <c r="BF328" s="22"/>
      <c r="BG328" s="22"/>
      <c r="BH328" s="22"/>
      <c r="BI328" s="22"/>
      <c r="BJ328" s="14">
        <f>IF($Z$328&gt;0,IF(RANK($BD$328,$BD$318:$BD$331,0)&lt;=10,RANK($BD$328,$BD$318:$BD$331,0),""),"")</f>
        <v/>
      </c>
      <c r="BK328" s="14"/>
      <c r="BL328" s="14"/>
      <c r="BM328" s="14"/>
      <c r="BN328" s="14"/>
      <c r="BO328" s="14"/>
      <c r="BP328" s="24">
        <f>IF(AND($AR$328=1,$AX$328=0),$T$328,NA())</f>
        <v/>
      </c>
      <c r="BQ328" s="24"/>
      <c r="BR328" s="24"/>
      <c r="BS328" s="24"/>
      <c r="BT328" s="24"/>
      <c r="BU328" s="24"/>
      <c r="BV328" s="24">
        <f>IF(AND($AR$328=2,$AX$328=0),$T$328,NA())</f>
        <v/>
      </c>
      <c r="BW328" s="24"/>
      <c r="BX328" s="24"/>
      <c r="BY328" s="24"/>
      <c r="BZ328" s="24"/>
      <c r="CA328" s="24"/>
      <c r="CB328" s="24">
        <f>IF(AND($AR$328=3,$AX$328=0),$T$328,NA())</f>
        <v/>
      </c>
      <c r="CC328" s="24"/>
      <c r="CD328" s="24"/>
      <c r="CE328" s="24"/>
      <c r="CF328" s="24"/>
      <c r="CG328" s="24"/>
      <c r="CH328" s="24">
        <f>IF(AND($AR$328=4,$AX$328=0),$T$328,NA())</f>
        <v/>
      </c>
      <c r="CI328" s="24"/>
      <c r="CJ328" s="24"/>
      <c r="CK328" s="24"/>
      <c r="CL328" s="24"/>
      <c r="CM328" s="24"/>
      <c r="CN328" s="24">
        <f>IF(AND($AR$328=5,$AX$328=0),$T$328,NA())</f>
        <v/>
      </c>
      <c r="CO328" s="24"/>
      <c r="CP328" s="24"/>
      <c r="CQ328" s="24"/>
      <c r="CR328" s="24"/>
      <c r="CS328" s="24"/>
      <c r="CT328" s="24">
        <f>IF(AND($AR$328=1,$AX$328=1),$T$328,NA())</f>
        <v/>
      </c>
      <c r="CU328" s="24"/>
      <c r="CV328" s="24"/>
      <c r="CW328" s="24"/>
      <c r="CX328" s="24"/>
      <c r="CY328" s="24"/>
      <c r="CZ328" s="24">
        <f>IF(AND($AR$328=2,$AX$328=1),$T$328,NA())</f>
        <v/>
      </c>
      <c r="DA328" s="24"/>
      <c r="DB328" s="24"/>
      <c r="DC328" s="24"/>
      <c r="DD328" s="24"/>
      <c r="DE328" s="24"/>
      <c r="DF328" s="24">
        <f>IF(AND($AR$328=3,$AX$328=1),$T$328,NA())</f>
        <v/>
      </c>
      <c r="DG328" s="24"/>
      <c r="DH328" s="24"/>
      <c r="DI328" s="24"/>
      <c r="DJ328" s="24"/>
      <c r="DK328" s="24"/>
      <c r="DL328" s="24">
        <f>IF(AND($AR$328=4,$AX$328=1),$T$328,NA())</f>
        <v/>
      </c>
      <c r="DM328" s="24"/>
      <c r="DN328" s="24"/>
      <c r="DO328" s="24"/>
      <c r="DP328" s="24"/>
      <c r="DQ328" s="24"/>
      <c r="DR328" s="24">
        <f>IF(AND($AR$328=5,$AX$328=1),$T$328,NA())</f>
        <v/>
      </c>
      <c r="DS328" s="24"/>
      <c r="DT328" s="24"/>
      <c r="DU328" s="24"/>
      <c r="DV328" s="24"/>
      <c r="DW328" s="24"/>
    </row>
    <row r="329" spans="2:127">
      <c r="B329" s="13" t="s">
        <v>1280</v>
      </c>
      <c r="C329" s="13"/>
      <c r="D329" s="13"/>
      <c r="E329" s="13"/>
      <c r="F329" s="13"/>
      <c r="G329" s="13"/>
      <c r="H329" s="13"/>
      <c r="I329" s="13"/>
      <c r="J329" s="13"/>
      <c r="K329" s="13"/>
      <c r="L329" s="13"/>
      <c r="M329" s="13"/>
      <c r="N329" s="24">
        <v>148.4</v>
      </c>
      <c r="O329" s="24"/>
      <c r="P329" s="24"/>
      <c r="Q329" s="24"/>
      <c r="R329" s="24"/>
      <c r="S329" s="24"/>
      <c r="T329" s="24">
        <v>-212.8</v>
      </c>
      <c r="U329" s="24"/>
      <c r="V329" s="24"/>
      <c r="W329" s="24"/>
      <c r="X329" s="24"/>
      <c r="Y329" s="24"/>
      <c r="Z329" s="25">
        <f>N(IFERROR(INDEX($CB$285:$CB$314,MATCH($AU$4,$B$285:$B$314,0)),""))</f>
        <v/>
      </c>
      <c r="AA329" s="25"/>
      <c r="AB329" s="25"/>
      <c r="AC329" s="25"/>
      <c r="AD329" s="25"/>
      <c r="AE329" s="25"/>
      <c r="AF329" s="25">
        <f>IFERROR(INDEX($CB$285:$CB$314,MATCH($N$131,$B$285:$B$314,0)),"")</f>
        <v/>
      </c>
      <c r="AG329" s="25"/>
      <c r="AH329" s="25"/>
      <c r="AI329" s="25"/>
      <c r="AJ329" s="25"/>
      <c r="AK329" s="25"/>
      <c r="AL329" s="19">
        <f>IFERROR(IF(N($AF$329)=0,"",($Z$329-$AF$329)/ABS($AF$329)),"")</f>
        <v/>
      </c>
      <c r="AM329" s="19"/>
      <c r="AN329" s="19"/>
      <c r="AO329" s="19"/>
      <c r="AP329" s="19"/>
      <c r="AQ329" s="19"/>
      <c r="AR329" s="14">
        <f>IF($Z$329&lt;=0,0,MIN(5,ROUNDUP(5*SQRT($Z$329/MAX($N$285:$CN$314)),0)))</f>
        <v/>
      </c>
      <c r="AS329" s="14"/>
      <c r="AT329" s="14"/>
      <c r="AU329" s="14"/>
      <c r="AV329" s="14"/>
      <c r="AW329" s="14"/>
      <c r="AX329" s="14">
        <f>IF(N($AL$329)&lt;0,1,0)</f>
        <v/>
      </c>
      <c r="AY329" s="14"/>
      <c r="AZ329" s="14"/>
      <c r="BA329" s="14"/>
      <c r="BB329" s="14"/>
      <c r="BC329" s="14"/>
      <c r="BD329" s="22">
        <f>$Z$329+3/1000</f>
        <v/>
      </c>
      <c r="BE329" s="22"/>
      <c r="BF329" s="22"/>
      <c r="BG329" s="22"/>
      <c r="BH329" s="22"/>
      <c r="BI329" s="22"/>
      <c r="BJ329" s="14">
        <f>IF($Z$329&gt;0,IF(RANK($BD$329,$BD$318:$BD$331,0)&lt;=10,RANK($BD$329,$BD$318:$BD$331,0),""),"")</f>
        <v/>
      </c>
      <c r="BK329" s="14"/>
      <c r="BL329" s="14"/>
      <c r="BM329" s="14"/>
      <c r="BN329" s="14"/>
      <c r="BO329" s="14"/>
      <c r="BP329" s="24">
        <f>IF(AND($AR$329=1,$AX$329=0),$T$329,NA())</f>
        <v/>
      </c>
      <c r="BQ329" s="24"/>
      <c r="BR329" s="24"/>
      <c r="BS329" s="24"/>
      <c r="BT329" s="24"/>
      <c r="BU329" s="24"/>
      <c r="BV329" s="24">
        <f>IF(AND($AR$329=2,$AX$329=0),$T$329,NA())</f>
        <v/>
      </c>
      <c r="BW329" s="24"/>
      <c r="BX329" s="24"/>
      <c r="BY329" s="24"/>
      <c r="BZ329" s="24"/>
      <c r="CA329" s="24"/>
      <c r="CB329" s="24">
        <f>IF(AND($AR$329=3,$AX$329=0),$T$329,NA())</f>
        <v/>
      </c>
      <c r="CC329" s="24"/>
      <c r="CD329" s="24"/>
      <c r="CE329" s="24"/>
      <c r="CF329" s="24"/>
      <c r="CG329" s="24"/>
      <c r="CH329" s="24">
        <f>IF(AND($AR$329=4,$AX$329=0),$T$329,NA())</f>
        <v/>
      </c>
      <c r="CI329" s="24"/>
      <c r="CJ329" s="24"/>
      <c r="CK329" s="24"/>
      <c r="CL329" s="24"/>
      <c r="CM329" s="24"/>
      <c r="CN329" s="24">
        <f>IF(AND($AR$329=5,$AX$329=0),$T$329,NA())</f>
        <v/>
      </c>
      <c r="CO329" s="24"/>
      <c r="CP329" s="24"/>
      <c r="CQ329" s="24"/>
      <c r="CR329" s="24"/>
      <c r="CS329" s="24"/>
      <c r="CT329" s="24">
        <f>IF(AND($AR$329=1,$AX$329=1),$T$329,NA())</f>
        <v/>
      </c>
      <c r="CU329" s="24"/>
      <c r="CV329" s="24"/>
      <c r="CW329" s="24"/>
      <c r="CX329" s="24"/>
      <c r="CY329" s="24"/>
      <c r="CZ329" s="24">
        <f>IF(AND($AR$329=2,$AX$329=1),$T$329,NA())</f>
        <v/>
      </c>
      <c r="DA329" s="24"/>
      <c r="DB329" s="24"/>
      <c r="DC329" s="24"/>
      <c r="DD329" s="24"/>
      <c r="DE329" s="24"/>
      <c r="DF329" s="24">
        <f>IF(AND($AR$329=3,$AX$329=1),$T$329,NA())</f>
        <v/>
      </c>
      <c r="DG329" s="24"/>
      <c r="DH329" s="24"/>
      <c r="DI329" s="24"/>
      <c r="DJ329" s="24"/>
      <c r="DK329" s="24"/>
      <c r="DL329" s="24">
        <f>IF(AND($AR$329=4,$AX$329=1),$T$329,NA())</f>
        <v/>
      </c>
      <c r="DM329" s="24"/>
      <c r="DN329" s="24"/>
      <c r="DO329" s="24"/>
      <c r="DP329" s="24"/>
      <c r="DQ329" s="24"/>
      <c r="DR329" s="24">
        <f>IF(AND($AR$329=5,$AX$329=1),$T$329,NA())</f>
        <v/>
      </c>
      <c r="DS329" s="24"/>
      <c r="DT329" s="24"/>
      <c r="DU329" s="24"/>
      <c r="DV329" s="24"/>
      <c r="DW329" s="24"/>
    </row>
    <row r="330" spans="2:127">
      <c r="B330" s="13" t="s">
        <v>1281</v>
      </c>
      <c r="C330" s="13"/>
      <c r="D330" s="13"/>
      <c r="E330" s="13"/>
      <c r="F330" s="13"/>
      <c r="G330" s="13"/>
      <c r="H330" s="13"/>
      <c r="I330" s="13"/>
      <c r="J330" s="13"/>
      <c r="K330" s="13"/>
      <c r="L330" s="13"/>
      <c r="M330" s="13"/>
      <c r="N330" s="24">
        <v>151.1</v>
      </c>
      <c r="O330" s="24"/>
      <c r="P330" s="24"/>
      <c r="Q330" s="24"/>
      <c r="R330" s="24"/>
      <c r="S330" s="24"/>
      <c r="T330" s="24">
        <v>-266.1</v>
      </c>
      <c r="U330" s="24"/>
      <c r="V330" s="24"/>
      <c r="W330" s="24"/>
      <c r="X330" s="24"/>
      <c r="Y330" s="24"/>
      <c r="Z330" s="25">
        <f>N(IFERROR(INDEX($CH$285:$CH$314,MATCH($AU$4,$B$285:$B$314,0)),""))</f>
        <v/>
      </c>
      <c r="AA330" s="25"/>
      <c r="AB330" s="25"/>
      <c r="AC330" s="25"/>
      <c r="AD330" s="25"/>
      <c r="AE330" s="25"/>
      <c r="AF330" s="25">
        <f>IFERROR(INDEX($CH$285:$CH$314,MATCH($N$131,$B$285:$B$314,0)),"")</f>
        <v/>
      </c>
      <c r="AG330" s="25"/>
      <c r="AH330" s="25"/>
      <c r="AI330" s="25"/>
      <c r="AJ330" s="25"/>
      <c r="AK330" s="25"/>
      <c r="AL330" s="19">
        <f>IFERROR(IF(N($AF$330)=0,"",($Z$330-$AF$330)/ABS($AF$330)),"")</f>
        <v/>
      </c>
      <c r="AM330" s="19"/>
      <c r="AN330" s="19"/>
      <c r="AO330" s="19"/>
      <c r="AP330" s="19"/>
      <c r="AQ330" s="19"/>
      <c r="AR330" s="14">
        <f>IF($Z$330&lt;=0,0,MIN(5,ROUNDUP(5*SQRT($Z$330/MAX($N$285:$CN$314)),0)))</f>
        <v/>
      </c>
      <c r="AS330" s="14"/>
      <c r="AT330" s="14"/>
      <c r="AU330" s="14"/>
      <c r="AV330" s="14"/>
      <c r="AW330" s="14"/>
      <c r="AX330" s="14">
        <f>IF(N($AL$330)&lt;0,1,0)</f>
        <v/>
      </c>
      <c r="AY330" s="14"/>
      <c r="AZ330" s="14"/>
      <c r="BA330" s="14"/>
      <c r="BB330" s="14"/>
      <c r="BC330" s="14"/>
      <c r="BD330" s="22">
        <f>$Z$330+2/1000</f>
        <v/>
      </c>
      <c r="BE330" s="22"/>
      <c r="BF330" s="22"/>
      <c r="BG330" s="22"/>
      <c r="BH330" s="22"/>
      <c r="BI330" s="22"/>
      <c r="BJ330" s="14">
        <f>IF($Z$330&gt;0,IF(RANK($BD$330,$BD$318:$BD$331,0)&lt;=10,RANK($BD$330,$BD$318:$BD$331,0),""),"")</f>
        <v/>
      </c>
      <c r="BK330" s="14"/>
      <c r="BL330" s="14"/>
      <c r="BM330" s="14"/>
      <c r="BN330" s="14"/>
      <c r="BO330" s="14"/>
      <c r="BP330" s="24">
        <f>IF(AND($AR$330=1,$AX$330=0),$T$330,NA())</f>
        <v/>
      </c>
      <c r="BQ330" s="24"/>
      <c r="BR330" s="24"/>
      <c r="BS330" s="24"/>
      <c r="BT330" s="24"/>
      <c r="BU330" s="24"/>
      <c r="BV330" s="24">
        <f>IF(AND($AR$330=2,$AX$330=0),$T$330,NA())</f>
        <v/>
      </c>
      <c r="BW330" s="24"/>
      <c r="BX330" s="24"/>
      <c r="BY330" s="24"/>
      <c r="BZ330" s="24"/>
      <c r="CA330" s="24"/>
      <c r="CB330" s="24">
        <f>IF(AND($AR$330=3,$AX$330=0),$T$330,NA())</f>
        <v/>
      </c>
      <c r="CC330" s="24"/>
      <c r="CD330" s="24"/>
      <c r="CE330" s="24"/>
      <c r="CF330" s="24"/>
      <c r="CG330" s="24"/>
      <c r="CH330" s="24">
        <f>IF(AND($AR$330=4,$AX$330=0),$T$330,NA())</f>
        <v/>
      </c>
      <c r="CI330" s="24"/>
      <c r="CJ330" s="24"/>
      <c r="CK330" s="24"/>
      <c r="CL330" s="24"/>
      <c r="CM330" s="24"/>
      <c r="CN330" s="24">
        <f>IF(AND($AR$330=5,$AX$330=0),$T$330,NA())</f>
        <v/>
      </c>
      <c r="CO330" s="24"/>
      <c r="CP330" s="24"/>
      <c r="CQ330" s="24"/>
      <c r="CR330" s="24"/>
      <c r="CS330" s="24"/>
      <c r="CT330" s="24">
        <f>IF(AND($AR$330=1,$AX$330=1),$T$330,NA())</f>
        <v/>
      </c>
      <c r="CU330" s="24"/>
      <c r="CV330" s="24"/>
      <c r="CW330" s="24"/>
      <c r="CX330" s="24"/>
      <c r="CY330" s="24"/>
      <c r="CZ330" s="24">
        <f>IF(AND($AR$330=2,$AX$330=1),$T$330,NA())</f>
        <v/>
      </c>
      <c r="DA330" s="24"/>
      <c r="DB330" s="24"/>
      <c r="DC330" s="24"/>
      <c r="DD330" s="24"/>
      <c r="DE330" s="24"/>
      <c r="DF330" s="24">
        <f>IF(AND($AR$330=3,$AX$330=1),$T$330,NA())</f>
        <v/>
      </c>
      <c r="DG330" s="24"/>
      <c r="DH330" s="24"/>
      <c r="DI330" s="24"/>
      <c r="DJ330" s="24"/>
      <c r="DK330" s="24"/>
      <c r="DL330" s="24">
        <f>IF(AND($AR$330=4,$AX$330=1),$T$330,NA())</f>
        <v/>
      </c>
      <c r="DM330" s="24"/>
      <c r="DN330" s="24"/>
      <c r="DO330" s="24"/>
      <c r="DP330" s="24"/>
      <c r="DQ330" s="24"/>
      <c r="DR330" s="24">
        <f>IF(AND($AR$330=5,$AX$330=1),$T$330,NA())</f>
        <v/>
      </c>
      <c r="DS330" s="24"/>
      <c r="DT330" s="24"/>
      <c r="DU330" s="24"/>
      <c r="DV330" s="24"/>
      <c r="DW330" s="24"/>
    </row>
    <row r="331" spans="2:127">
      <c r="B331" s="13" t="s">
        <v>1282</v>
      </c>
      <c r="C331" s="13"/>
      <c r="D331" s="13"/>
      <c r="E331" s="13"/>
      <c r="F331" s="13"/>
      <c r="G331" s="13"/>
      <c r="H331" s="13"/>
      <c r="I331" s="13"/>
      <c r="J331" s="13"/>
      <c r="K331" s="13"/>
      <c r="L331" s="13"/>
      <c r="M331" s="13"/>
      <c r="N331" s="24">
        <v>148.7</v>
      </c>
      <c r="O331" s="24"/>
      <c r="P331" s="24"/>
      <c r="Q331" s="24"/>
      <c r="R331" s="24"/>
      <c r="S331" s="24"/>
      <c r="T331" s="24">
        <v>-207.1</v>
      </c>
      <c r="U331" s="24"/>
      <c r="V331" s="24"/>
      <c r="W331" s="24"/>
      <c r="X331" s="24"/>
      <c r="Y331" s="24"/>
      <c r="Z331" s="25">
        <f>N(IFERROR(INDEX($CN$285:$CN$314,MATCH($AU$4,$B$285:$B$314,0)),""))</f>
        <v/>
      </c>
      <c r="AA331" s="25"/>
      <c r="AB331" s="25"/>
      <c r="AC331" s="25"/>
      <c r="AD331" s="25"/>
      <c r="AE331" s="25"/>
      <c r="AF331" s="25">
        <f>IFERROR(INDEX($CN$285:$CN$314,MATCH($N$131,$B$285:$B$314,0)),"")</f>
        <v/>
      </c>
      <c r="AG331" s="25"/>
      <c r="AH331" s="25"/>
      <c r="AI331" s="25"/>
      <c r="AJ331" s="25"/>
      <c r="AK331" s="25"/>
      <c r="AL331" s="19">
        <f>IFERROR(IF(N($AF$331)=0,"",($Z$331-$AF$331)/ABS($AF$331)),"")</f>
        <v/>
      </c>
      <c r="AM331" s="19"/>
      <c r="AN331" s="19"/>
      <c r="AO331" s="19"/>
      <c r="AP331" s="19"/>
      <c r="AQ331" s="19"/>
      <c r="AR331" s="14">
        <f>IF($Z$331&lt;=0,0,MIN(5,ROUNDUP(5*SQRT($Z$331/MAX($N$285:$CN$314)),0)))</f>
        <v/>
      </c>
      <c r="AS331" s="14"/>
      <c r="AT331" s="14"/>
      <c r="AU331" s="14"/>
      <c r="AV331" s="14"/>
      <c r="AW331" s="14"/>
      <c r="AX331" s="14">
        <f>IF(N($AL$331)&lt;0,1,0)</f>
        <v/>
      </c>
      <c r="AY331" s="14"/>
      <c r="AZ331" s="14"/>
      <c r="BA331" s="14"/>
      <c r="BB331" s="14"/>
      <c r="BC331" s="14"/>
      <c r="BD331" s="22">
        <f>$Z$331+1/1000</f>
        <v/>
      </c>
      <c r="BE331" s="22"/>
      <c r="BF331" s="22"/>
      <c r="BG331" s="22"/>
      <c r="BH331" s="22"/>
      <c r="BI331" s="22"/>
      <c r="BJ331" s="14">
        <f>IF($Z$331&gt;0,IF(RANK($BD$331,$BD$318:$BD$331,0)&lt;=10,RANK($BD$331,$BD$318:$BD$331,0),""),"")</f>
        <v/>
      </c>
      <c r="BK331" s="14"/>
      <c r="BL331" s="14"/>
      <c r="BM331" s="14"/>
      <c r="BN331" s="14"/>
      <c r="BO331" s="14"/>
      <c r="BP331" s="24">
        <f>IF(AND($AR$331=1,$AX$331=0),$T$331,NA())</f>
        <v/>
      </c>
      <c r="BQ331" s="24"/>
      <c r="BR331" s="24"/>
      <c r="BS331" s="24"/>
      <c r="BT331" s="24"/>
      <c r="BU331" s="24"/>
      <c r="BV331" s="24">
        <f>IF(AND($AR$331=2,$AX$331=0),$T$331,NA())</f>
        <v/>
      </c>
      <c r="BW331" s="24"/>
      <c r="BX331" s="24"/>
      <c r="BY331" s="24"/>
      <c r="BZ331" s="24"/>
      <c r="CA331" s="24"/>
      <c r="CB331" s="24">
        <f>IF(AND($AR$331=3,$AX$331=0),$T$331,NA())</f>
        <v/>
      </c>
      <c r="CC331" s="24"/>
      <c r="CD331" s="24"/>
      <c r="CE331" s="24"/>
      <c r="CF331" s="24"/>
      <c r="CG331" s="24"/>
      <c r="CH331" s="24">
        <f>IF(AND($AR$331=4,$AX$331=0),$T$331,NA())</f>
        <v/>
      </c>
      <c r="CI331" s="24"/>
      <c r="CJ331" s="24"/>
      <c r="CK331" s="24"/>
      <c r="CL331" s="24"/>
      <c r="CM331" s="24"/>
      <c r="CN331" s="24">
        <f>IF(AND($AR$331=5,$AX$331=0),$T$331,NA())</f>
        <v/>
      </c>
      <c r="CO331" s="24"/>
      <c r="CP331" s="24"/>
      <c r="CQ331" s="24"/>
      <c r="CR331" s="24"/>
      <c r="CS331" s="24"/>
      <c r="CT331" s="24">
        <f>IF(AND($AR$331=1,$AX$331=1),$T$331,NA())</f>
        <v/>
      </c>
      <c r="CU331" s="24"/>
      <c r="CV331" s="24"/>
      <c r="CW331" s="24"/>
      <c r="CX331" s="24"/>
      <c r="CY331" s="24"/>
      <c r="CZ331" s="24">
        <f>IF(AND($AR$331=2,$AX$331=1),$T$331,NA())</f>
        <v/>
      </c>
      <c r="DA331" s="24"/>
      <c r="DB331" s="24"/>
      <c r="DC331" s="24"/>
      <c r="DD331" s="24"/>
      <c r="DE331" s="24"/>
      <c r="DF331" s="24">
        <f>IF(AND($AR$331=3,$AX$331=1),$T$331,NA())</f>
        <v/>
      </c>
      <c r="DG331" s="24"/>
      <c r="DH331" s="24"/>
      <c r="DI331" s="24"/>
      <c r="DJ331" s="24"/>
      <c r="DK331" s="24"/>
      <c r="DL331" s="24">
        <f>IF(AND($AR$331=4,$AX$331=1),$T$331,NA())</f>
        <v/>
      </c>
      <c r="DM331" s="24"/>
      <c r="DN331" s="24"/>
      <c r="DO331" s="24"/>
      <c r="DP331" s="24"/>
      <c r="DQ331" s="24"/>
      <c r="DR331" s="24">
        <f>IF(AND($AR$331=5,$AX$331=1),$T$331,NA())</f>
        <v/>
      </c>
      <c r="DS331" s="24"/>
      <c r="DT331" s="24"/>
      <c r="DU331" s="24"/>
      <c r="DV331" s="24"/>
      <c r="DW331" s="24"/>
    </row>
    <row r="333" spans="2:127">
      <c r="B333" s="11" t="s">
        <v>1306</v>
      </c>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spans="2:127">
      <c r="B334" s="12"/>
      <c r="C334" s="12"/>
      <c r="D334" s="12"/>
      <c r="E334" s="12"/>
      <c r="F334" s="12"/>
      <c r="G334" s="12"/>
      <c r="H334" s="12"/>
      <c r="I334" s="12"/>
      <c r="J334" s="12"/>
      <c r="K334" s="12"/>
      <c r="L334" s="12"/>
      <c r="M334" s="12"/>
      <c r="N334" s="12" t="s">
        <v>1307</v>
      </c>
      <c r="O334" s="12"/>
      <c r="P334" s="12"/>
      <c r="Q334" s="12"/>
      <c r="R334" s="12"/>
      <c r="S334" s="12"/>
      <c r="T334" s="12" t="s">
        <v>1230</v>
      </c>
      <c r="U334" s="12"/>
      <c r="V334" s="12"/>
      <c r="W334" s="12"/>
      <c r="X334" s="12"/>
      <c r="Y334" s="12"/>
    </row>
    <row r="335" spans="2:127">
      <c r="B335" s="13">
        <f>"1   "&amp;INDEX($B$318:$B$331,MATCH(LARGE($BD$318:$BD$331,1),$BD$318:$BD$331,0))</f>
        <v/>
      </c>
      <c r="C335" s="13"/>
      <c r="D335" s="13"/>
      <c r="E335" s="13"/>
      <c r="F335" s="13"/>
      <c r="G335" s="13"/>
      <c r="H335" s="13"/>
      <c r="I335" s="13"/>
      <c r="J335" s="13"/>
      <c r="K335" s="13"/>
      <c r="L335" s="13"/>
      <c r="M335" s="13"/>
      <c r="N335" s="26">
        <f>INDEX($Z$318:$Z$331,MATCH(LARGE($BD$318:$BD$331,1),$BD$318:$BD$331,0))</f>
        <v/>
      </c>
      <c r="O335" s="26"/>
      <c r="P335" s="26"/>
      <c r="Q335" s="26"/>
      <c r="R335" s="26"/>
      <c r="S335" s="26"/>
      <c r="T335" s="27">
        <f>INDEX($AL$318:$AL$331,MATCH(LARGE($BD$318:$BD$331,1),$BD$318:$BD$331,0))</f>
        <v/>
      </c>
      <c r="U335" s="27"/>
      <c r="V335" s="27"/>
      <c r="W335" s="27"/>
      <c r="X335" s="27"/>
      <c r="Y335" s="27"/>
    </row>
    <row r="336" spans="2:127">
      <c r="B336" s="13">
        <f>"2   "&amp;INDEX($B$318:$B$331,MATCH(LARGE($BD$318:$BD$331,2),$BD$318:$BD$331,0))</f>
        <v/>
      </c>
      <c r="C336" s="13"/>
      <c r="D336" s="13"/>
      <c r="E336" s="13"/>
      <c r="F336" s="13"/>
      <c r="G336" s="13"/>
      <c r="H336" s="13"/>
      <c r="I336" s="13"/>
      <c r="J336" s="13"/>
      <c r="K336" s="13"/>
      <c r="L336" s="13"/>
      <c r="M336" s="13"/>
      <c r="N336" s="26">
        <f>INDEX($Z$318:$Z$331,MATCH(LARGE($BD$318:$BD$331,2),$BD$318:$BD$331,0))</f>
        <v/>
      </c>
      <c r="O336" s="26"/>
      <c r="P336" s="26"/>
      <c r="Q336" s="26"/>
      <c r="R336" s="26"/>
      <c r="S336" s="26"/>
      <c r="T336" s="27">
        <f>INDEX($AL$318:$AL$331,MATCH(LARGE($BD$318:$BD$331,2),$BD$318:$BD$331,0))</f>
        <v/>
      </c>
      <c r="U336" s="27"/>
      <c r="V336" s="27"/>
      <c r="W336" s="27"/>
      <c r="X336" s="27"/>
      <c r="Y336" s="27"/>
    </row>
    <row r="337" spans="2:67">
      <c r="B337" s="13">
        <f>"3   "&amp;INDEX($B$318:$B$331,MATCH(LARGE($BD$318:$BD$331,3),$BD$318:$BD$331,0))</f>
        <v/>
      </c>
      <c r="C337" s="13"/>
      <c r="D337" s="13"/>
      <c r="E337" s="13"/>
      <c r="F337" s="13"/>
      <c r="G337" s="13"/>
      <c r="H337" s="13"/>
      <c r="I337" s="13"/>
      <c r="J337" s="13"/>
      <c r="K337" s="13"/>
      <c r="L337" s="13"/>
      <c r="M337" s="13"/>
      <c r="N337" s="26">
        <f>INDEX($Z$318:$Z$331,MATCH(LARGE($BD$318:$BD$331,3),$BD$318:$BD$331,0))</f>
        <v/>
      </c>
      <c r="O337" s="26"/>
      <c r="P337" s="26"/>
      <c r="Q337" s="26"/>
      <c r="R337" s="26"/>
      <c r="S337" s="26"/>
      <c r="T337" s="27">
        <f>INDEX($AL$318:$AL$331,MATCH(LARGE($BD$318:$BD$331,3),$BD$318:$BD$331,0))</f>
        <v/>
      </c>
      <c r="U337" s="27"/>
      <c r="V337" s="27"/>
      <c r="W337" s="27"/>
      <c r="X337" s="27"/>
      <c r="Y337" s="27"/>
    </row>
    <row r="338" spans="2:67">
      <c r="B338" s="13">
        <f>"4   "&amp;INDEX($B$318:$B$331,MATCH(LARGE($BD$318:$BD$331,4),$BD$318:$BD$331,0))</f>
        <v/>
      </c>
      <c r="C338" s="13"/>
      <c r="D338" s="13"/>
      <c r="E338" s="13"/>
      <c r="F338" s="13"/>
      <c r="G338" s="13"/>
      <c r="H338" s="13"/>
      <c r="I338" s="13"/>
      <c r="J338" s="13"/>
      <c r="K338" s="13"/>
      <c r="L338" s="13"/>
      <c r="M338" s="13"/>
      <c r="N338" s="26">
        <f>INDEX($Z$318:$Z$331,MATCH(LARGE($BD$318:$BD$331,4),$BD$318:$BD$331,0))</f>
        <v/>
      </c>
      <c r="O338" s="26"/>
      <c r="P338" s="26"/>
      <c r="Q338" s="26"/>
      <c r="R338" s="26"/>
      <c r="S338" s="26"/>
      <c r="T338" s="27">
        <f>INDEX($AL$318:$AL$331,MATCH(LARGE($BD$318:$BD$331,4),$BD$318:$BD$331,0))</f>
        <v/>
      </c>
      <c r="U338" s="27"/>
      <c r="V338" s="27"/>
      <c r="W338" s="27"/>
      <c r="X338" s="27"/>
      <c r="Y338" s="27"/>
    </row>
    <row r="339" spans="2:67">
      <c r="B339" s="13">
        <f>"5   "&amp;INDEX($B$318:$B$331,MATCH(LARGE($BD$318:$BD$331,5),$BD$318:$BD$331,0))</f>
        <v/>
      </c>
      <c r="C339" s="13"/>
      <c r="D339" s="13"/>
      <c r="E339" s="13"/>
      <c r="F339" s="13"/>
      <c r="G339" s="13"/>
      <c r="H339" s="13"/>
      <c r="I339" s="13"/>
      <c r="J339" s="13"/>
      <c r="K339" s="13"/>
      <c r="L339" s="13"/>
      <c r="M339" s="13"/>
      <c r="N339" s="26">
        <f>INDEX($Z$318:$Z$331,MATCH(LARGE($BD$318:$BD$331,5),$BD$318:$BD$331,0))</f>
        <v/>
      </c>
      <c r="O339" s="26"/>
      <c r="P339" s="26"/>
      <c r="Q339" s="26"/>
      <c r="R339" s="26"/>
      <c r="S339" s="26"/>
      <c r="T339" s="27">
        <f>INDEX($AL$318:$AL$331,MATCH(LARGE($BD$318:$BD$331,5),$BD$318:$BD$331,0))</f>
        <v/>
      </c>
      <c r="U339" s="27"/>
      <c r="V339" s="27"/>
      <c r="W339" s="27"/>
      <c r="X339" s="27"/>
      <c r="Y339" s="27"/>
    </row>
    <row r="340" spans="2:67">
      <c r="B340" s="13">
        <f>"6   "&amp;INDEX($B$318:$B$331,MATCH(LARGE($BD$318:$BD$331,6),$BD$318:$BD$331,0))</f>
        <v/>
      </c>
      <c r="C340" s="13"/>
      <c r="D340" s="13"/>
      <c r="E340" s="13"/>
      <c r="F340" s="13"/>
      <c r="G340" s="13"/>
      <c r="H340" s="13"/>
      <c r="I340" s="13"/>
      <c r="J340" s="13"/>
      <c r="K340" s="13"/>
      <c r="L340" s="13"/>
      <c r="M340" s="13"/>
      <c r="N340" s="26">
        <f>INDEX($Z$318:$Z$331,MATCH(LARGE($BD$318:$BD$331,6),$BD$318:$BD$331,0))</f>
        <v/>
      </c>
      <c r="O340" s="26"/>
      <c r="P340" s="26"/>
      <c r="Q340" s="26"/>
      <c r="R340" s="26"/>
      <c r="S340" s="26"/>
      <c r="T340" s="27">
        <f>INDEX($AL$318:$AL$331,MATCH(LARGE($BD$318:$BD$331,6),$BD$318:$BD$331,0))</f>
        <v/>
      </c>
      <c r="U340" s="27"/>
      <c r="V340" s="27"/>
      <c r="W340" s="27"/>
      <c r="X340" s="27"/>
      <c r="Y340" s="27"/>
    </row>
    <row r="341" spans="2:67">
      <c r="B341" s="13">
        <f>"7   "&amp;INDEX($B$318:$B$331,MATCH(LARGE($BD$318:$BD$331,7),$BD$318:$BD$331,0))</f>
        <v/>
      </c>
      <c r="C341" s="13"/>
      <c r="D341" s="13"/>
      <c r="E341" s="13"/>
      <c r="F341" s="13"/>
      <c r="G341" s="13"/>
      <c r="H341" s="13"/>
      <c r="I341" s="13"/>
      <c r="J341" s="13"/>
      <c r="K341" s="13"/>
      <c r="L341" s="13"/>
      <c r="M341" s="13"/>
      <c r="N341" s="26">
        <f>INDEX($Z$318:$Z$331,MATCH(LARGE($BD$318:$BD$331,7),$BD$318:$BD$331,0))</f>
        <v/>
      </c>
      <c r="O341" s="26"/>
      <c r="P341" s="26"/>
      <c r="Q341" s="26"/>
      <c r="R341" s="26"/>
      <c r="S341" s="26"/>
      <c r="T341" s="27">
        <f>INDEX($AL$318:$AL$331,MATCH(LARGE($BD$318:$BD$331,7),$BD$318:$BD$331,0))</f>
        <v/>
      </c>
      <c r="U341" s="27"/>
      <c r="V341" s="27"/>
      <c r="W341" s="27"/>
      <c r="X341" s="27"/>
      <c r="Y341" s="27"/>
    </row>
    <row r="342" spans="2:67">
      <c r="B342" s="13">
        <f>"8   "&amp;INDEX($B$318:$B$331,MATCH(LARGE($BD$318:$BD$331,8),$BD$318:$BD$331,0))</f>
        <v/>
      </c>
      <c r="C342" s="13"/>
      <c r="D342" s="13"/>
      <c r="E342" s="13"/>
      <c r="F342" s="13"/>
      <c r="G342" s="13"/>
      <c r="H342" s="13"/>
      <c r="I342" s="13"/>
      <c r="J342" s="13"/>
      <c r="K342" s="13"/>
      <c r="L342" s="13"/>
      <c r="M342" s="13"/>
      <c r="N342" s="26">
        <f>INDEX($Z$318:$Z$331,MATCH(LARGE($BD$318:$BD$331,8),$BD$318:$BD$331,0))</f>
        <v/>
      </c>
      <c r="O342" s="26"/>
      <c r="P342" s="26"/>
      <c r="Q342" s="26"/>
      <c r="R342" s="26"/>
      <c r="S342" s="26"/>
      <c r="T342" s="27">
        <f>INDEX($AL$318:$AL$331,MATCH(LARGE($BD$318:$BD$331,8),$BD$318:$BD$331,0))</f>
        <v/>
      </c>
      <c r="U342" s="27"/>
      <c r="V342" s="27"/>
      <c r="W342" s="27"/>
      <c r="X342" s="27"/>
      <c r="Y342" s="27"/>
    </row>
    <row r="343" spans="2:67">
      <c r="B343" s="13">
        <f>"9   "&amp;INDEX($B$318:$B$331,MATCH(LARGE($BD$318:$BD$331,9),$BD$318:$BD$331,0))</f>
        <v/>
      </c>
      <c r="C343" s="13"/>
      <c r="D343" s="13"/>
      <c r="E343" s="13"/>
      <c r="F343" s="13"/>
      <c r="G343" s="13"/>
      <c r="H343" s="13"/>
      <c r="I343" s="13"/>
      <c r="J343" s="13"/>
      <c r="K343" s="13"/>
      <c r="L343" s="13"/>
      <c r="M343" s="13"/>
      <c r="N343" s="26">
        <f>INDEX($Z$318:$Z$331,MATCH(LARGE($BD$318:$BD$331,9),$BD$318:$BD$331,0))</f>
        <v/>
      </c>
      <c r="O343" s="26"/>
      <c r="P343" s="26"/>
      <c r="Q343" s="26"/>
      <c r="R343" s="26"/>
      <c r="S343" s="26"/>
      <c r="T343" s="27">
        <f>INDEX($AL$318:$AL$331,MATCH(LARGE($BD$318:$BD$331,9),$BD$318:$BD$331,0))</f>
        <v/>
      </c>
      <c r="U343" s="27"/>
      <c r="V343" s="27"/>
      <c r="W343" s="27"/>
      <c r="X343" s="27"/>
      <c r="Y343" s="27"/>
    </row>
    <row r="344" spans="2:67">
      <c r="B344" s="13">
        <f>"10   "&amp;INDEX($B$318:$B$331,MATCH(LARGE($BD$318:$BD$331,10),$BD$318:$BD$331,0))</f>
        <v/>
      </c>
      <c r="C344" s="13"/>
      <c r="D344" s="13"/>
      <c r="E344" s="13"/>
      <c r="F344" s="13"/>
      <c r="G344" s="13"/>
      <c r="H344" s="13"/>
      <c r="I344" s="13"/>
      <c r="J344" s="13"/>
      <c r="K344" s="13"/>
      <c r="L344" s="13"/>
      <c r="M344" s="13"/>
      <c r="N344" s="26">
        <f>INDEX($Z$318:$Z$331,MATCH(LARGE($BD$318:$BD$331,10),$BD$318:$BD$331,0))</f>
        <v/>
      </c>
      <c r="O344" s="26"/>
      <c r="P344" s="26"/>
      <c r="Q344" s="26"/>
      <c r="R344" s="26"/>
      <c r="S344" s="26"/>
      <c r="T344" s="27">
        <f>INDEX($AL$318:$AL$331,MATCH(LARGE($BD$318:$BD$331,10),$BD$318:$BD$331,0))</f>
        <v/>
      </c>
      <c r="U344" s="27"/>
      <c r="V344" s="27"/>
      <c r="W344" s="27"/>
      <c r="X344" s="27"/>
      <c r="Y344" s="27"/>
    </row>
    <row r="345" spans="2:67">
      <c r="B345" s="13" t="s">
        <v>1283</v>
      </c>
      <c r="C345" s="13"/>
      <c r="D345" s="13"/>
      <c r="E345" s="13"/>
      <c r="F345" s="13"/>
      <c r="G345" s="13"/>
      <c r="H345" s="13"/>
      <c r="I345" s="13"/>
      <c r="J345" s="13"/>
      <c r="K345" s="13"/>
      <c r="L345" s="13"/>
      <c r="M345" s="13"/>
      <c r="N345" s="26">
        <f>N(IFERROR(INDEX($CT$285:$CT$314,MATCH($AU$4,$B$285:$B$314,0)),""))</f>
        <v/>
      </c>
      <c r="O345" s="26"/>
      <c r="P345" s="26"/>
      <c r="Q345" s="26"/>
      <c r="R345" s="26"/>
      <c r="S345" s="26"/>
      <c r="T345" s="19">
        <f>IFERROR(IF(N(IFERROR(INDEX($CT$285:$CT$314,MATCH($N$131,$B$285:$B$314,0)),""))=0,"",($N$345-IFERROR(INDEX($CT$285:$CT$314,MATCH($N$131,$B$285:$B$314,0)),""))/ABS(IFERROR(INDEX($CT$285:$CT$314,MATCH($N$131,$B$285:$B$314,0)),""))),"")</f>
        <v/>
      </c>
      <c r="U345" s="19"/>
      <c r="V345" s="19"/>
      <c r="W345" s="19"/>
      <c r="X345" s="19"/>
      <c r="Y345" s="19"/>
    </row>
    <row r="347" spans="2:67">
      <c r="B347" s="11" t="s">
        <v>1308</v>
      </c>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row>
    <row r="348" spans="2:67">
      <c r="B348" s="12"/>
      <c r="C348" s="12"/>
      <c r="D348" s="12"/>
      <c r="E348" s="12"/>
      <c r="F348" s="12"/>
      <c r="G348" s="12"/>
      <c r="H348" s="12"/>
      <c r="I348" s="12"/>
      <c r="J348" s="12"/>
      <c r="K348" s="12"/>
      <c r="L348" s="12"/>
      <c r="M348" s="12"/>
      <c r="N348" s="12" t="s">
        <v>1309</v>
      </c>
      <c r="O348" s="12"/>
      <c r="P348" s="12"/>
      <c r="Q348" s="12"/>
      <c r="R348" s="12"/>
      <c r="S348" s="12"/>
      <c r="T348" s="12" t="s">
        <v>1310</v>
      </c>
      <c r="U348" s="12"/>
      <c r="V348" s="12"/>
      <c r="W348" s="12"/>
      <c r="X348" s="12"/>
      <c r="Y348" s="12"/>
      <c r="Z348" s="12" t="s">
        <v>1311</v>
      </c>
      <c r="AA348" s="12"/>
      <c r="AB348" s="12"/>
      <c r="AC348" s="12"/>
      <c r="AD348" s="12"/>
      <c r="AE348" s="12"/>
      <c r="AF348" s="12" t="s">
        <v>1312</v>
      </c>
      <c r="AG348" s="12"/>
      <c r="AH348" s="12"/>
      <c r="AI348" s="12"/>
      <c r="AJ348" s="12"/>
      <c r="AK348" s="12"/>
      <c r="AL348" s="12" t="s">
        <v>1313</v>
      </c>
      <c r="AM348" s="12"/>
      <c r="AN348" s="12"/>
      <c r="AO348" s="12"/>
      <c r="AP348" s="12"/>
      <c r="AQ348" s="12"/>
      <c r="AR348" s="12" t="s">
        <v>1314</v>
      </c>
      <c r="AS348" s="12"/>
      <c r="AT348" s="12"/>
      <c r="AU348" s="12"/>
      <c r="AV348" s="12"/>
      <c r="AW348" s="12"/>
      <c r="AX348" s="12" t="s">
        <v>1315</v>
      </c>
      <c r="AY348" s="12"/>
      <c r="AZ348" s="12"/>
      <c r="BA348" s="12"/>
      <c r="BB348" s="12"/>
      <c r="BC348" s="12"/>
      <c r="BD348" s="12" t="s">
        <v>1316</v>
      </c>
      <c r="BE348" s="12"/>
      <c r="BF348" s="12"/>
      <c r="BG348" s="12"/>
      <c r="BH348" s="12"/>
      <c r="BI348" s="12"/>
      <c r="BJ348" s="12" t="s">
        <v>532</v>
      </c>
      <c r="BK348" s="12"/>
      <c r="BL348" s="12"/>
      <c r="BM348" s="12"/>
      <c r="BN348" s="12"/>
      <c r="BO348" s="12"/>
    </row>
    <row r="349" spans="2:67">
      <c r="B349" s="13" t="s">
        <v>1158</v>
      </c>
      <c r="C349" s="13"/>
      <c r="D349" s="13"/>
      <c r="E349" s="13"/>
      <c r="F349" s="13"/>
      <c r="G349" s="13"/>
      <c r="H349" s="13"/>
      <c r="I349" s="13"/>
      <c r="J349" s="13"/>
      <c r="K349" s="13"/>
      <c r="L349" s="13"/>
      <c r="M349" s="13"/>
      <c r="N349" s="14" t="s">
        <v>1317</v>
      </c>
      <c r="O349" s="14"/>
      <c r="P349" s="14"/>
      <c r="Q349" s="14"/>
      <c r="R349" s="14"/>
      <c r="S349" s="14"/>
      <c r="T349" s="28">
        <v>4.25</v>
      </c>
      <c r="U349" s="28"/>
      <c r="V349" s="28"/>
      <c r="W349" s="28"/>
      <c r="X349" s="28"/>
      <c r="Y349" s="28"/>
      <c r="Z349" s="29">
        <v>0.0142</v>
      </c>
      <c r="AA349" s="29"/>
      <c r="AB349" s="29"/>
      <c r="AC349" s="29"/>
      <c r="AD349" s="29"/>
      <c r="AE349" s="29"/>
      <c r="AF349" s="29">
        <v>-0.0076</v>
      </c>
      <c r="AG349" s="29"/>
      <c r="AH349" s="29"/>
      <c r="AI349" s="29"/>
      <c r="AJ349" s="29"/>
      <c r="AK349" s="29"/>
      <c r="AL349" s="29">
        <v>0.0409</v>
      </c>
      <c r="AM349" s="29"/>
      <c r="AN349" s="29"/>
      <c r="AO349" s="29"/>
      <c r="AP349" s="29"/>
      <c r="AQ349" s="29"/>
      <c r="AR349" s="30">
        <v>-0.19</v>
      </c>
      <c r="AS349" s="30"/>
      <c r="AT349" s="30"/>
      <c r="AU349" s="30"/>
      <c r="AV349" s="30"/>
      <c r="AW349" s="30"/>
      <c r="AX349" s="29">
        <v>0.0292</v>
      </c>
      <c r="AY349" s="29"/>
      <c r="AZ349" s="29"/>
      <c r="BA349" s="29"/>
      <c r="BB349" s="29"/>
      <c r="BC349" s="29"/>
      <c r="BD349" s="29">
        <v>0.0385</v>
      </c>
      <c r="BE349" s="29"/>
      <c r="BF349" s="29"/>
      <c r="BG349" s="29"/>
      <c r="BH349" s="29"/>
      <c r="BI349" s="29"/>
      <c r="BJ349" s="31">
        <v>1590</v>
      </c>
      <c r="BK349" s="31"/>
      <c r="BL349" s="31"/>
      <c r="BM349" s="31"/>
      <c r="BN349" s="31"/>
      <c r="BO349" s="31"/>
    </row>
    <row r="350" spans="2:67">
      <c r="B350" s="13" t="s">
        <v>1160</v>
      </c>
      <c r="C350" s="13"/>
      <c r="D350" s="13"/>
      <c r="E350" s="13"/>
      <c r="F350" s="13"/>
      <c r="G350" s="13"/>
      <c r="H350" s="13"/>
      <c r="I350" s="13"/>
      <c r="J350" s="13"/>
      <c r="K350" s="13"/>
      <c r="L350" s="13"/>
      <c r="M350" s="13"/>
      <c r="N350" s="14" t="s">
        <v>1318</v>
      </c>
      <c r="O350" s="14"/>
      <c r="P350" s="14"/>
      <c r="Q350" s="14"/>
      <c r="R350" s="14"/>
      <c r="S350" s="14"/>
      <c r="T350" s="28">
        <v>4.15</v>
      </c>
      <c r="U350" s="28"/>
      <c r="V350" s="28"/>
      <c r="W350" s="28"/>
      <c r="X350" s="28"/>
      <c r="Y350" s="28"/>
      <c r="Z350" s="29">
        <v>0.0621</v>
      </c>
      <c r="AA350" s="29"/>
      <c r="AB350" s="29"/>
      <c r="AC350" s="29"/>
      <c r="AD350" s="29"/>
      <c r="AE350" s="29"/>
      <c r="AF350" s="29">
        <v>0.0668</v>
      </c>
      <c r="AG350" s="29"/>
      <c r="AH350" s="29"/>
      <c r="AI350" s="29"/>
      <c r="AJ350" s="29"/>
      <c r="AK350" s="29"/>
      <c r="AL350" s="29">
        <v>0.1708</v>
      </c>
      <c r="AM350" s="29"/>
      <c r="AN350" s="29"/>
      <c r="AO350" s="29"/>
      <c r="AP350" s="29"/>
      <c r="AQ350" s="29"/>
      <c r="AR350" s="30">
        <v>1.74</v>
      </c>
      <c r="AS350" s="30"/>
      <c r="AT350" s="30"/>
      <c r="AU350" s="30"/>
      <c r="AV350" s="30"/>
      <c r="AW350" s="30"/>
      <c r="AX350" s="29">
        <v>-0.0186</v>
      </c>
      <c r="AY350" s="29"/>
      <c r="AZ350" s="29"/>
      <c r="BA350" s="29"/>
      <c r="BB350" s="29"/>
      <c r="BC350" s="29"/>
      <c r="BD350" s="29">
        <v>0.0112</v>
      </c>
      <c r="BE350" s="29"/>
      <c r="BF350" s="29"/>
      <c r="BG350" s="29"/>
      <c r="BH350" s="29"/>
      <c r="BI350" s="29"/>
      <c r="BJ350" s="31">
        <v>1596</v>
      </c>
      <c r="BK350" s="31"/>
      <c r="BL350" s="31"/>
      <c r="BM350" s="31"/>
      <c r="BN350" s="31"/>
      <c r="BO350" s="31"/>
    </row>
    <row r="351" spans="2:67">
      <c r="B351" s="13" t="s">
        <v>1162</v>
      </c>
      <c r="C351" s="13"/>
      <c r="D351" s="13"/>
      <c r="E351" s="13"/>
      <c r="F351" s="13"/>
      <c r="G351" s="13"/>
      <c r="H351" s="13"/>
      <c r="I351" s="13"/>
      <c r="J351" s="13"/>
      <c r="K351" s="13"/>
      <c r="L351" s="13"/>
      <c r="M351" s="13"/>
      <c r="N351" s="14" t="s">
        <v>1319</v>
      </c>
      <c r="O351" s="14"/>
      <c r="P351" s="14"/>
      <c r="Q351" s="14"/>
      <c r="R351" s="14"/>
      <c r="S351" s="14"/>
      <c r="T351" s="28">
        <v>5.1</v>
      </c>
      <c r="U351" s="28"/>
      <c r="V351" s="28"/>
      <c r="W351" s="28"/>
      <c r="X351" s="28"/>
      <c r="Y351" s="28"/>
      <c r="Z351" s="29">
        <v>0.0732</v>
      </c>
      <c r="AA351" s="29"/>
      <c r="AB351" s="29"/>
      <c r="AC351" s="29"/>
      <c r="AD351" s="29"/>
      <c r="AE351" s="29"/>
      <c r="AF351" s="29">
        <v>0.06569999999999999</v>
      </c>
      <c r="AG351" s="29"/>
      <c r="AH351" s="29"/>
      <c r="AI351" s="29"/>
      <c r="AJ351" s="29"/>
      <c r="AK351" s="29"/>
      <c r="AL351" s="29">
        <v>0.0391</v>
      </c>
      <c r="AM351" s="29"/>
      <c r="AN351" s="29"/>
      <c r="AO351" s="29"/>
      <c r="AP351" s="29"/>
      <c r="AQ351" s="29"/>
      <c r="AR351" s="30">
        <v>2.24</v>
      </c>
      <c r="AS351" s="30"/>
      <c r="AT351" s="30"/>
      <c r="AU351" s="30"/>
      <c r="AV351" s="30"/>
      <c r="AW351" s="30"/>
      <c r="AX351" s="29">
        <v>0.0146</v>
      </c>
      <c r="AY351" s="29"/>
      <c r="AZ351" s="29"/>
      <c r="BA351" s="29"/>
      <c r="BB351" s="29"/>
      <c r="BC351" s="29"/>
      <c r="BD351" s="29">
        <v>0.0114</v>
      </c>
      <c r="BE351" s="29"/>
      <c r="BF351" s="29"/>
      <c r="BG351" s="29"/>
      <c r="BH351" s="29"/>
      <c r="BI351" s="29"/>
      <c r="BJ351" s="31">
        <v>1565</v>
      </c>
      <c r="BK351" s="31"/>
      <c r="BL351" s="31"/>
      <c r="BM351" s="31"/>
      <c r="BN351" s="31"/>
      <c r="BO351" s="31"/>
    </row>
    <row r="352" spans="2:67">
      <c r="B352" s="13" t="s">
        <v>1164</v>
      </c>
      <c r="C352" s="13"/>
      <c r="D352" s="13"/>
      <c r="E352" s="13"/>
      <c r="F352" s="13"/>
      <c r="G352" s="13"/>
      <c r="H352" s="13"/>
      <c r="I352" s="13"/>
      <c r="J352" s="13"/>
      <c r="K352" s="13"/>
      <c r="L352" s="13"/>
      <c r="M352" s="13"/>
      <c r="N352" s="14" t="s">
        <v>1320</v>
      </c>
      <c r="O352" s="14"/>
      <c r="P352" s="14"/>
      <c r="Q352" s="14"/>
      <c r="R352" s="14"/>
      <c r="S352" s="14"/>
      <c r="T352" s="28">
        <v>4.4</v>
      </c>
      <c r="U352" s="28"/>
      <c r="V352" s="28"/>
      <c r="W352" s="28"/>
      <c r="X352" s="28"/>
      <c r="Y352" s="28"/>
      <c r="Z352" s="29">
        <v>-0.0357</v>
      </c>
      <c r="AA352" s="29"/>
      <c r="AB352" s="29"/>
      <c r="AC352" s="29"/>
      <c r="AD352" s="29"/>
      <c r="AE352" s="29"/>
      <c r="AF352" s="29">
        <v>-0.0138</v>
      </c>
      <c r="AG352" s="29"/>
      <c r="AH352" s="29"/>
      <c r="AI352" s="29"/>
      <c r="AJ352" s="29"/>
      <c r="AK352" s="29"/>
      <c r="AL352" s="29">
        <v>-0.0386</v>
      </c>
      <c r="AM352" s="29"/>
      <c r="AN352" s="29"/>
      <c r="AO352" s="29"/>
      <c r="AP352" s="29"/>
      <c r="AQ352" s="29"/>
      <c r="AR352" s="30">
        <v>-0.51</v>
      </c>
      <c r="AS352" s="30"/>
      <c r="AT352" s="30"/>
      <c r="AU352" s="30"/>
      <c r="AV352" s="30"/>
      <c r="AW352" s="30"/>
      <c r="AX352" s="29">
        <v>-0.0248</v>
      </c>
      <c r="AY352" s="29"/>
      <c r="AZ352" s="29"/>
      <c r="BA352" s="29"/>
      <c r="BB352" s="29"/>
      <c r="BC352" s="29"/>
      <c r="BD352" s="29">
        <v>-0.0256</v>
      </c>
      <c r="BE352" s="29"/>
      <c r="BF352" s="29"/>
      <c r="BG352" s="29"/>
      <c r="BH352" s="29"/>
      <c r="BI352" s="29"/>
      <c r="BJ352" s="31">
        <v>1744</v>
      </c>
      <c r="BK352" s="31"/>
      <c r="BL352" s="31"/>
      <c r="BM352" s="31"/>
      <c r="BN352" s="31"/>
      <c r="BO352" s="31"/>
    </row>
    <row r="353" spans="2:67">
      <c r="B353" s="13" t="s">
        <v>1166</v>
      </c>
      <c r="C353" s="13"/>
      <c r="D353" s="13"/>
      <c r="E353" s="13"/>
      <c r="F353" s="13"/>
      <c r="G353" s="13"/>
      <c r="H353" s="13"/>
      <c r="I353" s="13"/>
      <c r="J353" s="13"/>
      <c r="K353" s="13"/>
      <c r="L353" s="13"/>
      <c r="M353" s="13"/>
      <c r="N353" s="14" t="s">
        <v>1321</v>
      </c>
      <c r="O353" s="14"/>
      <c r="P353" s="14"/>
      <c r="Q353" s="14"/>
      <c r="R353" s="14"/>
      <c r="S353" s="14"/>
      <c r="T353" s="28">
        <v>4.34</v>
      </c>
      <c r="U353" s="28"/>
      <c r="V353" s="28"/>
      <c r="W353" s="28"/>
      <c r="X353" s="28"/>
      <c r="Y353" s="28"/>
      <c r="Z353" s="29">
        <v>-0.0473</v>
      </c>
      <c r="AA353" s="29"/>
      <c r="AB353" s="29"/>
      <c r="AC353" s="29"/>
      <c r="AD353" s="29"/>
      <c r="AE353" s="29"/>
      <c r="AF353" s="29">
        <v>-0.052</v>
      </c>
      <c r="AG353" s="29"/>
      <c r="AH353" s="29"/>
      <c r="AI353" s="29"/>
      <c r="AJ353" s="29"/>
      <c r="AK353" s="29"/>
      <c r="AL353" s="29">
        <v>0.04</v>
      </c>
      <c r="AM353" s="29"/>
      <c r="AN353" s="29"/>
      <c r="AO353" s="29"/>
      <c r="AP353" s="29"/>
      <c r="AQ353" s="29"/>
      <c r="AR353" s="30">
        <v>-2.02</v>
      </c>
      <c r="AS353" s="30"/>
      <c r="AT353" s="30"/>
      <c r="AU353" s="30"/>
      <c r="AV353" s="30"/>
      <c r="AW353" s="30"/>
      <c r="AX353" s="29">
        <v>-0.0231</v>
      </c>
      <c r="AY353" s="29"/>
      <c r="AZ353" s="29"/>
      <c r="BA353" s="29"/>
      <c r="BB353" s="29"/>
      <c r="BC353" s="29"/>
      <c r="BD353" s="29">
        <v>0.067</v>
      </c>
      <c r="BE353" s="29"/>
      <c r="BF353" s="29"/>
      <c r="BG353" s="29"/>
      <c r="BH353" s="29"/>
      <c r="BI353" s="29"/>
      <c r="BJ353" s="31">
        <v>1927</v>
      </c>
      <c r="BK353" s="31"/>
      <c r="BL353" s="31"/>
      <c r="BM353" s="31"/>
      <c r="BN353" s="31"/>
      <c r="BO353" s="31"/>
    </row>
    <row r="354" spans="2:67">
      <c r="B354" s="13" t="s">
        <v>1168</v>
      </c>
      <c r="C354" s="13"/>
      <c r="D354" s="13"/>
      <c r="E354" s="13"/>
      <c r="F354" s="13"/>
      <c r="G354" s="13"/>
      <c r="H354" s="13"/>
      <c r="I354" s="13"/>
      <c r="J354" s="13"/>
      <c r="K354" s="13"/>
      <c r="L354" s="13"/>
      <c r="M354" s="13"/>
      <c r="N354" s="14" t="s">
        <v>1322</v>
      </c>
      <c r="O354" s="14"/>
      <c r="P354" s="14"/>
      <c r="Q354" s="14"/>
      <c r="R354" s="14"/>
      <c r="S354" s="14"/>
      <c r="T354" s="28">
        <v>4.04</v>
      </c>
      <c r="U354" s="28"/>
      <c r="V354" s="28"/>
      <c r="W354" s="28"/>
      <c r="X354" s="28"/>
      <c r="Y354" s="28"/>
      <c r="Z354" s="29">
        <v>-0.0049</v>
      </c>
      <c r="AA354" s="29"/>
      <c r="AB354" s="29"/>
      <c r="AC354" s="29"/>
      <c r="AD354" s="29"/>
      <c r="AE354" s="29"/>
      <c r="AF354" s="29">
        <v>-0.0025</v>
      </c>
      <c r="AG354" s="29"/>
      <c r="AH354" s="29"/>
      <c r="AI354" s="29"/>
      <c r="AJ354" s="29"/>
      <c r="AK354" s="29"/>
      <c r="AL354" s="29">
        <v>0.07140000000000001</v>
      </c>
      <c r="AM354" s="29"/>
      <c r="AN354" s="29"/>
      <c r="AO354" s="29"/>
      <c r="AP354" s="29"/>
      <c r="AQ354" s="29"/>
      <c r="AR354" s="30">
        <v>-0.08</v>
      </c>
      <c r="AS354" s="30"/>
      <c r="AT354" s="30"/>
      <c r="AU354" s="30"/>
      <c r="AV354" s="30"/>
      <c r="AW354" s="30"/>
      <c r="AX354" s="29">
        <v>-0.0025</v>
      </c>
      <c r="AY354" s="29"/>
      <c r="AZ354" s="29"/>
      <c r="BA354" s="29"/>
      <c r="BB354" s="29"/>
      <c r="BC354" s="29"/>
      <c r="BD354" s="29">
        <v>-0.0005999999999999999</v>
      </c>
      <c r="BE354" s="29"/>
      <c r="BF354" s="29"/>
      <c r="BG354" s="29"/>
      <c r="BH354" s="29"/>
      <c r="BI354" s="29"/>
      <c r="BJ354" s="31">
        <v>1887</v>
      </c>
      <c r="BK354" s="31"/>
      <c r="BL354" s="31"/>
      <c r="BM354" s="31"/>
      <c r="BN354" s="31"/>
      <c r="BO354" s="31"/>
    </row>
    <row r="355" spans="2:67">
      <c r="B355" s="13" t="s">
        <v>1170</v>
      </c>
      <c r="C355" s="13"/>
      <c r="D355" s="13"/>
      <c r="E355" s="13"/>
      <c r="F355" s="13"/>
      <c r="G355" s="13"/>
      <c r="H355" s="13"/>
      <c r="I355" s="13"/>
      <c r="J355" s="13"/>
      <c r="K355" s="13"/>
      <c r="L355" s="13"/>
      <c r="M355" s="13"/>
      <c r="N355" s="14" t="s">
        <v>1323</v>
      </c>
      <c r="O355" s="14"/>
      <c r="P355" s="14"/>
      <c r="Q355" s="14"/>
      <c r="R355" s="14"/>
      <c r="S355" s="14"/>
      <c r="T355" s="28">
        <v>4.09</v>
      </c>
      <c r="U355" s="28"/>
      <c r="V355" s="28"/>
      <c r="W355" s="28"/>
      <c r="X355" s="28"/>
      <c r="Y355" s="28"/>
      <c r="Z355" s="29">
        <v>0.045</v>
      </c>
      <c r="AA355" s="29"/>
      <c r="AB355" s="29"/>
      <c r="AC355" s="29"/>
      <c r="AD355" s="29"/>
      <c r="AE355" s="29"/>
      <c r="AF355" s="29">
        <v>0.0379</v>
      </c>
      <c r="AG355" s="29"/>
      <c r="AH355" s="29"/>
      <c r="AI355" s="29"/>
      <c r="AJ355" s="29"/>
      <c r="AK355" s="29"/>
      <c r="AL355" s="29">
        <v>0.1737</v>
      </c>
      <c r="AM355" s="29"/>
      <c r="AN355" s="29"/>
      <c r="AO355" s="29"/>
      <c r="AP355" s="29"/>
      <c r="AQ355" s="29"/>
      <c r="AR355" s="30">
        <v>1.44</v>
      </c>
      <c r="AS355" s="30"/>
      <c r="AT355" s="30"/>
      <c r="AU355" s="30"/>
      <c r="AV355" s="30"/>
      <c r="AW355" s="30"/>
      <c r="AX355" s="29">
        <v>0.0202</v>
      </c>
      <c r="AY355" s="29"/>
      <c r="AZ355" s="29"/>
      <c r="BA355" s="29"/>
      <c r="BB355" s="29"/>
      <c r="BC355" s="29"/>
      <c r="BD355" s="29">
        <v>0.0223</v>
      </c>
      <c r="BE355" s="29"/>
      <c r="BF355" s="29"/>
      <c r="BG355" s="29"/>
      <c r="BH355" s="29"/>
      <c r="BI355" s="29"/>
      <c r="BJ355" s="31">
        <v>2442</v>
      </c>
      <c r="BK355" s="31"/>
      <c r="BL355" s="31"/>
      <c r="BM355" s="31"/>
      <c r="BN355" s="31"/>
      <c r="BO355" s="31"/>
    </row>
    <row r="356" spans="2:67">
      <c r="B356" s="13" t="s">
        <v>1172</v>
      </c>
      <c r="C356" s="13"/>
      <c r="D356" s="13"/>
      <c r="E356" s="13"/>
      <c r="F356" s="13"/>
      <c r="G356" s="13"/>
      <c r="H356" s="13"/>
      <c r="I356" s="13"/>
      <c r="J356" s="13"/>
      <c r="K356" s="13"/>
      <c r="L356" s="13"/>
      <c r="M356" s="13"/>
      <c r="N356" s="14" t="s">
        <v>1324</v>
      </c>
      <c r="O356" s="14"/>
      <c r="P356" s="14"/>
      <c r="Q356" s="14"/>
      <c r="R356" s="14"/>
      <c r="S356" s="14"/>
      <c r="T356" s="28">
        <v>7.19</v>
      </c>
      <c r="U356" s="28"/>
      <c r="V356" s="28"/>
      <c r="W356" s="28"/>
      <c r="X356" s="28"/>
      <c r="Y356" s="28"/>
      <c r="Z356" s="29">
        <v>0.0098</v>
      </c>
      <c r="AA356" s="29"/>
      <c r="AB356" s="29"/>
      <c r="AC356" s="29"/>
      <c r="AD356" s="29"/>
      <c r="AE356" s="29"/>
      <c r="AF356" s="29">
        <v>-0.0051</v>
      </c>
      <c r="AG356" s="29"/>
      <c r="AH356" s="29"/>
      <c r="AI356" s="29"/>
      <c r="AJ356" s="29"/>
      <c r="AK356" s="29"/>
      <c r="AL356" s="29">
        <v>0.0609</v>
      </c>
      <c r="AM356" s="29"/>
      <c r="AN356" s="29"/>
      <c r="AO356" s="29"/>
      <c r="AP356" s="29"/>
      <c r="AQ356" s="29"/>
      <c r="AR356" s="30">
        <v>-0.2</v>
      </c>
      <c r="AS356" s="30"/>
      <c r="AT356" s="30"/>
      <c r="AU356" s="30"/>
      <c r="AV356" s="30"/>
      <c r="AW356" s="30"/>
      <c r="AX356" s="29">
        <v>0.0174</v>
      </c>
      <c r="AY356" s="29"/>
      <c r="AZ356" s="29"/>
      <c r="BA356" s="29"/>
      <c r="BB356" s="29"/>
      <c r="BC356" s="29"/>
      <c r="BD356" s="29">
        <v>0.0109</v>
      </c>
      <c r="BE356" s="29"/>
      <c r="BF356" s="29"/>
      <c r="BG356" s="29"/>
      <c r="BH356" s="29"/>
      <c r="BI356" s="29"/>
      <c r="BJ356" s="31">
        <v>2481</v>
      </c>
      <c r="BK356" s="31"/>
      <c r="BL356" s="31"/>
      <c r="BM356" s="31"/>
      <c r="BN356" s="31"/>
      <c r="BO356" s="31"/>
    </row>
    <row r="357" spans="2:67">
      <c r="B357" s="13" t="s">
        <v>1174</v>
      </c>
      <c r="C357" s="13"/>
      <c r="D357" s="13"/>
      <c r="E357" s="13"/>
      <c r="F357" s="13"/>
      <c r="G357" s="13"/>
      <c r="H357" s="13"/>
      <c r="I357" s="13"/>
      <c r="J357" s="13"/>
      <c r="K357" s="13"/>
      <c r="L357" s="13"/>
      <c r="M357" s="13"/>
      <c r="N357" s="14" t="s">
        <v>1325</v>
      </c>
      <c r="O357" s="14"/>
      <c r="P357" s="14"/>
      <c r="Q357" s="14"/>
      <c r="R357" s="14"/>
      <c r="S357" s="14"/>
      <c r="T357" s="28">
        <v>10.65</v>
      </c>
      <c r="U357" s="28"/>
      <c r="V357" s="28"/>
      <c r="W357" s="28"/>
      <c r="X357" s="28"/>
      <c r="Y357" s="28"/>
      <c r="Z357" s="29">
        <v>-0.082</v>
      </c>
      <c r="AA357" s="29"/>
      <c r="AB357" s="29"/>
      <c r="AC357" s="29"/>
      <c r="AD357" s="29"/>
      <c r="AE357" s="29"/>
      <c r="AF357" s="29">
        <v>-0.0424</v>
      </c>
      <c r="AG357" s="29"/>
      <c r="AH357" s="29"/>
      <c r="AI357" s="29"/>
      <c r="AJ357" s="29"/>
      <c r="AK357" s="29"/>
      <c r="AL357" s="29">
        <v>-0.1245</v>
      </c>
      <c r="AM357" s="29"/>
      <c r="AN357" s="29"/>
      <c r="AO357" s="29"/>
      <c r="AP357" s="29"/>
      <c r="AQ357" s="29"/>
      <c r="AR357" s="30">
        <v>-1.45</v>
      </c>
      <c r="AS357" s="30"/>
      <c r="AT357" s="30"/>
      <c r="AU357" s="30"/>
      <c r="AV357" s="30"/>
      <c r="AW357" s="30"/>
      <c r="AX357" s="29">
        <v>-0.056</v>
      </c>
      <c r="AY357" s="29"/>
      <c r="AZ357" s="29"/>
      <c r="BA357" s="29"/>
      <c r="BB357" s="29"/>
      <c r="BC357" s="29"/>
      <c r="BD357" s="29">
        <v>0.0145</v>
      </c>
      <c r="BE357" s="29"/>
      <c r="BF357" s="29"/>
      <c r="BG357" s="29"/>
      <c r="BH357" s="29"/>
      <c r="BI357" s="29"/>
      <c r="BJ357" s="31">
        <v>2207</v>
      </c>
      <c r="BK357" s="31"/>
      <c r="BL357" s="31"/>
      <c r="BM357" s="31"/>
      <c r="BN357" s="31"/>
      <c r="BO357" s="31"/>
    </row>
    <row r="358" spans="2:67">
      <c r="B358" s="13" t="s">
        <v>1176</v>
      </c>
      <c r="C358" s="13"/>
      <c r="D358" s="13"/>
      <c r="E358" s="13"/>
      <c r="F358" s="13"/>
      <c r="G358" s="13"/>
      <c r="H358" s="13"/>
      <c r="I358" s="13"/>
      <c r="J358" s="13"/>
      <c r="K358" s="13"/>
      <c r="L358" s="13"/>
      <c r="M358" s="13"/>
      <c r="N358" s="14" t="s">
        <v>1326</v>
      </c>
      <c r="O358" s="14"/>
      <c r="P358" s="14"/>
      <c r="Q358" s="14"/>
      <c r="R358" s="14"/>
      <c r="S358" s="14"/>
      <c r="T358" s="28">
        <v>11.36</v>
      </c>
      <c r="U358" s="28"/>
      <c r="V358" s="28"/>
      <c r="W358" s="28"/>
      <c r="X358" s="28"/>
      <c r="Y358" s="28"/>
      <c r="Z358" s="29">
        <v>-0.0338</v>
      </c>
      <c r="AA358" s="29"/>
      <c r="AB358" s="29"/>
      <c r="AC358" s="29"/>
      <c r="AD358" s="29"/>
      <c r="AE358" s="29"/>
      <c r="AF358" s="29">
        <v>-0.0386</v>
      </c>
      <c r="AG358" s="29"/>
      <c r="AH358" s="29"/>
      <c r="AI358" s="29"/>
      <c r="AJ358" s="29"/>
      <c r="AK358" s="29"/>
      <c r="AL358" s="29">
        <v>-0.0339</v>
      </c>
      <c r="AM358" s="29"/>
      <c r="AN358" s="29"/>
      <c r="AO358" s="29"/>
      <c r="AP358" s="29"/>
      <c r="AQ358" s="29"/>
      <c r="AR358" s="30">
        <v>-1.46</v>
      </c>
      <c r="AS358" s="30"/>
      <c r="AT358" s="30"/>
      <c r="AU358" s="30"/>
      <c r="AV358" s="30"/>
      <c r="AW358" s="30"/>
      <c r="AX358" s="29">
        <v>0.0057</v>
      </c>
      <c r="AY358" s="29"/>
      <c r="AZ358" s="29"/>
      <c r="BA358" s="29"/>
      <c r="BB358" s="29"/>
      <c r="BC358" s="29"/>
      <c r="BD358" s="29">
        <v>-0.0109</v>
      </c>
      <c r="BE358" s="29"/>
      <c r="BF358" s="29"/>
      <c r="BG358" s="29"/>
      <c r="BH358" s="29"/>
      <c r="BI358" s="29"/>
      <c r="BJ358" s="31">
        <v>2584</v>
      </c>
      <c r="BK358" s="31"/>
      <c r="BL358" s="31"/>
      <c r="BM358" s="31"/>
      <c r="BN358" s="31"/>
      <c r="BO358" s="31"/>
    </row>
    <row r="359" spans="2:67">
      <c r="B359" s="13" t="s">
        <v>1177</v>
      </c>
      <c r="C359" s="13"/>
      <c r="D359" s="13"/>
      <c r="E359" s="13"/>
      <c r="F359" s="13"/>
      <c r="G359" s="13"/>
      <c r="H359" s="13"/>
      <c r="I359" s="13"/>
      <c r="J359" s="13"/>
      <c r="K359" s="13"/>
      <c r="L359" s="13"/>
      <c r="M359" s="13"/>
      <c r="N359" s="14" t="s">
        <v>1327</v>
      </c>
      <c r="O359" s="14"/>
      <c r="P359" s="14"/>
      <c r="Q359" s="14"/>
      <c r="R359" s="14"/>
      <c r="S359" s="14"/>
      <c r="T359" s="28">
        <v>14.51</v>
      </c>
      <c r="U359" s="28"/>
      <c r="V359" s="28"/>
      <c r="W359" s="28"/>
      <c r="X359" s="28"/>
      <c r="Y359" s="28"/>
      <c r="Z359" s="29">
        <v>0.0083</v>
      </c>
      <c r="AA359" s="29"/>
      <c r="AB359" s="29"/>
      <c r="AC359" s="29"/>
      <c r="AD359" s="29"/>
      <c r="AE359" s="29"/>
      <c r="AF359" s="29">
        <v>-0.0094</v>
      </c>
      <c r="AG359" s="29"/>
      <c r="AH359" s="29"/>
      <c r="AI359" s="29"/>
      <c r="AJ359" s="29"/>
      <c r="AK359" s="29"/>
      <c r="AL359" s="29">
        <v>0.026</v>
      </c>
      <c r="AM359" s="29"/>
      <c r="AN359" s="29"/>
      <c r="AO359" s="29"/>
      <c r="AP359" s="29"/>
      <c r="AQ359" s="29"/>
      <c r="AR359" s="30">
        <v>-0.42</v>
      </c>
      <c r="AS359" s="30"/>
      <c r="AT359" s="30"/>
      <c r="AU359" s="30"/>
      <c r="AV359" s="30"/>
      <c r="AW359" s="30"/>
      <c r="AX359" s="29">
        <v>0.0239</v>
      </c>
      <c r="AY359" s="29"/>
      <c r="AZ359" s="29"/>
      <c r="BA359" s="29"/>
      <c r="BB359" s="29"/>
      <c r="BC359" s="29"/>
      <c r="BD359" s="29">
        <v>0.0047</v>
      </c>
      <c r="BE359" s="29"/>
      <c r="BF359" s="29"/>
      <c r="BG359" s="29"/>
      <c r="BH359" s="29"/>
      <c r="BI359" s="29"/>
      <c r="BJ359" s="31">
        <v>1915</v>
      </c>
      <c r="BK359" s="31"/>
      <c r="BL359" s="31"/>
      <c r="BM359" s="31"/>
      <c r="BN359" s="31"/>
      <c r="BO359" s="31"/>
    </row>
    <row r="360" spans="2:67">
      <c r="B360" s="13" t="s">
        <v>1175</v>
      </c>
      <c r="C360" s="13"/>
      <c r="D360" s="13"/>
      <c r="E360" s="13"/>
      <c r="F360" s="13"/>
      <c r="G360" s="13"/>
      <c r="H360" s="13"/>
      <c r="I360" s="13"/>
      <c r="J360" s="13"/>
      <c r="K360" s="13"/>
      <c r="L360" s="13"/>
      <c r="M360" s="13"/>
      <c r="N360" s="14" t="s">
        <v>1328</v>
      </c>
      <c r="O360" s="14"/>
      <c r="P360" s="14"/>
      <c r="Q360" s="14"/>
      <c r="R360" s="14"/>
      <c r="S360" s="14"/>
      <c r="T360" s="28">
        <v>9.960000000000001</v>
      </c>
      <c r="U360" s="28"/>
      <c r="V360" s="28"/>
      <c r="W360" s="28"/>
      <c r="X360" s="28"/>
      <c r="Y360" s="28"/>
      <c r="Z360" s="29">
        <v>-0.007</v>
      </c>
      <c r="AA360" s="29"/>
      <c r="AB360" s="29"/>
      <c r="AC360" s="29"/>
      <c r="AD360" s="29"/>
      <c r="AE360" s="29"/>
      <c r="AF360" s="29">
        <v>-0.0235</v>
      </c>
      <c r="AG360" s="29"/>
      <c r="AH360" s="29"/>
      <c r="AI360" s="29"/>
      <c r="AJ360" s="29"/>
      <c r="AK360" s="29"/>
      <c r="AL360" s="29">
        <v>0.0095</v>
      </c>
      <c r="AM360" s="29"/>
      <c r="AN360" s="29"/>
      <c r="AO360" s="29"/>
      <c r="AP360" s="29"/>
      <c r="AQ360" s="29"/>
      <c r="AR360" s="30">
        <v>-1.13</v>
      </c>
      <c r="AS360" s="30"/>
      <c r="AT360" s="30"/>
      <c r="AU360" s="30"/>
      <c r="AV360" s="30"/>
      <c r="AW360" s="30"/>
      <c r="AX360" s="29">
        <v>0.0245</v>
      </c>
      <c r="AY360" s="29"/>
      <c r="AZ360" s="29"/>
      <c r="BA360" s="29"/>
      <c r="BB360" s="29"/>
      <c r="BC360" s="29"/>
      <c r="BD360" s="29">
        <v>0.0059</v>
      </c>
      <c r="BE360" s="29"/>
      <c r="BF360" s="29"/>
      <c r="BG360" s="29"/>
      <c r="BH360" s="29"/>
      <c r="BI360" s="29"/>
      <c r="BJ360" s="31">
        <v>2466</v>
      </c>
      <c r="BK360" s="31"/>
      <c r="BL360" s="31"/>
      <c r="BM360" s="31"/>
      <c r="BN360" s="31"/>
      <c r="BO360" s="31"/>
    </row>
    <row r="361" spans="2:67">
      <c r="B361" s="13" t="s">
        <v>1173</v>
      </c>
      <c r="C361" s="13"/>
      <c r="D361" s="13"/>
      <c r="E361" s="13"/>
      <c r="F361" s="13"/>
      <c r="G361" s="13"/>
      <c r="H361" s="13"/>
      <c r="I361" s="13"/>
      <c r="J361" s="13"/>
      <c r="K361" s="13"/>
      <c r="L361" s="13"/>
      <c r="M361" s="13"/>
      <c r="N361" s="14" t="s">
        <v>1329</v>
      </c>
      <c r="O361" s="14"/>
      <c r="P361" s="14"/>
      <c r="Q361" s="14"/>
      <c r="R361" s="14"/>
      <c r="S361" s="14"/>
      <c r="T361" s="28">
        <v>18.32</v>
      </c>
      <c r="U361" s="28"/>
      <c r="V361" s="28"/>
      <c r="W361" s="28"/>
      <c r="X361" s="28"/>
      <c r="Y361" s="28"/>
      <c r="Z361" s="29">
        <v>-0.0189</v>
      </c>
      <c r="AA361" s="29"/>
      <c r="AB361" s="29"/>
      <c r="AC361" s="29"/>
      <c r="AD361" s="29"/>
      <c r="AE361" s="29"/>
      <c r="AF361" s="29">
        <v>0.0151</v>
      </c>
      <c r="AG361" s="29"/>
      <c r="AH361" s="29"/>
      <c r="AI361" s="29"/>
      <c r="AJ361" s="29"/>
      <c r="AK361" s="29"/>
      <c r="AL361" s="29">
        <v>-0.0759</v>
      </c>
      <c r="AM361" s="29"/>
      <c r="AN361" s="29"/>
      <c r="AO361" s="29"/>
      <c r="AP361" s="29"/>
      <c r="AQ361" s="29"/>
      <c r="AR361" s="30">
        <v>0.49</v>
      </c>
      <c r="AS361" s="30"/>
      <c r="AT361" s="30"/>
      <c r="AU361" s="30"/>
      <c r="AV361" s="30"/>
      <c r="AW361" s="30"/>
      <c r="AX361" s="29">
        <v>-0.0313</v>
      </c>
      <c r="AY361" s="29"/>
      <c r="AZ361" s="29"/>
      <c r="BA361" s="29"/>
      <c r="BB361" s="29"/>
      <c r="BC361" s="29"/>
      <c r="BD361" s="29">
        <v>0</v>
      </c>
      <c r="BE361" s="29"/>
      <c r="BF361" s="29"/>
      <c r="BG361" s="29"/>
      <c r="BH361" s="29"/>
      <c r="BI361" s="29"/>
      <c r="BJ361" s="31">
        <v>1643</v>
      </c>
      <c r="BK361" s="31"/>
      <c r="BL361" s="31"/>
      <c r="BM361" s="31"/>
      <c r="BN361" s="31"/>
      <c r="BO361" s="31"/>
    </row>
    <row r="362" spans="2:67">
      <c r="B362" s="13" t="s">
        <v>1171</v>
      </c>
      <c r="C362" s="13"/>
      <c r="D362" s="13"/>
      <c r="E362" s="13"/>
      <c r="F362" s="13"/>
      <c r="G362" s="13"/>
      <c r="H362" s="13"/>
      <c r="I362" s="13"/>
      <c r="J362" s="13"/>
      <c r="K362" s="13"/>
      <c r="L362" s="13"/>
      <c r="M362" s="13"/>
      <c r="N362" s="14" t="s">
        <v>1330</v>
      </c>
      <c r="O362" s="14"/>
      <c r="P362" s="14"/>
      <c r="Q362" s="14"/>
      <c r="R362" s="14"/>
      <c r="S362" s="14"/>
      <c r="T362" s="28">
        <v>22.78</v>
      </c>
      <c r="U362" s="28"/>
      <c r="V362" s="28"/>
      <c r="W362" s="28"/>
      <c r="X362" s="28"/>
      <c r="Y362" s="28"/>
      <c r="Z362" s="29">
        <v>-0.0679</v>
      </c>
      <c r="AA362" s="29"/>
      <c r="AB362" s="29"/>
      <c r="AC362" s="29"/>
      <c r="AD362" s="29"/>
      <c r="AE362" s="29"/>
      <c r="AF362" s="29">
        <v>-0.0475</v>
      </c>
      <c r="AG362" s="29"/>
      <c r="AH362" s="29"/>
      <c r="AI362" s="29"/>
      <c r="AJ362" s="29"/>
      <c r="AK362" s="29"/>
      <c r="AL362" s="29">
        <v>-0.0566</v>
      </c>
      <c r="AM362" s="29"/>
      <c r="AN362" s="29"/>
      <c r="AO362" s="29"/>
      <c r="AP362" s="29"/>
      <c r="AQ362" s="29"/>
      <c r="AR362" s="30">
        <v>-1.57</v>
      </c>
      <c r="AS362" s="30"/>
      <c r="AT362" s="30"/>
      <c r="AU362" s="30"/>
      <c r="AV362" s="30"/>
      <c r="AW362" s="30"/>
      <c r="AX362" s="29">
        <v>-0.0194</v>
      </c>
      <c r="AY362" s="29"/>
      <c r="AZ362" s="29"/>
      <c r="BA362" s="29"/>
      <c r="BB362" s="29"/>
      <c r="BC362" s="29"/>
      <c r="BD362" s="29">
        <v>-0.0131</v>
      </c>
      <c r="BE362" s="29"/>
      <c r="BF362" s="29"/>
      <c r="BG362" s="29"/>
      <c r="BH362" s="29"/>
      <c r="BI362" s="29"/>
      <c r="BJ362" s="31">
        <v>1272</v>
      </c>
      <c r="BK362" s="31"/>
      <c r="BL362" s="31"/>
      <c r="BM362" s="31"/>
      <c r="BN362" s="31"/>
      <c r="BO362" s="31"/>
    </row>
    <row r="363" spans="2:67">
      <c r="B363" s="13" t="s">
        <v>1169</v>
      </c>
      <c r="C363" s="13"/>
      <c r="D363" s="13"/>
      <c r="E363" s="13"/>
      <c r="F363" s="13"/>
      <c r="G363" s="13"/>
      <c r="H363" s="13"/>
      <c r="I363" s="13"/>
      <c r="J363" s="13"/>
      <c r="K363" s="13"/>
      <c r="L363" s="13"/>
      <c r="M363" s="13"/>
      <c r="N363" s="14" t="s">
        <v>1331</v>
      </c>
      <c r="O363" s="14"/>
      <c r="P363" s="14"/>
      <c r="Q363" s="14"/>
      <c r="R363" s="14"/>
      <c r="S363" s="14"/>
      <c r="T363" s="28">
        <v>20.58</v>
      </c>
      <c r="U363" s="28"/>
      <c r="V363" s="28"/>
      <c r="W363" s="28"/>
      <c r="X363" s="28"/>
      <c r="Y363" s="28"/>
      <c r="Z363" s="29">
        <v>0.0396</v>
      </c>
      <c r="AA363" s="29"/>
      <c r="AB363" s="29"/>
      <c r="AC363" s="29"/>
      <c r="AD363" s="29"/>
      <c r="AE363" s="29"/>
      <c r="AF363" s="29">
        <v>0.0174</v>
      </c>
      <c r="AG363" s="29"/>
      <c r="AH363" s="29"/>
      <c r="AI363" s="29"/>
      <c r="AJ363" s="29"/>
      <c r="AK363" s="29"/>
      <c r="AL363" s="29">
        <v>0.0139</v>
      </c>
      <c r="AM363" s="29"/>
      <c r="AN363" s="29"/>
      <c r="AO363" s="29"/>
      <c r="AP363" s="29"/>
      <c r="AQ363" s="29"/>
      <c r="AR363" s="30">
        <v>0.77</v>
      </c>
      <c r="AS363" s="30"/>
      <c r="AT363" s="30"/>
      <c r="AU363" s="30"/>
      <c r="AV363" s="30"/>
      <c r="AW363" s="30"/>
      <c r="AX363" s="29">
        <v>0.0292</v>
      </c>
      <c r="AY363" s="29"/>
      <c r="AZ363" s="29"/>
      <c r="BA363" s="29"/>
      <c r="BB363" s="29"/>
      <c r="BC363" s="29"/>
      <c r="BD363" s="29">
        <v>0.0063</v>
      </c>
      <c r="BE363" s="29"/>
      <c r="BF363" s="29"/>
      <c r="BG363" s="29"/>
      <c r="BH363" s="29"/>
      <c r="BI363" s="29"/>
      <c r="BJ363" s="31">
        <v>1558</v>
      </c>
      <c r="BK363" s="31"/>
      <c r="BL363" s="31"/>
      <c r="BM363" s="31"/>
      <c r="BN363" s="31"/>
      <c r="BO363" s="31"/>
    </row>
    <row r="364" spans="2:67">
      <c r="B364" s="13" t="s">
        <v>1165</v>
      </c>
      <c r="C364" s="13"/>
      <c r="D364" s="13"/>
      <c r="E364" s="13"/>
      <c r="F364" s="13"/>
      <c r="G364" s="13"/>
      <c r="H364" s="13"/>
      <c r="I364" s="13"/>
      <c r="J364" s="13"/>
      <c r="K364" s="13"/>
      <c r="L364" s="13"/>
      <c r="M364" s="13"/>
      <c r="N364" s="14" t="s">
        <v>1332</v>
      </c>
      <c r="O364" s="14"/>
      <c r="P364" s="14"/>
      <c r="Q364" s="14"/>
      <c r="R364" s="14"/>
      <c r="S364" s="14"/>
      <c r="T364" s="28">
        <v>33.39</v>
      </c>
      <c r="U364" s="28"/>
      <c r="V364" s="28"/>
      <c r="W364" s="28"/>
      <c r="X364" s="28"/>
      <c r="Y364" s="28"/>
      <c r="Z364" s="29">
        <v>-0.0005999999999999999</v>
      </c>
      <c r="AA364" s="29"/>
      <c r="AB364" s="29"/>
      <c r="AC364" s="29"/>
      <c r="AD364" s="29"/>
      <c r="AE364" s="29"/>
      <c r="AF364" s="29">
        <v>-0.0103</v>
      </c>
      <c r="AG364" s="29"/>
      <c r="AH364" s="29"/>
      <c r="AI364" s="29"/>
      <c r="AJ364" s="29"/>
      <c r="AK364" s="29"/>
      <c r="AL364" s="29">
        <v>-0.0281</v>
      </c>
      <c r="AM364" s="29"/>
      <c r="AN364" s="29"/>
      <c r="AO364" s="29"/>
      <c r="AP364" s="29"/>
      <c r="AQ364" s="29"/>
      <c r="AR364" s="30">
        <v>-0.52</v>
      </c>
      <c r="AS364" s="30"/>
      <c r="AT364" s="30"/>
      <c r="AU364" s="30"/>
      <c r="AV364" s="30"/>
      <c r="AW364" s="30"/>
      <c r="AX364" s="29">
        <v>0.0103</v>
      </c>
      <c r="AY364" s="29"/>
      <c r="AZ364" s="29"/>
      <c r="BA364" s="29"/>
      <c r="BB364" s="29"/>
      <c r="BC364" s="29"/>
      <c r="BD364" s="29">
        <v>0.0129</v>
      </c>
      <c r="BE364" s="29"/>
      <c r="BF364" s="29"/>
      <c r="BG364" s="29"/>
      <c r="BH364" s="29"/>
      <c r="BI364" s="29"/>
      <c r="BJ364" s="31">
        <v>692</v>
      </c>
      <c r="BK364" s="31"/>
      <c r="BL364" s="31"/>
      <c r="BM364" s="31"/>
      <c r="BN364" s="31"/>
      <c r="BO364" s="31"/>
    </row>
    <row r="365" spans="2:67">
      <c r="B365" s="13" t="s">
        <v>1163</v>
      </c>
      <c r="C365" s="13"/>
      <c r="D365" s="13"/>
      <c r="E365" s="13"/>
      <c r="F365" s="13"/>
      <c r="G365" s="13"/>
      <c r="H365" s="13"/>
      <c r="I365" s="13"/>
      <c r="J365" s="13"/>
      <c r="K365" s="13"/>
      <c r="L365" s="13"/>
      <c r="M365" s="13"/>
      <c r="N365" s="14" t="s">
        <v>1333</v>
      </c>
      <c r="O365" s="14"/>
      <c r="P365" s="14"/>
      <c r="Q365" s="14"/>
      <c r="R365" s="14"/>
      <c r="S365" s="14"/>
      <c r="T365" s="28">
        <v>30.84</v>
      </c>
      <c r="U365" s="28"/>
      <c r="V365" s="28"/>
      <c r="W365" s="28"/>
      <c r="X365" s="28"/>
      <c r="Y365" s="28"/>
      <c r="Z365" s="29">
        <v>0.0187</v>
      </c>
      <c r="AA365" s="29"/>
      <c r="AB365" s="29"/>
      <c r="AC365" s="29"/>
      <c r="AD365" s="29"/>
      <c r="AE365" s="29"/>
      <c r="AF365" s="29">
        <v>-0.0131</v>
      </c>
      <c r="AG365" s="29"/>
      <c r="AH365" s="29"/>
      <c r="AI365" s="29"/>
      <c r="AJ365" s="29"/>
      <c r="AK365" s="29"/>
      <c r="AL365" s="29">
        <v>0.0538</v>
      </c>
      <c r="AM365" s="29"/>
      <c r="AN365" s="29"/>
      <c r="AO365" s="29"/>
      <c r="AP365" s="29"/>
      <c r="AQ365" s="29"/>
      <c r="AR365" s="30">
        <v>-0.66</v>
      </c>
      <c r="AS365" s="30"/>
      <c r="AT365" s="30"/>
      <c r="AU365" s="30"/>
      <c r="AV365" s="30"/>
      <c r="AW365" s="30"/>
      <c r="AX365" s="29">
        <v>0.0352</v>
      </c>
      <c r="AY365" s="29"/>
      <c r="AZ365" s="29"/>
      <c r="BA365" s="29"/>
      <c r="BB365" s="29"/>
      <c r="BC365" s="29"/>
      <c r="BD365" s="29">
        <v>0.0278</v>
      </c>
      <c r="BE365" s="29"/>
      <c r="BF365" s="29"/>
      <c r="BG365" s="29"/>
      <c r="BH365" s="29"/>
      <c r="BI365" s="29"/>
      <c r="BJ365" s="31">
        <v>678</v>
      </c>
      <c r="BK365" s="31"/>
      <c r="BL365" s="31"/>
      <c r="BM365" s="31"/>
      <c r="BN365" s="31"/>
      <c r="BO365" s="31"/>
    </row>
    <row r="366" spans="2:67">
      <c r="B366" s="13" t="s">
        <v>1161</v>
      </c>
      <c r="C366" s="13"/>
      <c r="D366" s="13"/>
      <c r="E366" s="13"/>
      <c r="F366" s="13"/>
      <c r="G366" s="13"/>
      <c r="H366" s="13"/>
      <c r="I366" s="13"/>
      <c r="J366" s="13"/>
      <c r="K366" s="13"/>
      <c r="L366" s="13"/>
      <c r="M366" s="13"/>
      <c r="N366" s="14" t="s">
        <v>1334</v>
      </c>
      <c r="O366" s="14"/>
      <c r="P366" s="14"/>
      <c r="Q366" s="14"/>
      <c r="R366" s="14"/>
      <c r="S366" s="14"/>
      <c r="T366" s="28">
        <v>34.29</v>
      </c>
      <c r="U366" s="28"/>
      <c r="V366" s="28"/>
      <c r="W366" s="28"/>
      <c r="X366" s="28"/>
      <c r="Y366" s="28"/>
      <c r="Z366" s="29">
        <v>-0.0423</v>
      </c>
      <c r="AA366" s="29"/>
      <c r="AB366" s="29"/>
      <c r="AC366" s="29"/>
      <c r="AD366" s="29"/>
      <c r="AE366" s="29"/>
      <c r="AF366" s="29">
        <v>-0.0024</v>
      </c>
      <c r="AG366" s="29"/>
      <c r="AH366" s="29"/>
      <c r="AI366" s="29"/>
      <c r="AJ366" s="29"/>
      <c r="AK366" s="29"/>
      <c r="AL366" s="29">
        <v>-0.031</v>
      </c>
      <c r="AM366" s="29"/>
      <c r="AN366" s="29"/>
      <c r="AO366" s="29"/>
      <c r="AP366" s="29"/>
      <c r="AQ366" s="29"/>
      <c r="AR366" s="30">
        <v>-0.13</v>
      </c>
      <c r="AS366" s="30"/>
      <c r="AT366" s="30"/>
      <c r="AU366" s="30"/>
      <c r="AV366" s="30"/>
      <c r="AW366" s="30"/>
      <c r="AX366" s="29">
        <v>-0.0492</v>
      </c>
      <c r="AY366" s="29"/>
      <c r="AZ366" s="29"/>
      <c r="BA366" s="29"/>
      <c r="BB366" s="29"/>
      <c r="BC366" s="29"/>
      <c r="BD366" s="29">
        <v>0.0024</v>
      </c>
      <c r="BE366" s="29"/>
      <c r="BF366" s="29"/>
      <c r="BG366" s="29"/>
      <c r="BH366" s="29"/>
      <c r="BI366" s="29"/>
      <c r="BJ366" s="31">
        <v>733</v>
      </c>
      <c r="BK366" s="31"/>
      <c r="BL366" s="31"/>
      <c r="BM366" s="31"/>
      <c r="BN366" s="31"/>
      <c r="BO366" s="31"/>
    </row>
    <row r="367" spans="2:67">
      <c r="B367" s="13" t="s">
        <v>1159</v>
      </c>
      <c r="C367" s="13"/>
      <c r="D367" s="13"/>
      <c r="E367" s="13"/>
      <c r="F367" s="13"/>
      <c r="G367" s="13"/>
      <c r="H367" s="13"/>
      <c r="I367" s="13"/>
      <c r="J367" s="13"/>
      <c r="K367" s="13"/>
      <c r="L367" s="13"/>
      <c r="M367" s="13"/>
      <c r="N367" s="14" t="s">
        <v>1335</v>
      </c>
      <c r="O367" s="14"/>
      <c r="P367" s="14"/>
      <c r="Q367" s="14"/>
      <c r="R367" s="14"/>
      <c r="S367" s="14"/>
      <c r="T367" s="28">
        <v>37.21</v>
      </c>
      <c r="U367" s="28"/>
      <c r="V367" s="28"/>
      <c r="W367" s="28"/>
      <c r="X367" s="28"/>
      <c r="Y367" s="28"/>
      <c r="Z367" s="29">
        <v>0.0259</v>
      </c>
      <c r="AA367" s="29"/>
      <c r="AB367" s="29"/>
      <c r="AC367" s="29"/>
      <c r="AD367" s="29"/>
      <c r="AE367" s="29"/>
      <c r="AF367" s="29">
        <v>0.0038</v>
      </c>
      <c r="AG367" s="29"/>
      <c r="AH367" s="29"/>
      <c r="AI367" s="29"/>
      <c r="AJ367" s="29"/>
      <c r="AK367" s="29"/>
      <c r="AL367" s="29">
        <v>0.036</v>
      </c>
      <c r="AM367" s="29"/>
      <c r="AN367" s="29"/>
      <c r="AO367" s="29"/>
      <c r="AP367" s="29"/>
      <c r="AQ367" s="29"/>
      <c r="AR367" s="30">
        <v>0.21</v>
      </c>
      <c r="AS367" s="30"/>
      <c r="AT367" s="30"/>
      <c r="AU367" s="30"/>
      <c r="AV367" s="30"/>
      <c r="AW367" s="30"/>
      <c r="AX367" s="29">
        <v>0.0206</v>
      </c>
      <c r="AY367" s="29"/>
      <c r="AZ367" s="29"/>
      <c r="BA367" s="29"/>
      <c r="BB367" s="29"/>
      <c r="BC367" s="29"/>
      <c r="BD367" s="29">
        <v>0.0067</v>
      </c>
      <c r="BE367" s="29"/>
      <c r="BF367" s="29"/>
      <c r="BG367" s="29"/>
      <c r="BH367" s="29"/>
      <c r="BI367" s="29"/>
      <c r="BJ367" s="31">
        <v>599</v>
      </c>
      <c r="BK367" s="31"/>
      <c r="BL367" s="31"/>
      <c r="BM367" s="31"/>
      <c r="BN367" s="31"/>
      <c r="BO367" s="31"/>
    </row>
    <row r="368" spans="2:67">
      <c r="B368" s="13" t="s">
        <v>1157</v>
      </c>
      <c r="C368" s="13"/>
      <c r="D368" s="13"/>
      <c r="E368" s="13"/>
      <c r="F368" s="13"/>
      <c r="G368" s="13"/>
      <c r="H368" s="13"/>
      <c r="I368" s="13"/>
      <c r="J368" s="13"/>
      <c r="K368" s="13"/>
      <c r="L368" s="13"/>
      <c r="M368" s="13"/>
      <c r="N368" s="14" t="s">
        <v>1336</v>
      </c>
      <c r="O368" s="14"/>
      <c r="P368" s="14"/>
      <c r="Q368" s="14"/>
      <c r="R368" s="14"/>
      <c r="S368" s="14"/>
      <c r="T368" s="28">
        <v>35.39</v>
      </c>
      <c r="U368" s="28"/>
      <c r="V368" s="28"/>
      <c r="W368" s="28"/>
      <c r="X368" s="28"/>
      <c r="Y368" s="28"/>
      <c r="Z368" s="29">
        <v>-0.0248</v>
      </c>
      <c r="AA368" s="29"/>
      <c r="AB368" s="29"/>
      <c r="AC368" s="29"/>
      <c r="AD368" s="29"/>
      <c r="AE368" s="29"/>
      <c r="AF368" s="29">
        <v>-0.0472</v>
      </c>
      <c r="AG368" s="29"/>
      <c r="AH368" s="29"/>
      <c r="AI368" s="29"/>
      <c r="AJ368" s="29"/>
      <c r="AK368" s="29"/>
      <c r="AL368" s="29">
        <v>-0.07489999999999999</v>
      </c>
      <c r="AM368" s="29"/>
      <c r="AN368" s="29"/>
      <c r="AO368" s="29"/>
      <c r="AP368" s="29"/>
      <c r="AQ368" s="29"/>
      <c r="AR368" s="30">
        <v>-2.43</v>
      </c>
      <c r="AS368" s="30"/>
      <c r="AT368" s="30"/>
      <c r="AU368" s="30"/>
      <c r="AV368" s="30"/>
      <c r="AW368" s="30"/>
      <c r="AX368" s="29">
        <v>0.0247</v>
      </c>
      <c r="AY368" s="29"/>
      <c r="AZ368" s="29"/>
      <c r="BA368" s="29"/>
      <c r="BB368" s="29"/>
      <c r="BC368" s="29"/>
      <c r="BD368" s="29">
        <v>0.0242</v>
      </c>
      <c r="BE368" s="29"/>
      <c r="BF368" s="29"/>
      <c r="BG368" s="29"/>
      <c r="BH368" s="29"/>
      <c r="BI368" s="29"/>
      <c r="BJ368" s="31">
        <v>572</v>
      </c>
      <c r="BK368" s="31"/>
      <c r="BL368" s="31"/>
      <c r="BM368" s="31"/>
      <c r="BN368" s="31"/>
      <c r="BO368" s="31"/>
    </row>
    <row r="369" spans="2:67">
      <c r="B369" s="13" t="s">
        <v>1153</v>
      </c>
      <c r="C369" s="13"/>
      <c r="D369" s="13"/>
      <c r="E369" s="13"/>
      <c r="F369" s="13"/>
      <c r="G369" s="13"/>
      <c r="H369" s="13"/>
      <c r="I369" s="13"/>
      <c r="J369" s="13"/>
      <c r="K369" s="13"/>
      <c r="L369" s="13"/>
      <c r="M369" s="13"/>
      <c r="N369" s="14" t="s">
        <v>1337</v>
      </c>
      <c r="O369" s="14"/>
      <c r="P369" s="14"/>
      <c r="Q369" s="14"/>
      <c r="R369" s="14"/>
      <c r="S369" s="14"/>
      <c r="T369" s="28">
        <v>42.37</v>
      </c>
      <c r="U369" s="28"/>
      <c r="V369" s="28"/>
      <c r="W369" s="28"/>
      <c r="X369" s="28"/>
      <c r="Y369" s="28"/>
      <c r="Z369" s="29">
        <v>-0.0101</v>
      </c>
      <c r="AA369" s="29"/>
      <c r="AB369" s="29"/>
      <c r="AC369" s="29"/>
      <c r="AD369" s="29"/>
      <c r="AE369" s="29"/>
      <c r="AF369" s="29">
        <v>-0.0061</v>
      </c>
      <c r="AG369" s="29"/>
      <c r="AH369" s="29"/>
      <c r="AI369" s="29"/>
      <c r="AJ369" s="29"/>
      <c r="AK369" s="29"/>
      <c r="AL369" s="29">
        <v>-0.005</v>
      </c>
      <c r="AM369" s="29"/>
      <c r="AN369" s="29"/>
      <c r="AO369" s="29"/>
      <c r="AP369" s="29"/>
      <c r="AQ369" s="29"/>
      <c r="AR369" s="30">
        <v>-0.35</v>
      </c>
      <c r="AS369" s="30"/>
      <c r="AT369" s="30"/>
      <c r="AU369" s="30"/>
      <c r="AV369" s="30"/>
      <c r="AW369" s="30"/>
      <c r="AX369" s="29">
        <v>-0.008999999999999999</v>
      </c>
      <c r="AY369" s="29"/>
      <c r="AZ369" s="29"/>
      <c r="BA369" s="29"/>
      <c r="BB369" s="29"/>
      <c r="BC369" s="29"/>
      <c r="BD369" s="29">
        <v>0.0122</v>
      </c>
      <c r="BE369" s="29"/>
      <c r="BF369" s="29"/>
      <c r="BG369" s="29"/>
      <c r="BH369" s="29"/>
      <c r="BI369" s="29"/>
      <c r="BJ369" s="31">
        <v>510</v>
      </c>
      <c r="BK369" s="31"/>
      <c r="BL369" s="31"/>
      <c r="BM369" s="31"/>
      <c r="BN369" s="31"/>
      <c r="BO369" s="31"/>
    </row>
    <row r="370" spans="2:67">
      <c r="B370" s="13" t="s">
        <v>1144</v>
      </c>
      <c r="C370" s="13"/>
      <c r="D370" s="13"/>
      <c r="E370" s="13"/>
      <c r="F370" s="13"/>
      <c r="G370" s="13"/>
      <c r="H370" s="13"/>
      <c r="I370" s="13"/>
      <c r="J370" s="13"/>
      <c r="K370" s="13"/>
      <c r="L370" s="13"/>
      <c r="M370" s="13"/>
      <c r="N370" s="14" t="s">
        <v>1338</v>
      </c>
      <c r="O370" s="14"/>
      <c r="P370" s="14"/>
      <c r="Q370" s="14"/>
      <c r="R370" s="14"/>
      <c r="S370" s="14"/>
      <c r="T370" s="28">
        <v>49.15</v>
      </c>
      <c r="U370" s="28"/>
      <c r="V370" s="28"/>
      <c r="W370" s="28"/>
      <c r="X370" s="28"/>
      <c r="Y370" s="28"/>
      <c r="Z370" s="29">
        <v>-0.0358</v>
      </c>
      <c r="AA370" s="29"/>
      <c r="AB370" s="29"/>
      <c r="AC370" s="29"/>
      <c r="AD370" s="29"/>
      <c r="AE370" s="29"/>
      <c r="AF370" s="29">
        <v>-0.0204</v>
      </c>
      <c r="AG370" s="29"/>
      <c r="AH370" s="29"/>
      <c r="AI370" s="29"/>
      <c r="AJ370" s="29"/>
      <c r="AK370" s="29"/>
      <c r="AL370" s="29">
        <v>-0.0245</v>
      </c>
      <c r="AM370" s="29"/>
      <c r="AN370" s="29"/>
      <c r="AO370" s="29"/>
      <c r="AP370" s="29"/>
      <c r="AQ370" s="29"/>
      <c r="AR370" s="30">
        <v>-1.05</v>
      </c>
      <c r="AS370" s="30"/>
      <c r="AT370" s="30"/>
      <c r="AU370" s="30"/>
      <c r="AV370" s="30"/>
      <c r="AW370" s="30"/>
      <c r="AX370" s="29">
        <v>-0.0332</v>
      </c>
      <c r="AY370" s="29"/>
      <c r="AZ370" s="29"/>
      <c r="BA370" s="29"/>
      <c r="BB370" s="29"/>
      <c r="BC370" s="29"/>
      <c r="BD370" s="29">
        <v>0.0135</v>
      </c>
      <c r="BE370" s="29"/>
      <c r="BF370" s="29"/>
      <c r="BG370" s="29"/>
      <c r="BH370" s="29"/>
      <c r="BI370" s="29"/>
      <c r="BJ370" s="31">
        <v>466</v>
      </c>
      <c r="BK370" s="31"/>
      <c r="BL370" s="31"/>
      <c r="BM370" s="31"/>
      <c r="BN370" s="31"/>
      <c r="BO370" s="31"/>
    </row>
    <row r="372" spans="2:67">
      <c r="B372" s="11" t="s">
        <v>1339</v>
      </c>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row>
    <row r="373" spans="2:67">
      <c r="B373" s="12"/>
      <c r="C373" s="12"/>
      <c r="D373" s="12"/>
      <c r="E373" s="12"/>
      <c r="F373" s="12"/>
      <c r="G373" s="12"/>
      <c r="H373" s="12"/>
      <c r="I373" s="12"/>
      <c r="J373" s="12"/>
      <c r="K373" s="12"/>
      <c r="L373" s="12"/>
      <c r="M373" s="12"/>
      <c r="N373" s="12" t="s">
        <v>1309</v>
      </c>
      <c r="O373" s="12"/>
      <c r="P373" s="12"/>
      <c r="Q373" s="12"/>
      <c r="R373" s="12"/>
      <c r="S373" s="12"/>
      <c r="T373" s="12" t="s">
        <v>1310</v>
      </c>
      <c r="U373" s="12"/>
      <c r="V373" s="12"/>
      <c r="W373" s="12"/>
      <c r="X373" s="12"/>
      <c r="Y373" s="12"/>
      <c r="Z373" s="12" t="s">
        <v>1311</v>
      </c>
      <c r="AA373" s="12"/>
      <c r="AB373" s="12"/>
      <c r="AC373" s="12"/>
      <c r="AD373" s="12"/>
      <c r="AE373" s="12"/>
      <c r="AF373" s="12" t="s">
        <v>1312</v>
      </c>
      <c r="AG373" s="12"/>
      <c r="AH373" s="12"/>
      <c r="AI373" s="12"/>
      <c r="AJ373" s="12"/>
      <c r="AK373" s="12"/>
      <c r="AL373" s="12" t="s">
        <v>1313</v>
      </c>
      <c r="AM373" s="12"/>
      <c r="AN373" s="12"/>
      <c r="AO373" s="12"/>
      <c r="AP373" s="12"/>
      <c r="AQ373" s="12"/>
      <c r="AR373" s="12" t="s">
        <v>1314</v>
      </c>
      <c r="AS373" s="12"/>
      <c r="AT373" s="12"/>
      <c r="AU373" s="12"/>
      <c r="AV373" s="12"/>
      <c r="AW373" s="12"/>
      <c r="AX373" s="12" t="s">
        <v>1315</v>
      </c>
      <c r="AY373" s="12"/>
      <c r="AZ373" s="12"/>
      <c r="BA373" s="12"/>
      <c r="BB373" s="12"/>
      <c r="BC373" s="12"/>
      <c r="BD373" s="12" t="s">
        <v>1316</v>
      </c>
      <c r="BE373" s="12"/>
      <c r="BF373" s="12"/>
      <c r="BG373" s="12"/>
      <c r="BH373" s="12"/>
      <c r="BI373" s="12"/>
      <c r="BJ373" s="12" t="s">
        <v>532</v>
      </c>
      <c r="BK373" s="12"/>
      <c r="BL373" s="12"/>
      <c r="BM373" s="12"/>
      <c r="BN373" s="12"/>
      <c r="BO373" s="12"/>
    </row>
    <row r="374" spans="2:67">
      <c r="B374" s="13">
        <f>$AU$4</f>
        <v/>
      </c>
      <c r="C374" s="13"/>
      <c r="D374" s="13"/>
      <c r="E374" s="13"/>
      <c r="F374" s="13"/>
      <c r="G374" s="13"/>
      <c r="H374" s="13"/>
      <c r="I374" s="13"/>
      <c r="J374" s="13"/>
      <c r="K374" s="13"/>
      <c r="L374" s="13"/>
      <c r="M374" s="13"/>
      <c r="N374" s="14">
        <f>IFERROR(INDEX($N$349:$N$370,MATCH($AU$4,$B$349:$B$370,0)),"")</f>
        <v/>
      </c>
      <c r="O374" s="14"/>
      <c r="P374" s="14"/>
      <c r="Q374" s="14"/>
      <c r="R374" s="14"/>
      <c r="S374" s="14"/>
      <c r="T374" s="28">
        <f>IFERROR(INDEX($T$349:$T$370,MATCH($AU$4,$B$349:$B$370,0)),"")</f>
        <v/>
      </c>
      <c r="U374" s="28"/>
      <c r="V374" s="28"/>
      <c r="W374" s="28"/>
      <c r="X374" s="28"/>
      <c r="Y374" s="28"/>
      <c r="Z374" s="29">
        <f>IFERROR(INDEX($Z$349:$Z$370,MATCH($AU$4,$B$349:$B$370,0)),"")</f>
        <v/>
      </c>
      <c r="AA374" s="29"/>
      <c r="AB374" s="29"/>
      <c r="AC374" s="29"/>
      <c r="AD374" s="29"/>
      <c r="AE374" s="29"/>
      <c r="AF374" s="29">
        <f>IFERROR(INDEX($AF$349:$AF$370,MATCH($AU$4,$B$349:$B$370,0)),"")</f>
        <v/>
      </c>
      <c r="AG374" s="29"/>
      <c r="AH374" s="29"/>
      <c r="AI374" s="29"/>
      <c r="AJ374" s="29"/>
      <c r="AK374" s="29"/>
      <c r="AL374" s="29">
        <f>IFERROR(INDEX($AL$349:$AL$370,MATCH($AU$4,$B$349:$B$370,0)),"")</f>
        <v/>
      </c>
      <c r="AM374" s="29"/>
      <c r="AN374" s="29"/>
      <c r="AO374" s="29"/>
      <c r="AP374" s="29"/>
      <c r="AQ374" s="29"/>
      <c r="AR374" s="30">
        <f>IFERROR(INDEX($AR$349:$AR$370,MATCH($AU$4,$B$349:$B$370,0)),"")</f>
        <v/>
      </c>
      <c r="AS374" s="30"/>
      <c r="AT374" s="30"/>
      <c r="AU374" s="30"/>
      <c r="AV374" s="30"/>
      <c r="AW374" s="30"/>
      <c r="AX374" s="29">
        <f>IFERROR(INDEX($AX$349:$AX$370,MATCH($AU$4,$B$349:$B$370,0)),"")</f>
        <v/>
      </c>
      <c r="AY374" s="29"/>
      <c r="AZ374" s="29"/>
      <c r="BA374" s="29"/>
      <c r="BB374" s="29"/>
      <c r="BC374" s="29"/>
      <c r="BD374" s="29">
        <f>IFERROR(INDEX($BD$349:$BD$370,MATCH($AU$4,$B$349:$B$370,0)),"")</f>
        <v/>
      </c>
      <c r="BE374" s="29"/>
      <c r="BF374" s="29"/>
      <c r="BG374" s="29"/>
      <c r="BH374" s="29"/>
      <c r="BI374" s="29"/>
      <c r="BJ374" s="31">
        <f>IFERROR(INDEX($BJ$349:$BJ$370,MATCH($AU$4,$B$349:$B$370,0)),"")</f>
        <v/>
      </c>
      <c r="BK374" s="31"/>
      <c r="BL374" s="31"/>
      <c r="BM374" s="31"/>
      <c r="BN374" s="31"/>
      <c r="BO374" s="31"/>
    </row>
    <row r="375" spans="2:67">
      <c r="B375" s="13" t="s">
        <v>1340</v>
      </c>
      <c r="C375" s="13"/>
      <c r="D375" s="13"/>
      <c r="E375" s="13"/>
      <c r="F375" s="13"/>
      <c r="G375" s="13"/>
      <c r="H375" s="13"/>
      <c r="I375" s="13"/>
      <c r="J375" s="13"/>
      <c r="K375" s="13"/>
      <c r="L375" s="13"/>
      <c r="M375" s="13"/>
      <c r="N375" s="15">
        <f>IF($N$374="","Sin estudio de evento para "&amp;$AU$4,"Balance de "&amp;$AU$4&amp;", presentado el "&amp;$N$374&amp;" · primera rueda después del 6-K")</f>
        <v/>
      </c>
      <c r="O375" s="15"/>
      <c r="P375" s="15"/>
      <c r="Q375" s="15"/>
      <c r="R375" s="15"/>
      <c r="S375" s="15"/>
    </row>
    <row r="376" spans="2:67">
      <c r="B376" s="13" t="s">
        <v>1341</v>
      </c>
      <c r="C376" s="13"/>
      <c r="D376" s="13"/>
      <c r="E376" s="13"/>
      <c r="F376" s="13"/>
      <c r="G376" s="13"/>
      <c r="H376" s="13"/>
      <c r="I376" s="13"/>
      <c r="J376" s="13"/>
      <c r="K376" s="13"/>
      <c r="L376" s="13"/>
      <c r="M376" s="13"/>
      <c r="N376" s="15">
        <f>IF($AR$374="","",IF(ABS($AR$374)&gt;=1.96,"● Significativo al 5%","● Dentro de la variación normal"))</f>
        <v/>
      </c>
      <c r="O376" s="15"/>
      <c r="P376" s="15"/>
      <c r="Q376" s="15"/>
      <c r="R376" s="15"/>
      <c r="S376" s="15"/>
    </row>
    <row r="378" spans="2:67">
      <c r="B378" s="11" t="s">
        <v>1342</v>
      </c>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spans="2:67">
      <c r="B379" s="12"/>
      <c r="C379" s="12"/>
      <c r="D379" s="12"/>
      <c r="E379" s="12"/>
      <c r="F379" s="12"/>
      <c r="G379" s="12"/>
      <c r="H379" s="12"/>
      <c r="I379" s="12"/>
      <c r="J379" s="12"/>
      <c r="K379" s="12"/>
      <c r="L379" s="12"/>
      <c r="M379" s="12"/>
      <c r="N379" s="12" t="s">
        <v>1312</v>
      </c>
      <c r="O379" s="12"/>
      <c r="P379" s="12"/>
      <c r="Q379" s="12"/>
      <c r="R379" s="12"/>
      <c r="S379" s="12"/>
      <c r="T379" s="12" t="s">
        <v>1313</v>
      </c>
      <c r="U379" s="12"/>
      <c r="V379" s="12"/>
      <c r="W379" s="12"/>
      <c r="X379" s="12"/>
      <c r="Y379" s="12"/>
    </row>
    <row r="380" spans="2:67">
      <c r="B380" s="13">
        <f>INDEX($B$98:$B$123,$N$127-11)</f>
        <v/>
      </c>
      <c r="C380" s="13"/>
      <c r="D380" s="13"/>
      <c r="E380" s="13"/>
      <c r="F380" s="13"/>
      <c r="G380" s="13"/>
      <c r="H380" s="13"/>
      <c r="I380" s="13"/>
      <c r="J380" s="13"/>
      <c r="K380" s="13"/>
      <c r="L380" s="13"/>
      <c r="M380" s="13"/>
      <c r="N380" s="29">
        <f>IFERROR(INDEX($AF$349:$AF$370,MATCH(INDEX($B$98:$B$123,$N$127-11),$B$349:$B$370,0)),NA())</f>
        <v/>
      </c>
      <c r="O380" s="29"/>
      <c r="P380" s="29"/>
      <c r="Q380" s="29"/>
      <c r="R380" s="29"/>
      <c r="S380" s="29"/>
      <c r="T380" s="29">
        <f>IFERROR(INDEX($AL$349:$AL$370,MATCH(INDEX($B$98:$B$123,$N$127-11),$B$349:$B$370,0)),NA())</f>
        <v/>
      </c>
      <c r="U380" s="29"/>
      <c r="V380" s="29"/>
      <c r="W380" s="29"/>
      <c r="X380" s="29"/>
      <c r="Y380" s="29"/>
    </row>
    <row r="381" spans="2:67">
      <c r="B381" s="13">
        <f>INDEX($B$98:$B$123,$N$127-10)</f>
        <v/>
      </c>
      <c r="C381" s="13"/>
      <c r="D381" s="13"/>
      <c r="E381" s="13"/>
      <c r="F381" s="13"/>
      <c r="G381" s="13"/>
      <c r="H381" s="13"/>
      <c r="I381" s="13"/>
      <c r="J381" s="13"/>
      <c r="K381" s="13"/>
      <c r="L381" s="13"/>
      <c r="M381" s="13"/>
      <c r="N381" s="29">
        <f>IFERROR(INDEX($AF$349:$AF$370,MATCH(INDEX($B$98:$B$123,$N$127-10),$B$349:$B$370,0)),NA())</f>
        <v/>
      </c>
      <c r="O381" s="29"/>
      <c r="P381" s="29"/>
      <c r="Q381" s="29"/>
      <c r="R381" s="29"/>
      <c r="S381" s="29"/>
      <c r="T381" s="29">
        <f>IFERROR(INDEX($AL$349:$AL$370,MATCH(INDEX($B$98:$B$123,$N$127-10),$B$349:$B$370,0)),NA())</f>
        <v/>
      </c>
      <c r="U381" s="29"/>
      <c r="V381" s="29"/>
      <c r="W381" s="29"/>
      <c r="X381" s="29"/>
      <c r="Y381" s="29"/>
    </row>
    <row r="382" spans="2:67">
      <c r="B382" s="13">
        <f>INDEX($B$98:$B$123,$N$127-9)</f>
        <v/>
      </c>
      <c r="C382" s="13"/>
      <c r="D382" s="13"/>
      <c r="E382" s="13"/>
      <c r="F382" s="13"/>
      <c r="G382" s="13"/>
      <c r="H382" s="13"/>
      <c r="I382" s="13"/>
      <c r="J382" s="13"/>
      <c r="K382" s="13"/>
      <c r="L382" s="13"/>
      <c r="M382" s="13"/>
      <c r="N382" s="29">
        <f>IFERROR(INDEX($AF$349:$AF$370,MATCH(INDEX($B$98:$B$123,$N$127-9),$B$349:$B$370,0)),NA())</f>
        <v/>
      </c>
      <c r="O382" s="29"/>
      <c r="P382" s="29"/>
      <c r="Q382" s="29"/>
      <c r="R382" s="29"/>
      <c r="S382" s="29"/>
      <c r="T382" s="29">
        <f>IFERROR(INDEX($AL$349:$AL$370,MATCH(INDEX($B$98:$B$123,$N$127-9),$B$349:$B$370,0)),NA())</f>
        <v/>
      </c>
      <c r="U382" s="29"/>
      <c r="V382" s="29"/>
      <c r="W382" s="29"/>
      <c r="X382" s="29"/>
      <c r="Y382" s="29"/>
    </row>
    <row r="383" spans="2:67">
      <c r="B383" s="13">
        <f>INDEX($B$98:$B$123,$N$127-8)</f>
        <v/>
      </c>
      <c r="C383" s="13"/>
      <c r="D383" s="13"/>
      <c r="E383" s="13"/>
      <c r="F383" s="13"/>
      <c r="G383" s="13"/>
      <c r="H383" s="13"/>
      <c r="I383" s="13"/>
      <c r="J383" s="13"/>
      <c r="K383" s="13"/>
      <c r="L383" s="13"/>
      <c r="M383" s="13"/>
      <c r="N383" s="29">
        <f>IFERROR(INDEX($AF$349:$AF$370,MATCH(INDEX($B$98:$B$123,$N$127-8),$B$349:$B$370,0)),NA())</f>
        <v/>
      </c>
      <c r="O383" s="29"/>
      <c r="P383" s="29"/>
      <c r="Q383" s="29"/>
      <c r="R383" s="29"/>
      <c r="S383" s="29"/>
      <c r="T383" s="29">
        <f>IFERROR(INDEX($AL$349:$AL$370,MATCH(INDEX($B$98:$B$123,$N$127-8),$B$349:$B$370,0)),NA())</f>
        <v/>
      </c>
      <c r="U383" s="29"/>
      <c r="V383" s="29"/>
      <c r="W383" s="29"/>
      <c r="X383" s="29"/>
      <c r="Y383" s="29"/>
    </row>
    <row r="384" spans="2:67">
      <c r="B384" s="13">
        <f>INDEX($B$98:$B$123,$N$127-7)</f>
        <v/>
      </c>
      <c r="C384" s="13"/>
      <c r="D384" s="13"/>
      <c r="E384" s="13"/>
      <c r="F384" s="13"/>
      <c r="G384" s="13"/>
      <c r="H384" s="13"/>
      <c r="I384" s="13"/>
      <c r="J384" s="13"/>
      <c r="K384" s="13"/>
      <c r="L384" s="13"/>
      <c r="M384" s="13"/>
      <c r="N384" s="29">
        <f>IFERROR(INDEX($AF$349:$AF$370,MATCH(INDEX($B$98:$B$123,$N$127-7),$B$349:$B$370,0)),NA())</f>
        <v/>
      </c>
      <c r="O384" s="29"/>
      <c r="P384" s="29"/>
      <c r="Q384" s="29"/>
      <c r="R384" s="29"/>
      <c r="S384" s="29"/>
      <c r="T384" s="29">
        <f>IFERROR(INDEX($AL$349:$AL$370,MATCH(INDEX($B$98:$B$123,$N$127-7),$B$349:$B$370,0)),NA())</f>
        <v/>
      </c>
      <c r="U384" s="29"/>
      <c r="V384" s="29"/>
      <c r="W384" s="29"/>
      <c r="X384" s="29"/>
      <c r="Y384" s="29"/>
    </row>
    <row r="385" spans="2:25">
      <c r="B385" s="13">
        <f>INDEX($B$98:$B$123,$N$127-6)</f>
        <v/>
      </c>
      <c r="C385" s="13"/>
      <c r="D385" s="13"/>
      <c r="E385" s="13"/>
      <c r="F385" s="13"/>
      <c r="G385" s="13"/>
      <c r="H385" s="13"/>
      <c r="I385" s="13"/>
      <c r="J385" s="13"/>
      <c r="K385" s="13"/>
      <c r="L385" s="13"/>
      <c r="M385" s="13"/>
      <c r="N385" s="29">
        <f>IFERROR(INDEX($AF$349:$AF$370,MATCH(INDEX($B$98:$B$123,$N$127-6),$B$349:$B$370,0)),NA())</f>
        <v/>
      </c>
      <c r="O385" s="29"/>
      <c r="P385" s="29"/>
      <c r="Q385" s="29"/>
      <c r="R385" s="29"/>
      <c r="S385" s="29"/>
      <c r="T385" s="29">
        <f>IFERROR(INDEX($AL$349:$AL$370,MATCH(INDEX($B$98:$B$123,$N$127-6),$B$349:$B$370,0)),NA())</f>
        <v/>
      </c>
      <c r="U385" s="29"/>
      <c r="V385" s="29"/>
      <c r="W385" s="29"/>
      <c r="X385" s="29"/>
      <c r="Y385" s="29"/>
    </row>
    <row r="386" spans="2:25">
      <c r="B386" s="13">
        <f>INDEX($B$98:$B$123,$N$127-5)</f>
        <v/>
      </c>
      <c r="C386" s="13"/>
      <c r="D386" s="13"/>
      <c r="E386" s="13"/>
      <c r="F386" s="13"/>
      <c r="G386" s="13"/>
      <c r="H386" s="13"/>
      <c r="I386" s="13"/>
      <c r="J386" s="13"/>
      <c r="K386" s="13"/>
      <c r="L386" s="13"/>
      <c r="M386" s="13"/>
      <c r="N386" s="29">
        <f>IFERROR(INDEX($AF$349:$AF$370,MATCH(INDEX($B$98:$B$123,$N$127-5),$B$349:$B$370,0)),NA())</f>
        <v/>
      </c>
      <c r="O386" s="29"/>
      <c r="P386" s="29"/>
      <c r="Q386" s="29"/>
      <c r="R386" s="29"/>
      <c r="S386" s="29"/>
      <c r="T386" s="29">
        <f>IFERROR(INDEX($AL$349:$AL$370,MATCH(INDEX($B$98:$B$123,$N$127-5),$B$349:$B$370,0)),NA())</f>
        <v/>
      </c>
      <c r="U386" s="29"/>
      <c r="V386" s="29"/>
      <c r="W386" s="29"/>
      <c r="X386" s="29"/>
      <c r="Y386" s="29"/>
    </row>
    <row r="387" spans="2:25">
      <c r="B387" s="13">
        <f>INDEX($B$98:$B$123,$N$127-4)</f>
        <v/>
      </c>
      <c r="C387" s="13"/>
      <c r="D387" s="13"/>
      <c r="E387" s="13"/>
      <c r="F387" s="13"/>
      <c r="G387" s="13"/>
      <c r="H387" s="13"/>
      <c r="I387" s="13"/>
      <c r="J387" s="13"/>
      <c r="K387" s="13"/>
      <c r="L387" s="13"/>
      <c r="M387" s="13"/>
      <c r="N387" s="29">
        <f>IFERROR(INDEX($AF$349:$AF$370,MATCH(INDEX($B$98:$B$123,$N$127-4),$B$349:$B$370,0)),NA())</f>
        <v/>
      </c>
      <c r="O387" s="29"/>
      <c r="P387" s="29"/>
      <c r="Q387" s="29"/>
      <c r="R387" s="29"/>
      <c r="S387" s="29"/>
      <c r="T387" s="29">
        <f>IFERROR(INDEX($AL$349:$AL$370,MATCH(INDEX($B$98:$B$123,$N$127-4),$B$349:$B$370,0)),NA())</f>
        <v/>
      </c>
      <c r="U387" s="29"/>
      <c r="V387" s="29"/>
      <c r="W387" s="29"/>
      <c r="X387" s="29"/>
      <c r="Y387" s="29"/>
    </row>
    <row r="388" spans="2:25">
      <c r="B388" s="13">
        <f>INDEX($B$98:$B$123,$N$127-3)</f>
        <v/>
      </c>
      <c r="C388" s="13"/>
      <c r="D388" s="13"/>
      <c r="E388" s="13"/>
      <c r="F388" s="13"/>
      <c r="G388" s="13"/>
      <c r="H388" s="13"/>
      <c r="I388" s="13"/>
      <c r="J388" s="13"/>
      <c r="K388" s="13"/>
      <c r="L388" s="13"/>
      <c r="M388" s="13"/>
      <c r="N388" s="29">
        <f>IFERROR(INDEX($AF$349:$AF$370,MATCH(INDEX($B$98:$B$123,$N$127-3),$B$349:$B$370,0)),NA())</f>
        <v/>
      </c>
      <c r="O388" s="29"/>
      <c r="P388" s="29"/>
      <c r="Q388" s="29"/>
      <c r="R388" s="29"/>
      <c r="S388" s="29"/>
      <c r="T388" s="29">
        <f>IFERROR(INDEX($AL$349:$AL$370,MATCH(INDEX($B$98:$B$123,$N$127-3),$B$349:$B$370,0)),NA())</f>
        <v/>
      </c>
      <c r="U388" s="29"/>
      <c r="V388" s="29"/>
      <c r="W388" s="29"/>
      <c r="X388" s="29"/>
      <c r="Y388" s="29"/>
    </row>
    <row r="389" spans="2:25">
      <c r="B389" s="13">
        <f>INDEX($B$98:$B$123,$N$127-2)</f>
        <v/>
      </c>
      <c r="C389" s="13"/>
      <c r="D389" s="13"/>
      <c r="E389" s="13"/>
      <c r="F389" s="13"/>
      <c r="G389" s="13"/>
      <c r="H389" s="13"/>
      <c r="I389" s="13"/>
      <c r="J389" s="13"/>
      <c r="K389" s="13"/>
      <c r="L389" s="13"/>
      <c r="M389" s="13"/>
      <c r="N389" s="29">
        <f>IFERROR(INDEX($AF$349:$AF$370,MATCH(INDEX($B$98:$B$123,$N$127-2),$B$349:$B$370,0)),NA())</f>
        <v/>
      </c>
      <c r="O389" s="29"/>
      <c r="P389" s="29"/>
      <c r="Q389" s="29"/>
      <c r="R389" s="29"/>
      <c r="S389" s="29"/>
      <c r="T389" s="29">
        <f>IFERROR(INDEX($AL$349:$AL$370,MATCH(INDEX($B$98:$B$123,$N$127-2),$B$349:$B$370,0)),NA())</f>
        <v/>
      </c>
      <c r="U389" s="29"/>
      <c r="V389" s="29"/>
      <c r="W389" s="29"/>
      <c r="X389" s="29"/>
      <c r="Y389" s="29"/>
    </row>
    <row r="390" spans="2:25">
      <c r="B390" s="13">
        <f>INDEX($B$98:$B$123,$N$127-1)</f>
        <v/>
      </c>
      <c r="C390" s="13"/>
      <c r="D390" s="13"/>
      <c r="E390" s="13"/>
      <c r="F390" s="13"/>
      <c r="G390" s="13"/>
      <c r="H390" s="13"/>
      <c r="I390" s="13"/>
      <c r="J390" s="13"/>
      <c r="K390" s="13"/>
      <c r="L390" s="13"/>
      <c r="M390" s="13"/>
      <c r="N390" s="29">
        <f>IFERROR(INDEX($AF$349:$AF$370,MATCH(INDEX($B$98:$B$123,$N$127-1),$B$349:$B$370,0)),NA())</f>
        <v/>
      </c>
      <c r="O390" s="29"/>
      <c r="P390" s="29"/>
      <c r="Q390" s="29"/>
      <c r="R390" s="29"/>
      <c r="S390" s="29"/>
      <c r="T390" s="29">
        <f>IFERROR(INDEX($AL$349:$AL$370,MATCH(INDEX($B$98:$B$123,$N$127-1),$B$349:$B$370,0)),NA())</f>
        <v/>
      </c>
      <c r="U390" s="29"/>
      <c r="V390" s="29"/>
      <c r="W390" s="29"/>
      <c r="X390" s="29"/>
      <c r="Y390" s="29"/>
    </row>
    <row r="391" spans="2:25">
      <c r="B391" s="13">
        <f>INDEX($B$98:$B$123,$N$127-0)</f>
        <v/>
      </c>
      <c r="C391" s="13"/>
      <c r="D391" s="13"/>
      <c r="E391" s="13"/>
      <c r="F391" s="13"/>
      <c r="G391" s="13"/>
      <c r="H391" s="13"/>
      <c r="I391" s="13"/>
      <c r="J391" s="13"/>
      <c r="K391" s="13"/>
      <c r="L391" s="13"/>
      <c r="M391" s="13"/>
      <c r="N391" s="29">
        <f>IFERROR(INDEX($AF$349:$AF$370,MATCH(INDEX($B$98:$B$123,$N$127-0),$B$349:$B$370,0)),NA())</f>
        <v/>
      </c>
      <c r="O391" s="29"/>
      <c r="P391" s="29"/>
      <c r="Q391" s="29"/>
      <c r="R391" s="29"/>
      <c r="S391" s="29"/>
      <c r="T391" s="29">
        <f>IFERROR(INDEX($AL$349:$AL$370,MATCH(INDEX($B$98:$B$123,$N$127-0),$B$349:$B$370,0)),NA())</f>
        <v/>
      </c>
      <c r="U391" s="29"/>
      <c r="V391" s="29"/>
      <c r="W391" s="29"/>
      <c r="X391" s="29"/>
      <c r="Y391" s="29"/>
    </row>
    <row r="393" spans="2:25">
      <c r="B393" s="11" t="s">
        <v>1343</v>
      </c>
      <c r="C393" s="11"/>
      <c r="D393" s="11"/>
      <c r="E393" s="11"/>
      <c r="F393" s="11"/>
      <c r="G393" s="11"/>
      <c r="H393" s="11"/>
      <c r="I393" s="11"/>
      <c r="J393" s="11"/>
      <c r="K393" s="11"/>
      <c r="L393" s="11"/>
      <c r="M393" s="11"/>
      <c r="N393" s="11"/>
      <c r="O393" s="11"/>
      <c r="P393" s="11"/>
      <c r="Q393" s="11"/>
      <c r="R393" s="11"/>
      <c r="S393" s="11"/>
    </row>
    <row r="394" spans="2:25">
      <c r="B394" s="12"/>
      <c r="C394" s="12"/>
      <c r="D394" s="12"/>
      <c r="E394" s="12"/>
      <c r="F394" s="12"/>
      <c r="G394" s="12"/>
      <c r="H394" s="12"/>
      <c r="I394" s="12"/>
      <c r="J394" s="12"/>
      <c r="K394" s="12"/>
      <c r="L394" s="12"/>
      <c r="M394" s="12"/>
      <c r="N394" s="12" t="s">
        <v>1179</v>
      </c>
      <c r="O394" s="12"/>
      <c r="P394" s="12"/>
      <c r="Q394" s="12"/>
      <c r="R394" s="12"/>
      <c r="S394" s="12"/>
    </row>
    <row r="395" spans="2:25">
      <c r="B395" s="13" t="s">
        <v>1344</v>
      </c>
      <c r="C395" s="13"/>
      <c r="D395" s="13"/>
      <c r="E395" s="13"/>
      <c r="F395" s="13"/>
      <c r="G395" s="13"/>
      <c r="H395" s="13"/>
      <c r="I395" s="13"/>
      <c r="J395" s="13"/>
      <c r="K395" s="13"/>
      <c r="L395" s="13"/>
      <c r="M395" s="13"/>
      <c r="N395" s="32">
        <v>-0.0328</v>
      </c>
      <c r="O395" s="32"/>
      <c r="P395" s="32"/>
      <c r="Q395" s="32"/>
      <c r="R395" s="32"/>
      <c r="S395" s="32"/>
    </row>
    <row r="396" spans="2:25">
      <c r="B396" s="13" t="s">
        <v>1345</v>
      </c>
      <c r="C396" s="13"/>
      <c r="D396" s="13"/>
      <c r="E396" s="13"/>
      <c r="F396" s="13"/>
      <c r="G396" s="13"/>
      <c r="H396" s="13"/>
      <c r="I396" s="13"/>
      <c r="J396" s="13"/>
      <c r="K396" s="13"/>
      <c r="L396" s="13"/>
      <c r="M396" s="13"/>
      <c r="N396" s="33">
        <v>0.3992</v>
      </c>
      <c r="O396" s="33"/>
      <c r="P396" s="33"/>
      <c r="Q396" s="33"/>
      <c r="R396" s="33"/>
      <c r="S396" s="33"/>
    </row>
    <row r="397" spans="2:25">
      <c r="B397" s="13" t="s">
        <v>1346</v>
      </c>
      <c r="C397" s="13"/>
      <c r="D397" s="13"/>
      <c r="E397" s="13"/>
      <c r="F397" s="13"/>
      <c r="G397" s="13"/>
      <c r="H397" s="13"/>
      <c r="I397" s="13"/>
      <c r="J397" s="13"/>
      <c r="K397" s="13"/>
      <c r="L397" s="13"/>
      <c r="M397" s="13"/>
      <c r="N397" s="18">
        <v>0.2464</v>
      </c>
      <c r="O397" s="18"/>
      <c r="P397" s="18"/>
      <c r="Q397" s="18"/>
      <c r="R397" s="18"/>
      <c r="S397" s="18"/>
    </row>
    <row r="398" spans="2:25">
      <c r="B398" s="13" t="s">
        <v>1347</v>
      </c>
      <c r="C398" s="13"/>
      <c r="D398" s="13"/>
      <c r="E398" s="13"/>
      <c r="F398" s="13"/>
      <c r="G398" s="13"/>
      <c r="H398" s="13"/>
      <c r="I398" s="13"/>
      <c r="J398" s="13"/>
      <c r="K398" s="13"/>
      <c r="L398" s="13"/>
      <c r="M398" s="13"/>
      <c r="N398" s="34">
        <v>16</v>
      </c>
      <c r="O398" s="34"/>
      <c r="P398" s="34"/>
      <c r="Q398" s="34"/>
      <c r="R398" s="34"/>
      <c r="S398" s="34"/>
    </row>
    <row r="399" spans="2:25">
      <c r="B399" s="13" t="s">
        <v>1348</v>
      </c>
      <c r="C399" s="13"/>
      <c r="D399" s="13"/>
      <c r="E399" s="13"/>
      <c r="F399" s="13"/>
      <c r="G399" s="13"/>
      <c r="H399" s="13"/>
      <c r="I399" s="13"/>
      <c r="J399" s="13"/>
      <c r="K399" s="13"/>
      <c r="L399" s="13"/>
      <c r="M399" s="13"/>
      <c r="N399" s="34">
        <v>22</v>
      </c>
      <c r="O399" s="34"/>
      <c r="P399" s="34"/>
      <c r="Q399" s="34"/>
      <c r="R399" s="34"/>
      <c r="S399" s="34"/>
    </row>
    <row r="400" spans="2:25">
      <c r="B400" s="13" t="s">
        <v>1349</v>
      </c>
      <c r="C400" s="13"/>
      <c r="D400" s="13"/>
      <c r="E400" s="13"/>
      <c r="F400" s="13"/>
      <c r="G400" s="13"/>
      <c r="H400" s="13"/>
      <c r="I400" s="13"/>
      <c r="J400" s="13"/>
      <c r="K400" s="13"/>
      <c r="L400" s="13"/>
      <c r="M400" s="13"/>
      <c r="N400" s="32">
        <v>-0.008500000000000001</v>
      </c>
      <c r="O400" s="32"/>
      <c r="P400" s="32"/>
      <c r="Q400" s="32"/>
      <c r="R400" s="32"/>
      <c r="S400" s="32"/>
    </row>
  </sheetData>
  <sheetProtection sheet="1" objects="1" scenarios="1"/>
  <mergeCells count="1835">
    <mergeCell ref="AU4:AX4"/>
    <mergeCell ref="BE4:BM4"/>
    <mergeCell ref="AG8:AN8"/>
    <mergeCell ref="BR8:BX8"/>
    <mergeCell ref="B96:AQ96"/>
    <mergeCell ref="B97:M97"/>
    <mergeCell ref="N97:S97"/>
    <mergeCell ref="T97:Y97"/>
    <mergeCell ref="Z97:AE97"/>
    <mergeCell ref="AF97:AK97"/>
    <mergeCell ref="AL97:AQ97"/>
    <mergeCell ref="B98:M98"/>
    <mergeCell ref="N98:S98"/>
    <mergeCell ref="T98:Y98"/>
    <mergeCell ref="Z98:AE98"/>
    <mergeCell ref="AF98:AK98"/>
    <mergeCell ref="AL98:AQ98"/>
    <mergeCell ref="B99:M99"/>
    <mergeCell ref="N99:S99"/>
    <mergeCell ref="T99:Y99"/>
    <mergeCell ref="Z99:AE99"/>
    <mergeCell ref="AF99:AK99"/>
    <mergeCell ref="AL99:AQ99"/>
    <mergeCell ref="B100:M100"/>
    <mergeCell ref="N100:S100"/>
    <mergeCell ref="T100:Y100"/>
    <mergeCell ref="Z100:AE100"/>
    <mergeCell ref="AF100:AK100"/>
    <mergeCell ref="AL100:AQ100"/>
    <mergeCell ref="B101:M101"/>
    <mergeCell ref="N101:S101"/>
    <mergeCell ref="T101:Y101"/>
    <mergeCell ref="Z101:AE101"/>
    <mergeCell ref="AF101:AK101"/>
    <mergeCell ref="AL101:AQ101"/>
    <mergeCell ref="B102:M102"/>
    <mergeCell ref="N102:S102"/>
    <mergeCell ref="T102:Y102"/>
    <mergeCell ref="Z102:AE102"/>
    <mergeCell ref="AF102:AK102"/>
    <mergeCell ref="AL102:AQ102"/>
    <mergeCell ref="B103:M103"/>
    <mergeCell ref="N103:S103"/>
    <mergeCell ref="T103:Y103"/>
    <mergeCell ref="Z103:AE103"/>
    <mergeCell ref="AF103:AK103"/>
    <mergeCell ref="AL103:AQ103"/>
    <mergeCell ref="B104:M104"/>
    <mergeCell ref="N104:S104"/>
    <mergeCell ref="T104:Y104"/>
    <mergeCell ref="Z104:AE104"/>
    <mergeCell ref="AF104:AK104"/>
    <mergeCell ref="AL104:AQ104"/>
    <mergeCell ref="B105:M105"/>
    <mergeCell ref="N105:S105"/>
    <mergeCell ref="T105:Y105"/>
    <mergeCell ref="Z105:AE105"/>
    <mergeCell ref="AF105:AK105"/>
    <mergeCell ref="AL105:AQ105"/>
    <mergeCell ref="B106:M106"/>
    <mergeCell ref="N106:S106"/>
    <mergeCell ref="T106:Y106"/>
    <mergeCell ref="Z106:AE106"/>
    <mergeCell ref="AF106:AK106"/>
    <mergeCell ref="AL106:AQ106"/>
    <mergeCell ref="B107:M107"/>
    <mergeCell ref="N107:S107"/>
    <mergeCell ref="T107:Y107"/>
    <mergeCell ref="Z107:AE107"/>
    <mergeCell ref="AF107:AK107"/>
    <mergeCell ref="AL107:AQ107"/>
    <mergeCell ref="B108:M108"/>
    <mergeCell ref="N108:S108"/>
    <mergeCell ref="T108:Y108"/>
    <mergeCell ref="Z108:AE108"/>
    <mergeCell ref="AF108:AK108"/>
    <mergeCell ref="AL108:AQ108"/>
    <mergeCell ref="B109:M109"/>
    <mergeCell ref="N109:S109"/>
    <mergeCell ref="T109:Y109"/>
    <mergeCell ref="Z109:AE109"/>
    <mergeCell ref="AF109:AK109"/>
    <mergeCell ref="AL109:AQ109"/>
    <mergeCell ref="B110:M110"/>
    <mergeCell ref="N110:S110"/>
    <mergeCell ref="T110:Y110"/>
    <mergeCell ref="Z110:AE110"/>
    <mergeCell ref="AF110:AK110"/>
    <mergeCell ref="AL110:AQ110"/>
    <mergeCell ref="B111:M111"/>
    <mergeCell ref="N111:S111"/>
    <mergeCell ref="T111:Y111"/>
    <mergeCell ref="Z111:AE111"/>
    <mergeCell ref="AF111:AK111"/>
    <mergeCell ref="AL111:AQ111"/>
    <mergeCell ref="B112:M112"/>
    <mergeCell ref="N112:S112"/>
    <mergeCell ref="T112:Y112"/>
    <mergeCell ref="Z112:AE112"/>
    <mergeCell ref="AF112:AK112"/>
    <mergeCell ref="AL112:AQ112"/>
    <mergeCell ref="B113:M113"/>
    <mergeCell ref="N113:S113"/>
    <mergeCell ref="T113:Y113"/>
    <mergeCell ref="Z113:AE113"/>
    <mergeCell ref="AF113:AK113"/>
    <mergeCell ref="AL113:AQ113"/>
    <mergeCell ref="B114:M114"/>
    <mergeCell ref="N114:S114"/>
    <mergeCell ref="T114:Y114"/>
    <mergeCell ref="Z114:AE114"/>
    <mergeCell ref="AF114:AK114"/>
    <mergeCell ref="AL114:AQ114"/>
    <mergeCell ref="B115:M115"/>
    <mergeCell ref="N115:S115"/>
    <mergeCell ref="T115:Y115"/>
    <mergeCell ref="Z115:AE115"/>
    <mergeCell ref="AF115:AK115"/>
    <mergeCell ref="AL115:AQ115"/>
    <mergeCell ref="B116:M116"/>
    <mergeCell ref="N116:S116"/>
    <mergeCell ref="T116:Y116"/>
    <mergeCell ref="Z116:AE116"/>
    <mergeCell ref="AF116:AK116"/>
    <mergeCell ref="AL116:AQ116"/>
    <mergeCell ref="B117:M117"/>
    <mergeCell ref="N117:S117"/>
    <mergeCell ref="T117:Y117"/>
    <mergeCell ref="Z117:AE117"/>
    <mergeCell ref="AF117:AK117"/>
    <mergeCell ref="AL117:AQ117"/>
    <mergeCell ref="B118:M118"/>
    <mergeCell ref="N118:S118"/>
    <mergeCell ref="T118:Y118"/>
    <mergeCell ref="Z118:AE118"/>
    <mergeCell ref="AF118:AK118"/>
    <mergeCell ref="AL118:AQ118"/>
    <mergeCell ref="B119:M119"/>
    <mergeCell ref="N119:S119"/>
    <mergeCell ref="T119:Y119"/>
    <mergeCell ref="Z119:AE119"/>
    <mergeCell ref="AF119:AK119"/>
    <mergeCell ref="AL119:AQ119"/>
    <mergeCell ref="B120:M120"/>
    <mergeCell ref="N120:S120"/>
    <mergeCell ref="T120:Y120"/>
    <mergeCell ref="Z120:AE120"/>
    <mergeCell ref="AF120:AK120"/>
    <mergeCell ref="AL120:AQ120"/>
    <mergeCell ref="B121:M121"/>
    <mergeCell ref="N121:S121"/>
    <mergeCell ref="T121:Y121"/>
    <mergeCell ref="Z121:AE121"/>
    <mergeCell ref="AF121:AK121"/>
    <mergeCell ref="AL121:AQ121"/>
    <mergeCell ref="B122:M122"/>
    <mergeCell ref="N122:S122"/>
    <mergeCell ref="T122:Y122"/>
    <mergeCell ref="Z122:AE122"/>
    <mergeCell ref="AF122:AK122"/>
    <mergeCell ref="AL122:AQ122"/>
    <mergeCell ref="B123:M123"/>
    <mergeCell ref="N123:S123"/>
    <mergeCell ref="T123:Y123"/>
    <mergeCell ref="Z123:AE123"/>
    <mergeCell ref="AF123:AK123"/>
    <mergeCell ref="AL123:AQ123"/>
    <mergeCell ref="B125:S125"/>
    <mergeCell ref="B126:M126"/>
    <mergeCell ref="N126:S126"/>
    <mergeCell ref="B127:M127"/>
    <mergeCell ref="N127:S127"/>
    <mergeCell ref="B128:M128"/>
    <mergeCell ref="N128:S128"/>
    <mergeCell ref="B129:M129"/>
    <mergeCell ref="N129:S129"/>
    <mergeCell ref="B130:M130"/>
    <mergeCell ref="N130:S130"/>
    <mergeCell ref="B131:M131"/>
    <mergeCell ref="N131:S131"/>
    <mergeCell ref="B132:M132"/>
    <mergeCell ref="N132:S132"/>
    <mergeCell ref="B133:M133"/>
    <mergeCell ref="N133:S133"/>
    <mergeCell ref="B134:M134"/>
    <mergeCell ref="N134:S134"/>
    <mergeCell ref="B135:M135"/>
    <mergeCell ref="N135:S135"/>
    <mergeCell ref="B136:M136"/>
    <mergeCell ref="N136:S136"/>
    <mergeCell ref="B137:M137"/>
    <mergeCell ref="N137:S137"/>
    <mergeCell ref="B138:M138"/>
    <mergeCell ref="N138:S138"/>
    <mergeCell ref="B139:M139"/>
    <mergeCell ref="N139:S139"/>
    <mergeCell ref="B140:M140"/>
    <mergeCell ref="N140:S140"/>
    <mergeCell ref="B141:M141"/>
    <mergeCell ref="N141:S141"/>
    <mergeCell ref="B142:M142"/>
    <mergeCell ref="N142:S142"/>
    <mergeCell ref="B143:M143"/>
    <mergeCell ref="N143:S143"/>
    <mergeCell ref="B144:M144"/>
    <mergeCell ref="N144:S144"/>
    <mergeCell ref="B145:M145"/>
    <mergeCell ref="N145:S145"/>
    <mergeCell ref="B146:M146"/>
    <mergeCell ref="N146:S146"/>
    <mergeCell ref="B147:M147"/>
    <mergeCell ref="N147:S147"/>
    <mergeCell ref="B148:M148"/>
    <mergeCell ref="N148:S148"/>
    <mergeCell ref="B149:M149"/>
    <mergeCell ref="N149:S149"/>
    <mergeCell ref="B150:M150"/>
    <mergeCell ref="N150:S150"/>
    <mergeCell ref="B151:M151"/>
    <mergeCell ref="N151:S151"/>
    <mergeCell ref="B152:M152"/>
    <mergeCell ref="N152:S152"/>
    <mergeCell ref="B153:M153"/>
    <mergeCell ref="N153:S153"/>
    <mergeCell ref="B154:M154"/>
    <mergeCell ref="N154:S154"/>
    <mergeCell ref="B155:M155"/>
    <mergeCell ref="N155:S155"/>
    <mergeCell ref="B156:M156"/>
    <mergeCell ref="N156:S156"/>
    <mergeCell ref="B157:M157"/>
    <mergeCell ref="N157:S157"/>
    <mergeCell ref="B158:M158"/>
    <mergeCell ref="N158:S158"/>
    <mergeCell ref="B159:M159"/>
    <mergeCell ref="N159:S159"/>
    <mergeCell ref="B160:M160"/>
    <mergeCell ref="N160:S160"/>
    <mergeCell ref="B161:M161"/>
    <mergeCell ref="N161:S161"/>
    <mergeCell ref="B162:M162"/>
    <mergeCell ref="N162:S162"/>
    <mergeCell ref="B164:S164"/>
    <mergeCell ref="B165:M165"/>
    <mergeCell ref="N165:S165"/>
    <mergeCell ref="B166:M166"/>
    <mergeCell ref="N166:S166"/>
    <mergeCell ref="B167:M167"/>
    <mergeCell ref="N167:S167"/>
    <mergeCell ref="B168:M168"/>
    <mergeCell ref="N168:S168"/>
    <mergeCell ref="B169:M169"/>
    <mergeCell ref="N169:S169"/>
    <mergeCell ref="B170:M170"/>
    <mergeCell ref="N170:S170"/>
    <mergeCell ref="B171:M171"/>
    <mergeCell ref="N171:S171"/>
    <mergeCell ref="B172:M172"/>
    <mergeCell ref="N172:S172"/>
    <mergeCell ref="B173:M173"/>
    <mergeCell ref="N173:S173"/>
    <mergeCell ref="B174:M174"/>
    <mergeCell ref="N174:S174"/>
    <mergeCell ref="B176:BI176"/>
    <mergeCell ref="B177:M177"/>
    <mergeCell ref="N177:S177"/>
    <mergeCell ref="T177:Y177"/>
    <mergeCell ref="Z177:AE177"/>
    <mergeCell ref="AF177:AK177"/>
    <mergeCell ref="AL177:AQ177"/>
    <mergeCell ref="AR177:AW177"/>
    <mergeCell ref="AX177:BC177"/>
    <mergeCell ref="BD177:BI177"/>
    <mergeCell ref="B178:M178"/>
    <mergeCell ref="N178:S178"/>
    <mergeCell ref="T178:Y178"/>
    <mergeCell ref="Z178:AE178"/>
    <mergeCell ref="AF178:AK178"/>
    <mergeCell ref="AL178:AQ178"/>
    <mergeCell ref="AR178:AW178"/>
    <mergeCell ref="AX178:BC178"/>
    <mergeCell ref="BD178:BI178"/>
    <mergeCell ref="B179:M179"/>
    <mergeCell ref="N179:S179"/>
    <mergeCell ref="T179:Y179"/>
    <mergeCell ref="Z179:AE179"/>
    <mergeCell ref="AF179:AK179"/>
    <mergeCell ref="AL179:AQ179"/>
    <mergeCell ref="AR179:AW179"/>
    <mergeCell ref="AX179:BC179"/>
    <mergeCell ref="BD179:BI179"/>
    <mergeCell ref="B180:M180"/>
    <mergeCell ref="N180:S180"/>
    <mergeCell ref="T180:Y180"/>
    <mergeCell ref="Z180:AE180"/>
    <mergeCell ref="AF180:AK180"/>
    <mergeCell ref="AL180:AQ180"/>
    <mergeCell ref="AR180:AW180"/>
    <mergeCell ref="AX180:BC180"/>
    <mergeCell ref="BD180:BI180"/>
    <mergeCell ref="B181:M181"/>
    <mergeCell ref="N181:S181"/>
    <mergeCell ref="T181:Y181"/>
    <mergeCell ref="Z181:AE181"/>
    <mergeCell ref="AF181:AK181"/>
    <mergeCell ref="AL181:AQ181"/>
    <mergeCell ref="AR181:AW181"/>
    <mergeCell ref="AX181:BC181"/>
    <mergeCell ref="BD181:BI181"/>
    <mergeCell ref="B182:M182"/>
    <mergeCell ref="N182:S182"/>
    <mergeCell ref="T182:Y182"/>
    <mergeCell ref="Z182:AE182"/>
    <mergeCell ref="AF182:AK182"/>
    <mergeCell ref="AL182:AQ182"/>
    <mergeCell ref="AR182:AW182"/>
    <mergeCell ref="AX182:BC182"/>
    <mergeCell ref="BD182:BI182"/>
    <mergeCell ref="B183:M183"/>
    <mergeCell ref="N183:S183"/>
    <mergeCell ref="T183:Y183"/>
    <mergeCell ref="Z183:AE183"/>
    <mergeCell ref="AF183:AK183"/>
    <mergeCell ref="AL183:AQ183"/>
    <mergeCell ref="AR183:AW183"/>
    <mergeCell ref="AX183:BC183"/>
    <mergeCell ref="BD183:BI183"/>
    <mergeCell ref="B184:M184"/>
    <mergeCell ref="N184:S184"/>
    <mergeCell ref="T184:Y184"/>
    <mergeCell ref="Z184:AE184"/>
    <mergeCell ref="AF184:AK184"/>
    <mergeCell ref="AL184:AQ184"/>
    <mergeCell ref="AR184:AW184"/>
    <mergeCell ref="AX184:BC184"/>
    <mergeCell ref="BD184:BI184"/>
    <mergeCell ref="B185:M185"/>
    <mergeCell ref="N185:S185"/>
    <mergeCell ref="T185:Y185"/>
    <mergeCell ref="Z185:AE185"/>
    <mergeCell ref="AF185:AK185"/>
    <mergeCell ref="AL185:AQ185"/>
    <mergeCell ref="AR185:AW185"/>
    <mergeCell ref="AX185:BC185"/>
    <mergeCell ref="BD185:BI185"/>
    <mergeCell ref="B186:M186"/>
    <mergeCell ref="N186:S186"/>
    <mergeCell ref="T186:Y186"/>
    <mergeCell ref="Z186:AE186"/>
    <mergeCell ref="AF186:AK186"/>
    <mergeCell ref="AL186:AQ186"/>
    <mergeCell ref="AR186:AW186"/>
    <mergeCell ref="AX186:BC186"/>
    <mergeCell ref="BD186:BI186"/>
    <mergeCell ref="B187:M187"/>
    <mergeCell ref="N187:S187"/>
    <mergeCell ref="T187:Y187"/>
    <mergeCell ref="Z187:AE187"/>
    <mergeCell ref="AF187:AK187"/>
    <mergeCell ref="AL187:AQ187"/>
    <mergeCell ref="AR187:AW187"/>
    <mergeCell ref="AX187:BC187"/>
    <mergeCell ref="BD187:BI187"/>
    <mergeCell ref="B188:M188"/>
    <mergeCell ref="N188:S188"/>
    <mergeCell ref="T188:Y188"/>
    <mergeCell ref="Z188:AE188"/>
    <mergeCell ref="AF188:AK188"/>
    <mergeCell ref="AL188:AQ188"/>
    <mergeCell ref="AR188:AW188"/>
    <mergeCell ref="AX188:BC188"/>
    <mergeCell ref="BD188:BI188"/>
    <mergeCell ref="B189:M189"/>
    <mergeCell ref="N189:S189"/>
    <mergeCell ref="T189:Y189"/>
    <mergeCell ref="Z189:AE189"/>
    <mergeCell ref="AF189:AK189"/>
    <mergeCell ref="AL189:AQ189"/>
    <mergeCell ref="AR189:AW189"/>
    <mergeCell ref="AX189:BC189"/>
    <mergeCell ref="BD189:BI189"/>
    <mergeCell ref="B190:M190"/>
    <mergeCell ref="N190:S190"/>
    <mergeCell ref="B192:AK192"/>
    <mergeCell ref="B193:M193"/>
    <mergeCell ref="N193:S193"/>
    <mergeCell ref="T193:Y193"/>
    <mergeCell ref="Z193:AE193"/>
    <mergeCell ref="AF193:AK193"/>
    <mergeCell ref="B194:M194"/>
    <mergeCell ref="N194:S194"/>
    <mergeCell ref="T194:Y194"/>
    <mergeCell ref="Z194:AE194"/>
    <mergeCell ref="AF194:AK194"/>
    <mergeCell ref="B195:M195"/>
    <mergeCell ref="N195:S195"/>
    <mergeCell ref="T195:Y195"/>
    <mergeCell ref="Z195:AE195"/>
    <mergeCell ref="AF195:AK195"/>
    <mergeCell ref="B196:M196"/>
    <mergeCell ref="N196:S196"/>
    <mergeCell ref="T196:Y196"/>
    <mergeCell ref="Z196:AE196"/>
    <mergeCell ref="AF196:AK196"/>
    <mergeCell ref="B197:M197"/>
    <mergeCell ref="N197:S197"/>
    <mergeCell ref="T197:Y197"/>
    <mergeCell ref="Z197:AE197"/>
    <mergeCell ref="AF197:AK197"/>
    <mergeCell ref="B198:M198"/>
    <mergeCell ref="N198:S198"/>
    <mergeCell ref="T198:Y198"/>
    <mergeCell ref="Z198:AE198"/>
    <mergeCell ref="AF198:AK198"/>
    <mergeCell ref="B199:M199"/>
    <mergeCell ref="N199:S199"/>
    <mergeCell ref="B201:AQ201"/>
    <mergeCell ref="B202:M202"/>
    <mergeCell ref="N202:S202"/>
    <mergeCell ref="T202:Y202"/>
    <mergeCell ref="Z202:AE202"/>
    <mergeCell ref="AF202:AK202"/>
    <mergeCell ref="AL202:AQ202"/>
    <mergeCell ref="B203:M203"/>
    <mergeCell ref="N203:S203"/>
    <mergeCell ref="T203:Y203"/>
    <mergeCell ref="Z203:AE203"/>
    <mergeCell ref="AF203:AK203"/>
    <mergeCell ref="AL203:AQ203"/>
    <mergeCell ref="B204:M204"/>
    <mergeCell ref="N204:S204"/>
    <mergeCell ref="T204:Y204"/>
    <mergeCell ref="Z204:AE204"/>
    <mergeCell ref="AF204:AK204"/>
    <mergeCell ref="AL204:AQ204"/>
    <mergeCell ref="B205:M205"/>
    <mergeCell ref="N205:S205"/>
    <mergeCell ref="T205:Y205"/>
    <mergeCell ref="Z205:AE205"/>
    <mergeCell ref="AF205:AK205"/>
    <mergeCell ref="AL205:AQ205"/>
    <mergeCell ref="B206:M206"/>
    <mergeCell ref="N206:S206"/>
    <mergeCell ref="T206:Y206"/>
    <mergeCell ref="Z206:AE206"/>
    <mergeCell ref="AF206:AK206"/>
    <mergeCell ref="AL206:AQ206"/>
    <mergeCell ref="B208:AE208"/>
    <mergeCell ref="B209:M209"/>
    <mergeCell ref="N209:S209"/>
    <mergeCell ref="T209:Y209"/>
    <mergeCell ref="Z209:AE209"/>
    <mergeCell ref="B210:M210"/>
    <mergeCell ref="N210:S210"/>
    <mergeCell ref="T210:Y210"/>
    <mergeCell ref="Z210:AE210"/>
    <mergeCell ref="B211:M211"/>
    <mergeCell ref="N211:S211"/>
    <mergeCell ref="T211:Y211"/>
    <mergeCell ref="Z211:AE211"/>
    <mergeCell ref="B212:M212"/>
    <mergeCell ref="N212:S212"/>
    <mergeCell ref="T212:Y212"/>
    <mergeCell ref="Z212:AE212"/>
    <mergeCell ref="B213:M213"/>
    <mergeCell ref="N213:S213"/>
    <mergeCell ref="T213:Y213"/>
    <mergeCell ref="Z213:AE213"/>
    <mergeCell ref="B214:M214"/>
    <mergeCell ref="N214:S214"/>
    <mergeCell ref="T214:Y214"/>
    <mergeCell ref="Z214:AE214"/>
    <mergeCell ref="B215:M215"/>
    <mergeCell ref="N215:S215"/>
    <mergeCell ref="T215:Y215"/>
    <mergeCell ref="Z215:AE215"/>
    <mergeCell ref="B216:M216"/>
    <mergeCell ref="N216:S216"/>
    <mergeCell ref="T216:Y216"/>
    <mergeCell ref="Z216:AE216"/>
    <mergeCell ref="B217:M217"/>
    <mergeCell ref="N217:S217"/>
    <mergeCell ref="B219:AK219"/>
    <mergeCell ref="B220:M220"/>
    <mergeCell ref="N220:S220"/>
    <mergeCell ref="T220:Y220"/>
    <mergeCell ref="Z220:AE220"/>
    <mergeCell ref="AF220:AK220"/>
    <mergeCell ref="B221:M221"/>
    <mergeCell ref="N221:S221"/>
    <mergeCell ref="T221:Y221"/>
    <mergeCell ref="Z221:AE221"/>
    <mergeCell ref="AF221:AK221"/>
    <mergeCell ref="B222:M222"/>
    <mergeCell ref="N222:S222"/>
    <mergeCell ref="T222:Y222"/>
    <mergeCell ref="Z222:AE222"/>
    <mergeCell ref="AF222:AK222"/>
    <mergeCell ref="B223:M223"/>
    <mergeCell ref="N223:S223"/>
    <mergeCell ref="T223:Y223"/>
    <mergeCell ref="Z223:AE223"/>
    <mergeCell ref="AF223:AK223"/>
    <mergeCell ref="B224:M224"/>
    <mergeCell ref="N224:S224"/>
    <mergeCell ref="B225:M225"/>
    <mergeCell ref="N225:S225"/>
    <mergeCell ref="B226:M226"/>
    <mergeCell ref="N226:S226"/>
    <mergeCell ref="B227:M227"/>
    <mergeCell ref="N227:S227"/>
    <mergeCell ref="B229:Y229"/>
    <mergeCell ref="B230:M230"/>
    <mergeCell ref="N230:S230"/>
    <mergeCell ref="T230:Y230"/>
    <mergeCell ref="B231:M231"/>
    <mergeCell ref="N231:S231"/>
    <mergeCell ref="T231:Y231"/>
    <mergeCell ref="B232:M232"/>
    <mergeCell ref="N232:S232"/>
    <mergeCell ref="T232:Y232"/>
    <mergeCell ref="B233:M233"/>
    <mergeCell ref="N233:S233"/>
    <mergeCell ref="T233:Y233"/>
    <mergeCell ref="B234:M234"/>
    <mergeCell ref="N234:S234"/>
    <mergeCell ref="T234:Y234"/>
    <mergeCell ref="B235:M235"/>
    <mergeCell ref="N235:S235"/>
    <mergeCell ref="T235:Y235"/>
    <mergeCell ref="B236:M236"/>
    <mergeCell ref="N236:S236"/>
    <mergeCell ref="T236:Y236"/>
    <mergeCell ref="B237:M237"/>
    <mergeCell ref="N237:S237"/>
    <mergeCell ref="T237:Y237"/>
    <mergeCell ref="B238:M238"/>
    <mergeCell ref="N238:S238"/>
    <mergeCell ref="T238:Y238"/>
    <mergeCell ref="B239:M239"/>
    <mergeCell ref="N239:S239"/>
    <mergeCell ref="T239:Y239"/>
    <mergeCell ref="B240:M240"/>
    <mergeCell ref="N240:S240"/>
    <mergeCell ref="T240:Y240"/>
    <mergeCell ref="B241:M241"/>
    <mergeCell ref="N241:S241"/>
    <mergeCell ref="T241:Y241"/>
    <mergeCell ref="B242:M242"/>
    <mergeCell ref="N242:S242"/>
    <mergeCell ref="T242:Y242"/>
    <mergeCell ref="B243:M243"/>
    <mergeCell ref="N243:S243"/>
    <mergeCell ref="B245:AQ245"/>
    <mergeCell ref="B246:M246"/>
    <mergeCell ref="N246:S246"/>
    <mergeCell ref="T246:Y246"/>
    <mergeCell ref="Z246:AE246"/>
    <mergeCell ref="AF246:AK246"/>
    <mergeCell ref="AL246:AQ246"/>
    <mergeCell ref="B247:M247"/>
    <mergeCell ref="N247:S247"/>
    <mergeCell ref="T247:Y247"/>
    <mergeCell ref="Z247:AE247"/>
    <mergeCell ref="AF247:AK247"/>
    <mergeCell ref="AL247:AQ247"/>
    <mergeCell ref="B248:M248"/>
    <mergeCell ref="N248:S248"/>
    <mergeCell ref="T248:Y248"/>
    <mergeCell ref="Z248:AE248"/>
    <mergeCell ref="AF248:AK248"/>
    <mergeCell ref="AL248:AQ248"/>
    <mergeCell ref="B249:M249"/>
    <mergeCell ref="N249:S249"/>
    <mergeCell ref="T249:Y249"/>
    <mergeCell ref="Z249:AE249"/>
    <mergeCell ref="AF249:AK249"/>
    <mergeCell ref="AL249:AQ249"/>
    <mergeCell ref="B250:M250"/>
    <mergeCell ref="N250:S250"/>
    <mergeCell ref="T250:Y250"/>
    <mergeCell ref="Z250:AE250"/>
    <mergeCell ref="AF250:AK250"/>
    <mergeCell ref="AL250:AQ250"/>
    <mergeCell ref="B251:M251"/>
    <mergeCell ref="N251:S251"/>
    <mergeCell ref="T251:Y251"/>
    <mergeCell ref="Z251:AE251"/>
    <mergeCell ref="AF251:AK251"/>
    <mergeCell ref="AL251:AQ251"/>
    <mergeCell ref="B252:M252"/>
    <mergeCell ref="N252:S252"/>
    <mergeCell ref="T252:Y252"/>
    <mergeCell ref="Z252:AE252"/>
    <mergeCell ref="AF252:AK252"/>
    <mergeCell ref="AL252:AQ252"/>
    <mergeCell ref="B253:M253"/>
    <mergeCell ref="N253:S253"/>
    <mergeCell ref="B255:AE255"/>
    <mergeCell ref="B256:M256"/>
    <mergeCell ref="N256:S256"/>
    <mergeCell ref="T256:Y256"/>
    <mergeCell ref="Z256:AE256"/>
    <mergeCell ref="B257:M257"/>
    <mergeCell ref="N257:S257"/>
    <mergeCell ref="T257:Y257"/>
    <mergeCell ref="Z257:AE257"/>
    <mergeCell ref="B258:M258"/>
    <mergeCell ref="N258:S258"/>
    <mergeCell ref="T258:Y258"/>
    <mergeCell ref="Z258:AE258"/>
    <mergeCell ref="B259:M259"/>
    <mergeCell ref="N259:S259"/>
    <mergeCell ref="T259:Y259"/>
    <mergeCell ref="Z259:AE259"/>
    <mergeCell ref="B261:AE261"/>
    <mergeCell ref="B262:M262"/>
    <mergeCell ref="N262:S262"/>
    <mergeCell ref="T262:Y262"/>
    <mergeCell ref="Z262:AE262"/>
    <mergeCell ref="B263:M263"/>
    <mergeCell ref="N263:S263"/>
    <mergeCell ref="T263:Y263"/>
    <mergeCell ref="Z263:AE263"/>
    <mergeCell ref="B264:M264"/>
    <mergeCell ref="N264:S264"/>
    <mergeCell ref="T264:Y264"/>
    <mergeCell ref="Z264:AE264"/>
    <mergeCell ref="B265:M265"/>
    <mergeCell ref="N265:S265"/>
    <mergeCell ref="T265:Y265"/>
    <mergeCell ref="Z265:AE265"/>
    <mergeCell ref="B266:M266"/>
    <mergeCell ref="N266:S266"/>
    <mergeCell ref="T266:Y266"/>
    <mergeCell ref="Z266:AE266"/>
    <mergeCell ref="B268:AE268"/>
    <mergeCell ref="B269:M269"/>
    <mergeCell ref="N269:S269"/>
    <mergeCell ref="T269:Y269"/>
    <mergeCell ref="Z269:AE269"/>
    <mergeCell ref="B270:M270"/>
    <mergeCell ref="N270:S270"/>
    <mergeCell ref="T270:Y270"/>
    <mergeCell ref="Z270:AE270"/>
    <mergeCell ref="B271:M271"/>
    <mergeCell ref="N271:S271"/>
    <mergeCell ref="T271:Y271"/>
    <mergeCell ref="Z271:AE271"/>
    <mergeCell ref="B272:M272"/>
    <mergeCell ref="N272:S272"/>
    <mergeCell ref="T272:Y272"/>
    <mergeCell ref="Z272:AE272"/>
    <mergeCell ref="B273:M273"/>
    <mergeCell ref="N273:S273"/>
    <mergeCell ref="T273:Y273"/>
    <mergeCell ref="Z273:AE273"/>
    <mergeCell ref="B274:M274"/>
    <mergeCell ref="N274:S274"/>
    <mergeCell ref="T274:Y274"/>
    <mergeCell ref="Z274:AE274"/>
    <mergeCell ref="B275:M275"/>
    <mergeCell ref="N275:S275"/>
    <mergeCell ref="T275:Y275"/>
    <mergeCell ref="Z275:AE275"/>
    <mergeCell ref="B276:M276"/>
    <mergeCell ref="N276:S276"/>
    <mergeCell ref="T276:Y276"/>
    <mergeCell ref="Z276:AE276"/>
    <mergeCell ref="B277:M277"/>
    <mergeCell ref="N277:S277"/>
    <mergeCell ref="T277:Y277"/>
    <mergeCell ref="Z277:AE277"/>
    <mergeCell ref="B278:M278"/>
    <mergeCell ref="N278:S278"/>
    <mergeCell ref="T278:Y278"/>
    <mergeCell ref="Z278:AE278"/>
    <mergeCell ref="B279:M279"/>
    <mergeCell ref="N279:S279"/>
    <mergeCell ref="T279:Y279"/>
    <mergeCell ref="Z279:AE279"/>
    <mergeCell ref="B280:M280"/>
    <mergeCell ref="N280:S280"/>
    <mergeCell ref="T280:Y280"/>
    <mergeCell ref="Z280:AE280"/>
    <mergeCell ref="B281:M281"/>
    <mergeCell ref="N281:S281"/>
    <mergeCell ref="T281:Y281"/>
    <mergeCell ref="Z281:AE281"/>
    <mergeCell ref="B283:CY283"/>
    <mergeCell ref="B284:M284"/>
    <mergeCell ref="N284:S284"/>
    <mergeCell ref="T284:Y284"/>
    <mergeCell ref="Z284:AE284"/>
    <mergeCell ref="AF284:AK284"/>
    <mergeCell ref="AL284:AQ284"/>
    <mergeCell ref="AR284:AW284"/>
    <mergeCell ref="AX284:BC284"/>
    <mergeCell ref="BD284:BI284"/>
    <mergeCell ref="BJ284:BO284"/>
    <mergeCell ref="BP284:BU284"/>
    <mergeCell ref="BV284:CA284"/>
    <mergeCell ref="CB284:CG284"/>
    <mergeCell ref="CH284:CM284"/>
    <mergeCell ref="CN284:CS284"/>
    <mergeCell ref="CT284:CY284"/>
    <mergeCell ref="B285:M285"/>
    <mergeCell ref="N285:S285"/>
    <mergeCell ref="T285:Y285"/>
    <mergeCell ref="Z285:AE285"/>
    <mergeCell ref="AF285:AK285"/>
    <mergeCell ref="AL285:AQ285"/>
    <mergeCell ref="AR285:AW285"/>
    <mergeCell ref="AX285:BC285"/>
    <mergeCell ref="BD285:BI285"/>
    <mergeCell ref="BJ285:BO285"/>
    <mergeCell ref="BP285:BU285"/>
    <mergeCell ref="BV285:CA285"/>
    <mergeCell ref="CB285:CG285"/>
    <mergeCell ref="CH285:CM285"/>
    <mergeCell ref="CN285:CS285"/>
    <mergeCell ref="CT285:CY285"/>
    <mergeCell ref="B286:M286"/>
    <mergeCell ref="N286:S286"/>
    <mergeCell ref="T286:Y286"/>
    <mergeCell ref="Z286:AE286"/>
    <mergeCell ref="AF286:AK286"/>
    <mergeCell ref="AL286:AQ286"/>
    <mergeCell ref="AR286:AW286"/>
    <mergeCell ref="AX286:BC286"/>
    <mergeCell ref="BD286:BI286"/>
    <mergeCell ref="BJ286:BO286"/>
    <mergeCell ref="BP286:BU286"/>
    <mergeCell ref="BV286:CA286"/>
    <mergeCell ref="CB286:CG286"/>
    <mergeCell ref="CH286:CM286"/>
    <mergeCell ref="CN286:CS286"/>
    <mergeCell ref="CT286:CY286"/>
    <mergeCell ref="B287:M287"/>
    <mergeCell ref="N287:S287"/>
    <mergeCell ref="T287:Y287"/>
    <mergeCell ref="Z287:AE287"/>
    <mergeCell ref="AF287:AK287"/>
    <mergeCell ref="AL287:AQ287"/>
    <mergeCell ref="AR287:AW287"/>
    <mergeCell ref="AX287:BC287"/>
    <mergeCell ref="BD287:BI287"/>
    <mergeCell ref="BJ287:BO287"/>
    <mergeCell ref="BP287:BU287"/>
    <mergeCell ref="BV287:CA287"/>
    <mergeCell ref="CB287:CG287"/>
    <mergeCell ref="CH287:CM287"/>
    <mergeCell ref="CN287:CS287"/>
    <mergeCell ref="CT287:CY287"/>
    <mergeCell ref="B288:M288"/>
    <mergeCell ref="N288:S288"/>
    <mergeCell ref="T288:Y288"/>
    <mergeCell ref="Z288:AE288"/>
    <mergeCell ref="AF288:AK288"/>
    <mergeCell ref="AL288:AQ288"/>
    <mergeCell ref="AR288:AW288"/>
    <mergeCell ref="AX288:BC288"/>
    <mergeCell ref="BD288:BI288"/>
    <mergeCell ref="BJ288:BO288"/>
    <mergeCell ref="BP288:BU288"/>
    <mergeCell ref="BV288:CA288"/>
    <mergeCell ref="CB288:CG288"/>
    <mergeCell ref="CH288:CM288"/>
    <mergeCell ref="CN288:CS288"/>
    <mergeCell ref="CT288:CY288"/>
    <mergeCell ref="B289:M289"/>
    <mergeCell ref="N289:S289"/>
    <mergeCell ref="T289:Y289"/>
    <mergeCell ref="Z289:AE289"/>
    <mergeCell ref="AF289:AK289"/>
    <mergeCell ref="AL289:AQ289"/>
    <mergeCell ref="AR289:AW289"/>
    <mergeCell ref="AX289:BC289"/>
    <mergeCell ref="BD289:BI289"/>
    <mergeCell ref="BJ289:BO289"/>
    <mergeCell ref="BP289:BU289"/>
    <mergeCell ref="BV289:CA289"/>
    <mergeCell ref="CB289:CG289"/>
    <mergeCell ref="CH289:CM289"/>
    <mergeCell ref="CN289:CS289"/>
    <mergeCell ref="CT289:CY289"/>
    <mergeCell ref="B290:M290"/>
    <mergeCell ref="N290:S290"/>
    <mergeCell ref="T290:Y290"/>
    <mergeCell ref="Z290:AE290"/>
    <mergeCell ref="AF290:AK290"/>
    <mergeCell ref="AL290:AQ290"/>
    <mergeCell ref="AR290:AW290"/>
    <mergeCell ref="AX290:BC290"/>
    <mergeCell ref="BD290:BI290"/>
    <mergeCell ref="BJ290:BO290"/>
    <mergeCell ref="BP290:BU290"/>
    <mergeCell ref="BV290:CA290"/>
    <mergeCell ref="CB290:CG290"/>
    <mergeCell ref="CH290:CM290"/>
    <mergeCell ref="CN290:CS290"/>
    <mergeCell ref="CT290:CY290"/>
    <mergeCell ref="B291:M291"/>
    <mergeCell ref="N291:S291"/>
    <mergeCell ref="T291:Y291"/>
    <mergeCell ref="Z291:AE291"/>
    <mergeCell ref="AF291:AK291"/>
    <mergeCell ref="AL291:AQ291"/>
    <mergeCell ref="AR291:AW291"/>
    <mergeCell ref="AX291:BC291"/>
    <mergeCell ref="BD291:BI291"/>
    <mergeCell ref="BJ291:BO291"/>
    <mergeCell ref="BP291:BU291"/>
    <mergeCell ref="BV291:CA291"/>
    <mergeCell ref="CB291:CG291"/>
    <mergeCell ref="CH291:CM291"/>
    <mergeCell ref="CN291:CS291"/>
    <mergeCell ref="CT291:CY291"/>
    <mergeCell ref="B292:M292"/>
    <mergeCell ref="N292:S292"/>
    <mergeCell ref="T292:Y292"/>
    <mergeCell ref="Z292:AE292"/>
    <mergeCell ref="AF292:AK292"/>
    <mergeCell ref="AL292:AQ292"/>
    <mergeCell ref="AR292:AW292"/>
    <mergeCell ref="AX292:BC292"/>
    <mergeCell ref="BD292:BI292"/>
    <mergeCell ref="BJ292:BO292"/>
    <mergeCell ref="BP292:BU292"/>
    <mergeCell ref="BV292:CA292"/>
    <mergeCell ref="CB292:CG292"/>
    <mergeCell ref="CH292:CM292"/>
    <mergeCell ref="CN292:CS292"/>
    <mergeCell ref="CT292:CY292"/>
    <mergeCell ref="B293:M293"/>
    <mergeCell ref="N293:S293"/>
    <mergeCell ref="T293:Y293"/>
    <mergeCell ref="Z293:AE293"/>
    <mergeCell ref="AF293:AK293"/>
    <mergeCell ref="AL293:AQ293"/>
    <mergeCell ref="AR293:AW293"/>
    <mergeCell ref="AX293:BC293"/>
    <mergeCell ref="BD293:BI293"/>
    <mergeCell ref="BJ293:BO293"/>
    <mergeCell ref="BP293:BU293"/>
    <mergeCell ref="BV293:CA293"/>
    <mergeCell ref="CB293:CG293"/>
    <mergeCell ref="CH293:CM293"/>
    <mergeCell ref="CN293:CS293"/>
    <mergeCell ref="CT293:CY293"/>
    <mergeCell ref="B294:M294"/>
    <mergeCell ref="N294:S294"/>
    <mergeCell ref="T294:Y294"/>
    <mergeCell ref="Z294:AE294"/>
    <mergeCell ref="AF294:AK294"/>
    <mergeCell ref="AL294:AQ294"/>
    <mergeCell ref="AR294:AW294"/>
    <mergeCell ref="AX294:BC294"/>
    <mergeCell ref="BD294:BI294"/>
    <mergeCell ref="BJ294:BO294"/>
    <mergeCell ref="BP294:BU294"/>
    <mergeCell ref="BV294:CA294"/>
    <mergeCell ref="CB294:CG294"/>
    <mergeCell ref="CH294:CM294"/>
    <mergeCell ref="CN294:CS294"/>
    <mergeCell ref="CT294:CY294"/>
    <mergeCell ref="B295:M295"/>
    <mergeCell ref="N295:S295"/>
    <mergeCell ref="T295:Y295"/>
    <mergeCell ref="Z295:AE295"/>
    <mergeCell ref="AF295:AK295"/>
    <mergeCell ref="AL295:AQ295"/>
    <mergeCell ref="AR295:AW295"/>
    <mergeCell ref="AX295:BC295"/>
    <mergeCell ref="BD295:BI295"/>
    <mergeCell ref="BJ295:BO295"/>
    <mergeCell ref="BP295:BU295"/>
    <mergeCell ref="BV295:CA295"/>
    <mergeCell ref="CB295:CG295"/>
    <mergeCell ref="CH295:CM295"/>
    <mergeCell ref="CN295:CS295"/>
    <mergeCell ref="CT295:CY295"/>
    <mergeCell ref="B296:M296"/>
    <mergeCell ref="N296:S296"/>
    <mergeCell ref="T296:Y296"/>
    <mergeCell ref="Z296:AE296"/>
    <mergeCell ref="AF296:AK296"/>
    <mergeCell ref="AL296:AQ296"/>
    <mergeCell ref="AR296:AW296"/>
    <mergeCell ref="AX296:BC296"/>
    <mergeCell ref="BD296:BI296"/>
    <mergeCell ref="BJ296:BO296"/>
    <mergeCell ref="BP296:BU296"/>
    <mergeCell ref="BV296:CA296"/>
    <mergeCell ref="CB296:CG296"/>
    <mergeCell ref="CH296:CM296"/>
    <mergeCell ref="CN296:CS296"/>
    <mergeCell ref="CT296:CY296"/>
    <mergeCell ref="B297:M297"/>
    <mergeCell ref="N297:S297"/>
    <mergeCell ref="T297:Y297"/>
    <mergeCell ref="Z297:AE297"/>
    <mergeCell ref="AF297:AK297"/>
    <mergeCell ref="AL297:AQ297"/>
    <mergeCell ref="AR297:AW297"/>
    <mergeCell ref="AX297:BC297"/>
    <mergeCell ref="BD297:BI297"/>
    <mergeCell ref="BJ297:BO297"/>
    <mergeCell ref="BP297:BU297"/>
    <mergeCell ref="BV297:CA297"/>
    <mergeCell ref="CB297:CG297"/>
    <mergeCell ref="CH297:CM297"/>
    <mergeCell ref="CN297:CS297"/>
    <mergeCell ref="CT297:CY297"/>
    <mergeCell ref="B298:M298"/>
    <mergeCell ref="N298:S298"/>
    <mergeCell ref="T298:Y298"/>
    <mergeCell ref="Z298:AE298"/>
    <mergeCell ref="AF298:AK298"/>
    <mergeCell ref="AL298:AQ298"/>
    <mergeCell ref="AR298:AW298"/>
    <mergeCell ref="AX298:BC298"/>
    <mergeCell ref="BD298:BI298"/>
    <mergeCell ref="BJ298:BO298"/>
    <mergeCell ref="BP298:BU298"/>
    <mergeCell ref="BV298:CA298"/>
    <mergeCell ref="CB298:CG298"/>
    <mergeCell ref="CH298:CM298"/>
    <mergeCell ref="CN298:CS298"/>
    <mergeCell ref="CT298:CY298"/>
    <mergeCell ref="B299:M299"/>
    <mergeCell ref="N299:S299"/>
    <mergeCell ref="T299:Y299"/>
    <mergeCell ref="Z299:AE299"/>
    <mergeCell ref="AF299:AK299"/>
    <mergeCell ref="AL299:AQ299"/>
    <mergeCell ref="AR299:AW299"/>
    <mergeCell ref="AX299:BC299"/>
    <mergeCell ref="BD299:BI299"/>
    <mergeCell ref="BJ299:BO299"/>
    <mergeCell ref="BP299:BU299"/>
    <mergeCell ref="BV299:CA299"/>
    <mergeCell ref="CB299:CG299"/>
    <mergeCell ref="CH299:CM299"/>
    <mergeCell ref="CN299:CS299"/>
    <mergeCell ref="CT299:CY299"/>
    <mergeCell ref="B300:M300"/>
    <mergeCell ref="N300:S300"/>
    <mergeCell ref="T300:Y300"/>
    <mergeCell ref="Z300:AE300"/>
    <mergeCell ref="AF300:AK300"/>
    <mergeCell ref="AL300:AQ300"/>
    <mergeCell ref="AR300:AW300"/>
    <mergeCell ref="AX300:BC300"/>
    <mergeCell ref="BD300:BI300"/>
    <mergeCell ref="BJ300:BO300"/>
    <mergeCell ref="BP300:BU300"/>
    <mergeCell ref="BV300:CA300"/>
    <mergeCell ref="CB300:CG300"/>
    <mergeCell ref="CH300:CM300"/>
    <mergeCell ref="CN300:CS300"/>
    <mergeCell ref="CT300:CY300"/>
    <mergeCell ref="B301:M301"/>
    <mergeCell ref="N301:S301"/>
    <mergeCell ref="T301:Y301"/>
    <mergeCell ref="Z301:AE301"/>
    <mergeCell ref="AF301:AK301"/>
    <mergeCell ref="AL301:AQ301"/>
    <mergeCell ref="AR301:AW301"/>
    <mergeCell ref="AX301:BC301"/>
    <mergeCell ref="BD301:BI301"/>
    <mergeCell ref="BJ301:BO301"/>
    <mergeCell ref="BP301:BU301"/>
    <mergeCell ref="BV301:CA301"/>
    <mergeCell ref="CB301:CG301"/>
    <mergeCell ref="CH301:CM301"/>
    <mergeCell ref="CN301:CS301"/>
    <mergeCell ref="CT301:CY301"/>
    <mergeCell ref="B302:M302"/>
    <mergeCell ref="N302:S302"/>
    <mergeCell ref="T302:Y302"/>
    <mergeCell ref="Z302:AE302"/>
    <mergeCell ref="AF302:AK302"/>
    <mergeCell ref="AL302:AQ302"/>
    <mergeCell ref="AR302:AW302"/>
    <mergeCell ref="AX302:BC302"/>
    <mergeCell ref="BD302:BI302"/>
    <mergeCell ref="BJ302:BO302"/>
    <mergeCell ref="BP302:BU302"/>
    <mergeCell ref="BV302:CA302"/>
    <mergeCell ref="CB302:CG302"/>
    <mergeCell ref="CH302:CM302"/>
    <mergeCell ref="CN302:CS302"/>
    <mergeCell ref="CT302:CY302"/>
    <mergeCell ref="B303:M303"/>
    <mergeCell ref="N303:S303"/>
    <mergeCell ref="T303:Y303"/>
    <mergeCell ref="Z303:AE303"/>
    <mergeCell ref="AF303:AK303"/>
    <mergeCell ref="AL303:AQ303"/>
    <mergeCell ref="AR303:AW303"/>
    <mergeCell ref="AX303:BC303"/>
    <mergeCell ref="BD303:BI303"/>
    <mergeCell ref="BJ303:BO303"/>
    <mergeCell ref="BP303:BU303"/>
    <mergeCell ref="BV303:CA303"/>
    <mergeCell ref="CB303:CG303"/>
    <mergeCell ref="CH303:CM303"/>
    <mergeCell ref="CN303:CS303"/>
    <mergeCell ref="CT303:CY303"/>
    <mergeCell ref="B304:M304"/>
    <mergeCell ref="N304:S304"/>
    <mergeCell ref="T304:Y304"/>
    <mergeCell ref="Z304:AE304"/>
    <mergeCell ref="AF304:AK304"/>
    <mergeCell ref="AL304:AQ304"/>
    <mergeCell ref="AR304:AW304"/>
    <mergeCell ref="AX304:BC304"/>
    <mergeCell ref="BD304:BI304"/>
    <mergeCell ref="BJ304:BO304"/>
    <mergeCell ref="BP304:BU304"/>
    <mergeCell ref="BV304:CA304"/>
    <mergeCell ref="CB304:CG304"/>
    <mergeCell ref="CH304:CM304"/>
    <mergeCell ref="CN304:CS304"/>
    <mergeCell ref="CT304:CY304"/>
    <mergeCell ref="B305:M305"/>
    <mergeCell ref="N305:S305"/>
    <mergeCell ref="T305:Y305"/>
    <mergeCell ref="Z305:AE305"/>
    <mergeCell ref="AF305:AK305"/>
    <mergeCell ref="AL305:AQ305"/>
    <mergeCell ref="AR305:AW305"/>
    <mergeCell ref="AX305:BC305"/>
    <mergeCell ref="BD305:BI305"/>
    <mergeCell ref="BJ305:BO305"/>
    <mergeCell ref="BP305:BU305"/>
    <mergeCell ref="BV305:CA305"/>
    <mergeCell ref="CB305:CG305"/>
    <mergeCell ref="CH305:CM305"/>
    <mergeCell ref="CN305:CS305"/>
    <mergeCell ref="CT305:CY305"/>
    <mergeCell ref="B306:M306"/>
    <mergeCell ref="N306:S306"/>
    <mergeCell ref="T306:Y306"/>
    <mergeCell ref="Z306:AE306"/>
    <mergeCell ref="AF306:AK306"/>
    <mergeCell ref="AL306:AQ306"/>
    <mergeCell ref="AR306:AW306"/>
    <mergeCell ref="AX306:BC306"/>
    <mergeCell ref="BD306:BI306"/>
    <mergeCell ref="BJ306:BO306"/>
    <mergeCell ref="BP306:BU306"/>
    <mergeCell ref="BV306:CA306"/>
    <mergeCell ref="CB306:CG306"/>
    <mergeCell ref="CH306:CM306"/>
    <mergeCell ref="CN306:CS306"/>
    <mergeCell ref="CT306:CY306"/>
    <mergeCell ref="B307:M307"/>
    <mergeCell ref="N307:S307"/>
    <mergeCell ref="T307:Y307"/>
    <mergeCell ref="Z307:AE307"/>
    <mergeCell ref="AF307:AK307"/>
    <mergeCell ref="AL307:AQ307"/>
    <mergeCell ref="AR307:AW307"/>
    <mergeCell ref="AX307:BC307"/>
    <mergeCell ref="BD307:BI307"/>
    <mergeCell ref="BJ307:BO307"/>
    <mergeCell ref="BP307:BU307"/>
    <mergeCell ref="BV307:CA307"/>
    <mergeCell ref="CB307:CG307"/>
    <mergeCell ref="CH307:CM307"/>
    <mergeCell ref="CN307:CS307"/>
    <mergeCell ref="CT307:CY307"/>
    <mergeCell ref="B308:M308"/>
    <mergeCell ref="N308:S308"/>
    <mergeCell ref="T308:Y308"/>
    <mergeCell ref="Z308:AE308"/>
    <mergeCell ref="AF308:AK308"/>
    <mergeCell ref="AL308:AQ308"/>
    <mergeCell ref="AR308:AW308"/>
    <mergeCell ref="AX308:BC308"/>
    <mergeCell ref="BD308:BI308"/>
    <mergeCell ref="BJ308:BO308"/>
    <mergeCell ref="BP308:BU308"/>
    <mergeCell ref="BV308:CA308"/>
    <mergeCell ref="CB308:CG308"/>
    <mergeCell ref="CH308:CM308"/>
    <mergeCell ref="CN308:CS308"/>
    <mergeCell ref="CT308:CY308"/>
    <mergeCell ref="B309:M309"/>
    <mergeCell ref="N309:S309"/>
    <mergeCell ref="T309:Y309"/>
    <mergeCell ref="Z309:AE309"/>
    <mergeCell ref="AF309:AK309"/>
    <mergeCell ref="AL309:AQ309"/>
    <mergeCell ref="AR309:AW309"/>
    <mergeCell ref="AX309:BC309"/>
    <mergeCell ref="BD309:BI309"/>
    <mergeCell ref="BJ309:BO309"/>
    <mergeCell ref="BP309:BU309"/>
    <mergeCell ref="BV309:CA309"/>
    <mergeCell ref="CB309:CG309"/>
    <mergeCell ref="CH309:CM309"/>
    <mergeCell ref="CN309:CS309"/>
    <mergeCell ref="CT309:CY309"/>
    <mergeCell ref="B310:M310"/>
    <mergeCell ref="N310:S310"/>
    <mergeCell ref="T310:Y310"/>
    <mergeCell ref="Z310:AE310"/>
    <mergeCell ref="AF310:AK310"/>
    <mergeCell ref="AL310:AQ310"/>
    <mergeCell ref="AR310:AW310"/>
    <mergeCell ref="AX310:BC310"/>
    <mergeCell ref="BD310:BI310"/>
    <mergeCell ref="BJ310:BO310"/>
    <mergeCell ref="BP310:BU310"/>
    <mergeCell ref="BV310:CA310"/>
    <mergeCell ref="CB310:CG310"/>
    <mergeCell ref="CH310:CM310"/>
    <mergeCell ref="CN310:CS310"/>
    <mergeCell ref="CT310:CY310"/>
    <mergeCell ref="B311:M311"/>
    <mergeCell ref="N311:S311"/>
    <mergeCell ref="T311:Y311"/>
    <mergeCell ref="Z311:AE311"/>
    <mergeCell ref="AF311:AK311"/>
    <mergeCell ref="AL311:AQ311"/>
    <mergeCell ref="AR311:AW311"/>
    <mergeCell ref="AX311:BC311"/>
    <mergeCell ref="BD311:BI311"/>
    <mergeCell ref="BJ311:BO311"/>
    <mergeCell ref="BP311:BU311"/>
    <mergeCell ref="BV311:CA311"/>
    <mergeCell ref="CB311:CG311"/>
    <mergeCell ref="CH311:CM311"/>
    <mergeCell ref="CN311:CS311"/>
    <mergeCell ref="CT311:CY311"/>
    <mergeCell ref="B312:M312"/>
    <mergeCell ref="N312:S312"/>
    <mergeCell ref="T312:Y312"/>
    <mergeCell ref="Z312:AE312"/>
    <mergeCell ref="AF312:AK312"/>
    <mergeCell ref="AL312:AQ312"/>
    <mergeCell ref="AR312:AW312"/>
    <mergeCell ref="AX312:BC312"/>
    <mergeCell ref="BD312:BI312"/>
    <mergeCell ref="BJ312:BO312"/>
    <mergeCell ref="BP312:BU312"/>
    <mergeCell ref="BV312:CA312"/>
    <mergeCell ref="CB312:CG312"/>
    <mergeCell ref="CH312:CM312"/>
    <mergeCell ref="CN312:CS312"/>
    <mergeCell ref="CT312:CY312"/>
    <mergeCell ref="B313:M313"/>
    <mergeCell ref="N313:S313"/>
    <mergeCell ref="T313:Y313"/>
    <mergeCell ref="Z313:AE313"/>
    <mergeCell ref="AF313:AK313"/>
    <mergeCell ref="AL313:AQ313"/>
    <mergeCell ref="AR313:AW313"/>
    <mergeCell ref="AX313:BC313"/>
    <mergeCell ref="BD313:BI313"/>
    <mergeCell ref="BJ313:BO313"/>
    <mergeCell ref="BP313:BU313"/>
    <mergeCell ref="BV313:CA313"/>
    <mergeCell ref="CB313:CG313"/>
    <mergeCell ref="CH313:CM313"/>
    <mergeCell ref="CN313:CS313"/>
    <mergeCell ref="CT313:CY313"/>
    <mergeCell ref="B314:M314"/>
    <mergeCell ref="N314:S314"/>
    <mergeCell ref="T314:Y314"/>
    <mergeCell ref="Z314:AE314"/>
    <mergeCell ref="AF314:AK314"/>
    <mergeCell ref="AL314:AQ314"/>
    <mergeCell ref="AR314:AW314"/>
    <mergeCell ref="AX314:BC314"/>
    <mergeCell ref="BD314:BI314"/>
    <mergeCell ref="BJ314:BO314"/>
    <mergeCell ref="BP314:BU314"/>
    <mergeCell ref="BV314:CA314"/>
    <mergeCell ref="CB314:CG314"/>
    <mergeCell ref="CH314:CM314"/>
    <mergeCell ref="CN314:CS314"/>
    <mergeCell ref="CT314:CY314"/>
    <mergeCell ref="B316:DW316"/>
    <mergeCell ref="B317:M317"/>
    <mergeCell ref="N317:S317"/>
    <mergeCell ref="T317:Y317"/>
    <mergeCell ref="Z317:AE317"/>
    <mergeCell ref="AF317:AK317"/>
    <mergeCell ref="AL317:AQ317"/>
    <mergeCell ref="AR317:AW317"/>
    <mergeCell ref="AX317:BC317"/>
    <mergeCell ref="BD317:BI317"/>
    <mergeCell ref="BJ317:BO317"/>
    <mergeCell ref="BP317:BU317"/>
    <mergeCell ref="BV317:CA317"/>
    <mergeCell ref="CB317:CG317"/>
    <mergeCell ref="CH317:CM317"/>
    <mergeCell ref="CN317:CS317"/>
    <mergeCell ref="CT317:CY317"/>
    <mergeCell ref="CZ317:DE317"/>
    <mergeCell ref="DF317:DK317"/>
    <mergeCell ref="DL317:DQ317"/>
    <mergeCell ref="DR317:DW317"/>
    <mergeCell ref="B318:M318"/>
    <mergeCell ref="N318:S318"/>
    <mergeCell ref="T318:Y318"/>
    <mergeCell ref="Z318:AE318"/>
    <mergeCell ref="AF318:AK318"/>
    <mergeCell ref="AL318:AQ318"/>
    <mergeCell ref="AR318:AW318"/>
    <mergeCell ref="AX318:BC318"/>
    <mergeCell ref="BD318:BI318"/>
    <mergeCell ref="BJ318:BO318"/>
    <mergeCell ref="BP318:BU318"/>
    <mergeCell ref="BV318:CA318"/>
    <mergeCell ref="CB318:CG318"/>
    <mergeCell ref="CH318:CM318"/>
    <mergeCell ref="CN318:CS318"/>
    <mergeCell ref="CT318:CY318"/>
    <mergeCell ref="CZ318:DE318"/>
    <mergeCell ref="DF318:DK318"/>
    <mergeCell ref="DL318:DQ318"/>
    <mergeCell ref="DR318:DW318"/>
    <mergeCell ref="B319:M319"/>
    <mergeCell ref="N319:S319"/>
    <mergeCell ref="T319:Y319"/>
    <mergeCell ref="Z319:AE319"/>
    <mergeCell ref="AF319:AK319"/>
    <mergeCell ref="AL319:AQ319"/>
    <mergeCell ref="AR319:AW319"/>
    <mergeCell ref="AX319:BC319"/>
    <mergeCell ref="BD319:BI319"/>
    <mergeCell ref="BJ319:BO319"/>
    <mergeCell ref="BP319:BU319"/>
    <mergeCell ref="BV319:CA319"/>
    <mergeCell ref="CB319:CG319"/>
    <mergeCell ref="CH319:CM319"/>
    <mergeCell ref="CN319:CS319"/>
    <mergeCell ref="CT319:CY319"/>
    <mergeCell ref="CZ319:DE319"/>
    <mergeCell ref="DF319:DK319"/>
    <mergeCell ref="DL319:DQ319"/>
    <mergeCell ref="DR319:DW319"/>
    <mergeCell ref="B320:M320"/>
    <mergeCell ref="N320:S320"/>
    <mergeCell ref="T320:Y320"/>
    <mergeCell ref="Z320:AE320"/>
    <mergeCell ref="AF320:AK320"/>
    <mergeCell ref="AL320:AQ320"/>
    <mergeCell ref="AR320:AW320"/>
    <mergeCell ref="AX320:BC320"/>
    <mergeCell ref="BD320:BI320"/>
    <mergeCell ref="BJ320:BO320"/>
    <mergeCell ref="BP320:BU320"/>
    <mergeCell ref="BV320:CA320"/>
    <mergeCell ref="CB320:CG320"/>
    <mergeCell ref="CH320:CM320"/>
    <mergeCell ref="CN320:CS320"/>
    <mergeCell ref="CT320:CY320"/>
    <mergeCell ref="CZ320:DE320"/>
    <mergeCell ref="DF320:DK320"/>
    <mergeCell ref="DL320:DQ320"/>
    <mergeCell ref="DR320:DW320"/>
    <mergeCell ref="B321:M321"/>
    <mergeCell ref="N321:S321"/>
    <mergeCell ref="T321:Y321"/>
    <mergeCell ref="Z321:AE321"/>
    <mergeCell ref="AF321:AK321"/>
    <mergeCell ref="AL321:AQ321"/>
    <mergeCell ref="AR321:AW321"/>
    <mergeCell ref="AX321:BC321"/>
    <mergeCell ref="BD321:BI321"/>
    <mergeCell ref="BJ321:BO321"/>
    <mergeCell ref="BP321:BU321"/>
    <mergeCell ref="BV321:CA321"/>
    <mergeCell ref="CB321:CG321"/>
    <mergeCell ref="CH321:CM321"/>
    <mergeCell ref="CN321:CS321"/>
    <mergeCell ref="CT321:CY321"/>
    <mergeCell ref="CZ321:DE321"/>
    <mergeCell ref="DF321:DK321"/>
    <mergeCell ref="DL321:DQ321"/>
    <mergeCell ref="DR321:DW321"/>
    <mergeCell ref="B322:M322"/>
    <mergeCell ref="N322:S322"/>
    <mergeCell ref="T322:Y322"/>
    <mergeCell ref="Z322:AE322"/>
    <mergeCell ref="AF322:AK322"/>
    <mergeCell ref="AL322:AQ322"/>
    <mergeCell ref="AR322:AW322"/>
    <mergeCell ref="AX322:BC322"/>
    <mergeCell ref="BD322:BI322"/>
    <mergeCell ref="BJ322:BO322"/>
    <mergeCell ref="BP322:BU322"/>
    <mergeCell ref="BV322:CA322"/>
    <mergeCell ref="CB322:CG322"/>
    <mergeCell ref="CH322:CM322"/>
    <mergeCell ref="CN322:CS322"/>
    <mergeCell ref="CT322:CY322"/>
    <mergeCell ref="CZ322:DE322"/>
    <mergeCell ref="DF322:DK322"/>
    <mergeCell ref="DL322:DQ322"/>
    <mergeCell ref="DR322:DW322"/>
    <mergeCell ref="B323:M323"/>
    <mergeCell ref="N323:S323"/>
    <mergeCell ref="T323:Y323"/>
    <mergeCell ref="Z323:AE323"/>
    <mergeCell ref="AF323:AK323"/>
    <mergeCell ref="AL323:AQ323"/>
    <mergeCell ref="AR323:AW323"/>
    <mergeCell ref="AX323:BC323"/>
    <mergeCell ref="BD323:BI323"/>
    <mergeCell ref="BJ323:BO323"/>
    <mergeCell ref="BP323:BU323"/>
    <mergeCell ref="BV323:CA323"/>
    <mergeCell ref="CB323:CG323"/>
    <mergeCell ref="CH323:CM323"/>
    <mergeCell ref="CN323:CS323"/>
    <mergeCell ref="CT323:CY323"/>
    <mergeCell ref="CZ323:DE323"/>
    <mergeCell ref="DF323:DK323"/>
    <mergeCell ref="DL323:DQ323"/>
    <mergeCell ref="DR323:DW323"/>
    <mergeCell ref="B324:M324"/>
    <mergeCell ref="N324:S324"/>
    <mergeCell ref="T324:Y324"/>
    <mergeCell ref="Z324:AE324"/>
    <mergeCell ref="AF324:AK324"/>
    <mergeCell ref="AL324:AQ324"/>
    <mergeCell ref="AR324:AW324"/>
    <mergeCell ref="AX324:BC324"/>
    <mergeCell ref="BD324:BI324"/>
    <mergeCell ref="BJ324:BO324"/>
    <mergeCell ref="BP324:BU324"/>
    <mergeCell ref="BV324:CA324"/>
    <mergeCell ref="CB324:CG324"/>
    <mergeCell ref="CH324:CM324"/>
    <mergeCell ref="CN324:CS324"/>
    <mergeCell ref="CT324:CY324"/>
    <mergeCell ref="CZ324:DE324"/>
    <mergeCell ref="DF324:DK324"/>
    <mergeCell ref="DL324:DQ324"/>
    <mergeCell ref="DR324:DW324"/>
    <mergeCell ref="B325:M325"/>
    <mergeCell ref="N325:S325"/>
    <mergeCell ref="T325:Y325"/>
    <mergeCell ref="Z325:AE325"/>
    <mergeCell ref="AF325:AK325"/>
    <mergeCell ref="AL325:AQ325"/>
    <mergeCell ref="AR325:AW325"/>
    <mergeCell ref="AX325:BC325"/>
    <mergeCell ref="BD325:BI325"/>
    <mergeCell ref="BJ325:BO325"/>
    <mergeCell ref="BP325:BU325"/>
    <mergeCell ref="BV325:CA325"/>
    <mergeCell ref="CB325:CG325"/>
    <mergeCell ref="CH325:CM325"/>
    <mergeCell ref="CN325:CS325"/>
    <mergeCell ref="CT325:CY325"/>
    <mergeCell ref="CZ325:DE325"/>
    <mergeCell ref="DF325:DK325"/>
    <mergeCell ref="DL325:DQ325"/>
    <mergeCell ref="DR325:DW325"/>
    <mergeCell ref="B326:M326"/>
    <mergeCell ref="N326:S326"/>
    <mergeCell ref="T326:Y326"/>
    <mergeCell ref="Z326:AE326"/>
    <mergeCell ref="AF326:AK326"/>
    <mergeCell ref="AL326:AQ326"/>
    <mergeCell ref="AR326:AW326"/>
    <mergeCell ref="AX326:BC326"/>
    <mergeCell ref="BD326:BI326"/>
    <mergeCell ref="BJ326:BO326"/>
    <mergeCell ref="BP326:BU326"/>
    <mergeCell ref="BV326:CA326"/>
    <mergeCell ref="CB326:CG326"/>
    <mergeCell ref="CH326:CM326"/>
    <mergeCell ref="CN326:CS326"/>
    <mergeCell ref="CT326:CY326"/>
    <mergeCell ref="CZ326:DE326"/>
    <mergeCell ref="DF326:DK326"/>
    <mergeCell ref="DL326:DQ326"/>
    <mergeCell ref="DR326:DW326"/>
    <mergeCell ref="B327:M327"/>
    <mergeCell ref="N327:S327"/>
    <mergeCell ref="T327:Y327"/>
    <mergeCell ref="Z327:AE327"/>
    <mergeCell ref="AF327:AK327"/>
    <mergeCell ref="AL327:AQ327"/>
    <mergeCell ref="AR327:AW327"/>
    <mergeCell ref="AX327:BC327"/>
    <mergeCell ref="BD327:BI327"/>
    <mergeCell ref="BJ327:BO327"/>
    <mergeCell ref="BP327:BU327"/>
    <mergeCell ref="BV327:CA327"/>
    <mergeCell ref="CB327:CG327"/>
    <mergeCell ref="CH327:CM327"/>
    <mergeCell ref="CN327:CS327"/>
    <mergeCell ref="CT327:CY327"/>
    <mergeCell ref="CZ327:DE327"/>
    <mergeCell ref="DF327:DK327"/>
    <mergeCell ref="DL327:DQ327"/>
    <mergeCell ref="DR327:DW327"/>
    <mergeCell ref="B328:M328"/>
    <mergeCell ref="N328:S328"/>
    <mergeCell ref="T328:Y328"/>
    <mergeCell ref="Z328:AE328"/>
    <mergeCell ref="AF328:AK328"/>
    <mergeCell ref="AL328:AQ328"/>
    <mergeCell ref="AR328:AW328"/>
    <mergeCell ref="AX328:BC328"/>
    <mergeCell ref="BD328:BI328"/>
    <mergeCell ref="BJ328:BO328"/>
    <mergeCell ref="BP328:BU328"/>
    <mergeCell ref="BV328:CA328"/>
    <mergeCell ref="CB328:CG328"/>
    <mergeCell ref="CH328:CM328"/>
    <mergeCell ref="CN328:CS328"/>
    <mergeCell ref="CT328:CY328"/>
    <mergeCell ref="CZ328:DE328"/>
    <mergeCell ref="DF328:DK328"/>
    <mergeCell ref="DL328:DQ328"/>
    <mergeCell ref="DR328:DW328"/>
    <mergeCell ref="B329:M329"/>
    <mergeCell ref="N329:S329"/>
    <mergeCell ref="T329:Y329"/>
    <mergeCell ref="Z329:AE329"/>
    <mergeCell ref="AF329:AK329"/>
    <mergeCell ref="AL329:AQ329"/>
    <mergeCell ref="AR329:AW329"/>
    <mergeCell ref="AX329:BC329"/>
    <mergeCell ref="BD329:BI329"/>
    <mergeCell ref="BJ329:BO329"/>
    <mergeCell ref="BP329:BU329"/>
    <mergeCell ref="BV329:CA329"/>
    <mergeCell ref="CB329:CG329"/>
    <mergeCell ref="CH329:CM329"/>
    <mergeCell ref="CN329:CS329"/>
    <mergeCell ref="CT329:CY329"/>
    <mergeCell ref="CZ329:DE329"/>
    <mergeCell ref="DF329:DK329"/>
    <mergeCell ref="DL329:DQ329"/>
    <mergeCell ref="DR329:DW329"/>
    <mergeCell ref="B330:M330"/>
    <mergeCell ref="N330:S330"/>
    <mergeCell ref="T330:Y330"/>
    <mergeCell ref="Z330:AE330"/>
    <mergeCell ref="AF330:AK330"/>
    <mergeCell ref="AL330:AQ330"/>
    <mergeCell ref="AR330:AW330"/>
    <mergeCell ref="AX330:BC330"/>
    <mergeCell ref="BD330:BI330"/>
    <mergeCell ref="BJ330:BO330"/>
    <mergeCell ref="BP330:BU330"/>
    <mergeCell ref="BV330:CA330"/>
    <mergeCell ref="CB330:CG330"/>
    <mergeCell ref="CH330:CM330"/>
    <mergeCell ref="CN330:CS330"/>
    <mergeCell ref="CT330:CY330"/>
    <mergeCell ref="CZ330:DE330"/>
    <mergeCell ref="DF330:DK330"/>
    <mergeCell ref="DL330:DQ330"/>
    <mergeCell ref="DR330:DW330"/>
    <mergeCell ref="B331:M331"/>
    <mergeCell ref="N331:S331"/>
    <mergeCell ref="T331:Y331"/>
    <mergeCell ref="Z331:AE331"/>
    <mergeCell ref="AF331:AK331"/>
    <mergeCell ref="AL331:AQ331"/>
    <mergeCell ref="AR331:AW331"/>
    <mergeCell ref="AX331:BC331"/>
    <mergeCell ref="BD331:BI331"/>
    <mergeCell ref="BJ331:BO331"/>
    <mergeCell ref="BP331:BU331"/>
    <mergeCell ref="BV331:CA331"/>
    <mergeCell ref="CB331:CG331"/>
    <mergeCell ref="CH331:CM331"/>
    <mergeCell ref="CN331:CS331"/>
    <mergeCell ref="CT331:CY331"/>
    <mergeCell ref="CZ331:DE331"/>
    <mergeCell ref="DF331:DK331"/>
    <mergeCell ref="DL331:DQ331"/>
    <mergeCell ref="DR331:DW331"/>
    <mergeCell ref="B333:Y333"/>
    <mergeCell ref="B334:M334"/>
    <mergeCell ref="N334:S334"/>
    <mergeCell ref="T334:Y334"/>
    <mergeCell ref="B335:M335"/>
    <mergeCell ref="N335:S335"/>
    <mergeCell ref="T335:Y335"/>
    <mergeCell ref="B336:M336"/>
    <mergeCell ref="N336:S336"/>
    <mergeCell ref="T336:Y336"/>
    <mergeCell ref="B337:M337"/>
    <mergeCell ref="N337:S337"/>
    <mergeCell ref="T337:Y337"/>
    <mergeCell ref="B338:M338"/>
    <mergeCell ref="N338:S338"/>
    <mergeCell ref="T338:Y338"/>
    <mergeCell ref="B339:M339"/>
    <mergeCell ref="N339:S339"/>
    <mergeCell ref="T339:Y339"/>
    <mergeCell ref="B340:M340"/>
    <mergeCell ref="N340:S340"/>
    <mergeCell ref="T340:Y340"/>
    <mergeCell ref="B341:M341"/>
    <mergeCell ref="N341:S341"/>
    <mergeCell ref="T341:Y341"/>
    <mergeCell ref="B342:M342"/>
    <mergeCell ref="N342:S342"/>
    <mergeCell ref="T342:Y342"/>
    <mergeCell ref="B343:M343"/>
    <mergeCell ref="N343:S343"/>
    <mergeCell ref="T343:Y343"/>
    <mergeCell ref="B344:M344"/>
    <mergeCell ref="N344:S344"/>
    <mergeCell ref="T344:Y344"/>
    <mergeCell ref="B345:M345"/>
    <mergeCell ref="N345:S345"/>
    <mergeCell ref="T345:Y345"/>
    <mergeCell ref="B347:BO347"/>
    <mergeCell ref="B348:M348"/>
    <mergeCell ref="N348:S348"/>
    <mergeCell ref="T348:Y348"/>
    <mergeCell ref="Z348:AE348"/>
    <mergeCell ref="AF348:AK348"/>
    <mergeCell ref="AL348:AQ348"/>
    <mergeCell ref="AR348:AW348"/>
    <mergeCell ref="AX348:BC348"/>
    <mergeCell ref="BD348:BI348"/>
    <mergeCell ref="BJ348:BO348"/>
    <mergeCell ref="B349:M349"/>
    <mergeCell ref="N349:S349"/>
    <mergeCell ref="T349:Y349"/>
    <mergeCell ref="Z349:AE349"/>
    <mergeCell ref="AF349:AK349"/>
    <mergeCell ref="AL349:AQ349"/>
    <mergeCell ref="AR349:AW349"/>
    <mergeCell ref="AX349:BC349"/>
    <mergeCell ref="BD349:BI349"/>
    <mergeCell ref="BJ349:BO349"/>
    <mergeCell ref="B350:M350"/>
    <mergeCell ref="N350:S350"/>
    <mergeCell ref="T350:Y350"/>
    <mergeCell ref="Z350:AE350"/>
    <mergeCell ref="AF350:AK350"/>
    <mergeCell ref="AL350:AQ350"/>
    <mergeCell ref="AR350:AW350"/>
    <mergeCell ref="AX350:BC350"/>
    <mergeCell ref="BD350:BI350"/>
    <mergeCell ref="BJ350:BO350"/>
    <mergeCell ref="B351:M351"/>
    <mergeCell ref="N351:S351"/>
    <mergeCell ref="T351:Y351"/>
    <mergeCell ref="Z351:AE351"/>
    <mergeCell ref="AF351:AK351"/>
    <mergeCell ref="AL351:AQ351"/>
    <mergeCell ref="AR351:AW351"/>
    <mergeCell ref="AX351:BC351"/>
    <mergeCell ref="BD351:BI351"/>
    <mergeCell ref="BJ351:BO351"/>
    <mergeCell ref="B352:M352"/>
    <mergeCell ref="N352:S352"/>
    <mergeCell ref="T352:Y352"/>
    <mergeCell ref="Z352:AE352"/>
    <mergeCell ref="AF352:AK352"/>
    <mergeCell ref="AL352:AQ352"/>
    <mergeCell ref="AR352:AW352"/>
    <mergeCell ref="AX352:BC352"/>
    <mergeCell ref="BD352:BI352"/>
    <mergeCell ref="BJ352:BO352"/>
    <mergeCell ref="B353:M353"/>
    <mergeCell ref="N353:S353"/>
    <mergeCell ref="T353:Y353"/>
    <mergeCell ref="Z353:AE353"/>
    <mergeCell ref="AF353:AK353"/>
    <mergeCell ref="AL353:AQ353"/>
    <mergeCell ref="AR353:AW353"/>
    <mergeCell ref="AX353:BC353"/>
    <mergeCell ref="BD353:BI353"/>
    <mergeCell ref="BJ353:BO353"/>
    <mergeCell ref="B354:M354"/>
    <mergeCell ref="N354:S354"/>
    <mergeCell ref="T354:Y354"/>
    <mergeCell ref="Z354:AE354"/>
    <mergeCell ref="AF354:AK354"/>
    <mergeCell ref="AL354:AQ354"/>
    <mergeCell ref="AR354:AW354"/>
    <mergeCell ref="AX354:BC354"/>
    <mergeCell ref="BD354:BI354"/>
    <mergeCell ref="BJ354:BO354"/>
    <mergeCell ref="B355:M355"/>
    <mergeCell ref="N355:S355"/>
    <mergeCell ref="T355:Y355"/>
    <mergeCell ref="Z355:AE355"/>
    <mergeCell ref="AF355:AK355"/>
    <mergeCell ref="AL355:AQ355"/>
    <mergeCell ref="AR355:AW355"/>
    <mergeCell ref="AX355:BC355"/>
    <mergeCell ref="BD355:BI355"/>
    <mergeCell ref="BJ355:BO355"/>
    <mergeCell ref="B356:M356"/>
    <mergeCell ref="N356:S356"/>
    <mergeCell ref="T356:Y356"/>
    <mergeCell ref="Z356:AE356"/>
    <mergeCell ref="AF356:AK356"/>
    <mergeCell ref="AL356:AQ356"/>
    <mergeCell ref="AR356:AW356"/>
    <mergeCell ref="AX356:BC356"/>
    <mergeCell ref="BD356:BI356"/>
    <mergeCell ref="BJ356:BO356"/>
    <mergeCell ref="B357:M357"/>
    <mergeCell ref="N357:S357"/>
    <mergeCell ref="T357:Y357"/>
    <mergeCell ref="Z357:AE357"/>
    <mergeCell ref="AF357:AK357"/>
    <mergeCell ref="AL357:AQ357"/>
    <mergeCell ref="AR357:AW357"/>
    <mergeCell ref="AX357:BC357"/>
    <mergeCell ref="BD357:BI357"/>
    <mergeCell ref="BJ357:BO357"/>
    <mergeCell ref="B358:M358"/>
    <mergeCell ref="N358:S358"/>
    <mergeCell ref="T358:Y358"/>
    <mergeCell ref="Z358:AE358"/>
    <mergeCell ref="AF358:AK358"/>
    <mergeCell ref="AL358:AQ358"/>
    <mergeCell ref="AR358:AW358"/>
    <mergeCell ref="AX358:BC358"/>
    <mergeCell ref="BD358:BI358"/>
    <mergeCell ref="BJ358:BO358"/>
    <mergeCell ref="B359:M359"/>
    <mergeCell ref="N359:S359"/>
    <mergeCell ref="T359:Y359"/>
    <mergeCell ref="Z359:AE359"/>
    <mergeCell ref="AF359:AK359"/>
    <mergeCell ref="AL359:AQ359"/>
    <mergeCell ref="AR359:AW359"/>
    <mergeCell ref="AX359:BC359"/>
    <mergeCell ref="BD359:BI359"/>
    <mergeCell ref="BJ359:BO359"/>
    <mergeCell ref="B360:M360"/>
    <mergeCell ref="N360:S360"/>
    <mergeCell ref="T360:Y360"/>
    <mergeCell ref="Z360:AE360"/>
    <mergeCell ref="AF360:AK360"/>
    <mergeCell ref="AL360:AQ360"/>
    <mergeCell ref="AR360:AW360"/>
    <mergeCell ref="AX360:BC360"/>
    <mergeCell ref="BD360:BI360"/>
    <mergeCell ref="BJ360:BO360"/>
    <mergeCell ref="B361:M361"/>
    <mergeCell ref="N361:S361"/>
    <mergeCell ref="T361:Y361"/>
    <mergeCell ref="Z361:AE361"/>
    <mergeCell ref="AF361:AK361"/>
    <mergeCell ref="AL361:AQ361"/>
    <mergeCell ref="AR361:AW361"/>
    <mergeCell ref="AX361:BC361"/>
    <mergeCell ref="BD361:BI361"/>
    <mergeCell ref="BJ361:BO361"/>
    <mergeCell ref="B362:M362"/>
    <mergeCell ref="N362:S362"/>
    <mergeCell ref="T362:Y362"/>
    <mergeCell ref="Z362:AE362"/>
    <mergeCell ref="AF362:AK362"/>
    <mergeCell ref="AL362:AQ362"/>
    <mergeCell ref="AR362:AW362"/>
    <mergeCell ref="AX362:BC362"/>
    <mergeCell ref="BD362:BI362"/>
    <mergeCell ref="BJ362:BO362"/>
    <mergeCell ref="B363:M363"/>
    <mergeCell ref="N363:S363"/>
    <mergeCell ref="T363:Y363"/>
    <mergeCell ref="Z363:AE363"/>
    <mergeCell ref="AF363:AK363"/>
    <mergeCell ref="AL363:AQ363"/>
    <mergeCell ref="AR363:AW363"/>
    <mergeCell ref="AX363:BC363"/>
    <mergeCell ref="BD363:BI363"/>
    <mergeCell ref="BJ363:BO363"/>
    <mergeCell ref="B364:M364"/>
    <mergeCell ref="N364:S364"/>
    <mergeCell ref="T364:Y364"/>
    <mergeCell ref="Z364:AE364"/>
    <mergeCell ref="AF364:AK364"/>
    <mergeCell ref="AL364:AQ364"/>
    <mergeCell ref="AR364:AW364"/>
    <mergeCell ref="AX364:BC364"/>
    <mergeCell ref="BD364:BI364"/>
    <mergeCell ref="BJ364:BO364"/>
    <mergeCell ref="B365:M365"/>
    <mergeCell ref="N365:S365"/>
    <mergeCell ref="T365:Y365"/>
    <mergeCell ref="Z365:AE365"/>
    <mergeCell ref="AF365:AK365"/>
    <mergeCell ref="AL365:AQ365"/>
    <mergeCell ref="AR365:AW365"/>
    <mergeCell ref="AX365:BC365"/>
    <mergeCell ref="BD365:BI365"/>
    <mergeCell ref="BJ365:BO365"/>
    <mergeCell ref="B366:M366"/>
    <mergeCell ref="N366:S366"/>
    <mergeCell ref="T366:Y366"/>
    <mergeCell ref="Z366:AE366"/>
    <mergeCell ref="AF366:AK366"/>
    <mergeCell ref="AL366:AQ366"/>
    <mergeCell ref="AR366:AW366"/>
    <mergeCell ref="AX366:BC366"/>
    <mergeCell ref="BD366:BI366"/>
    <mergeCell ref="BJ366:BO366"/>
    <mergeCell ref="B367:M367"/>
    <mergeCell ref="N367:S367"/>
    <mergeCell ref="T367:Y367"/>
    <mergeCell ref="Z367:AE367"/>
    <mergeCell ref="AF367:AK367"/>
    <mergeCell ref="AL367:AQ367"/>
    <mergeCell ref="AR367:AW367"/>
    <mergeCell ref="AX367:BC367"/>
    <mergeCell ref="BD367:BI367"/>
    <mergeCell ref="BJ367:BO367"/>
    <mergeCell ref="B368:M368"/>
    <mergeCell ref="N368:S368"/>
    <mergeCell ref="T368:Y368"/>
    <mergeCell ref="Z368:AE368"/>
    <mergeCell ref="AF368:AK368"/>
    <mergeCell ref="AL368:AQ368"/>
    <mergeCell ref="AR368:AW368"/>
    <mergeCell ref="AX368:BC368"/>
    <mergeCell ref="BD368:BI368"/>
    <mergeCell ref="BJ368:BO368"/>
    <mergeCell ref="B369:M369"/>
    <mergeCell ref="N369:S369"/>
    <mergeCell ref="T369:Y369"/>
    <mergeCell ref="Z369:AE369"/>
    <mergeCell ref="AF369:AK369"/>
    <mergeCell ref="AL369:AQ369"/>
    <mergeCell ref="AR369:AW369"/>
    <mergeCell ref="AX369:BC369"/>
    <mergeCell ref="BD369:BI369"/>
    <mergeCell ref="BJ369:BO369"/>
    <mergeCell ref="B370:M370"/>
    <mergeCell ref="N370:S370"/>
    <mergeCell ref="T370:Y370"/>
    <mergeCell ref="Z370:AE370"/>
    <mergeCell ref="AF370:AK370"/>
    <mergeCell ref="AL370:AQ370"/>
    <mergeCell ref="AR370:AW370"/>
    <mergeCell ref="AX370:BC370"/>
    <mergeCell ref="BD370:BI370"/>
    <mergeCell ref="BJ370:BO370"/>
    <mergeCell ref="B372:BO372"/>
    <mergeCell ref="B373:M373"/>
    <mergeCell ref="N373:S373"/>
    <mergeCell ref="T373:Y373"/>
    <mergeCell ref="Z373:AE373"/>
    <mergeCell ref="AF373:AK373"/>
    <mergeCell ref="AL373:AQ373"/>
    <mergeCell ref="AR373:AW373"/>
    <mergeCell ref="AX373:BC373"/>
    <mergeCell ref="BD373:BI373"/>
    <mergeCell ref="BJ373:BO373"/>
    <mergeCell ref="B374:M374"/>
    <mergeCell ref="N374:S374"/>
    <mergeCell ref="T374:Y374"/>
    <mergeCell ref="Z374:AE374"/>
    <mergeCell ref="AF374:AK374"/>
    <mergeCell ref="AL374:AQ374"/>
    <mergeCell ref="AR374:AW374"/>
    <mergeCell ref="AX374:BC374"/>
    <mergeCell ref="BD374:BI374"/>
    <mergeCell ref="BJ374:BO374"/>
    <mergeCell ref="B375:M375"/>
    <mergeCell ref="N375:S375"/>
    <mergeCell ref="B376:M376"/>
    <mergeCell ref="N376:S376"/>
    <mergeCell ref="B378:Y378"/>
    <mergeCell ref="B379:M379"/>
    <mergeCell ref="N379:S379"/>
    <mergeCell ref="T379:Y379"/>
    <mergeCell ref="B380:M380"/>
    <mergeCell ref="N380:S380"/>
    <mergeCell ref="T380:Y380"/>
    <mergeCell ref="B381:M381"/>
    <mergeCell ref="N381:S381"/>
    <mergeCell ref="T381:Y381"/>
    <mergeCell ref="B382:M382"/>
    <mergeCell ref="N382:S382"/>
    <mergeCell ref="T382:Y382"/>
    <mergeCell ref="B383:M383"/>
    <mergeCell ref="N383:S383"/>
    <mergeCell ref="T383:Y383"/>
    <mergeCell ref="B384:M384"/>
    <mergeCell ref="N384:S384"/>
    <mergeCell ref="T384:Y384"/>
    <mergeCell ref="B385:M385"/>
    <mergeCell ref="N385:S385"/>
    <mergeCell ref="T385:Y385"/>
    <mergeCell ref="B386:M386"/>
    <mergeCell ref="N386:S386"/>
    <mergeCell ref="T386:Y386"/>
    <mergeCell ref="B387:M387"/>
    <mergeCell ref="N387:S387"/>
    <mergeCell ref="T387:Y387"/>
    <mergeCell ref="B388:M388"/>
    <mergeCell ref="N388:S388"/>
    <mergeCell ref="T388:Y388"/>
    <mergeCell ref="B389:M389"/>
    <mergeCell ref="N389:S389"/>
    <mergeCell ref="T389:Y389"/>
    <mergeCell ref="B390:M390"/>
    <mergeCell ref="N390:S390"/>
    <mergeCell ref="T390:Y390"/>
    <mergeCell ref="B391:M391"/>
    <mergeCell ref="N391:S391"/>
    <mergeCell ref="T391:Y391"/>
    <mergeCell ref="B393:S393"/>
    <mergeCell ref="B394:M394"/>
    <mergeCell ref="N394:S394"/>
    <mergeCell ref="B395:M395"/>
    <mergeCell ref="N395:S395"/>
    <mergeCell ref="B396:M396"/>
    <mergeCell ref="N396:S396"/>
    <mergeCell ref="B397:M397"/>
    <mergeCell ref="N397:S397"/>
    <mergeCell ref="B398:M398"/>
    <mergeCell ref="N398:S398"/>
    <mergeCell ref="B399:M399"/>
    <mergeCell ref="N399:S399"/>
    <mergeCell ref="B400:M400"/>
    <mergeCell ref="N400:S400"/>
  </mergeCells>
  <dataValidations count="4">
    <dataValidation type="list" allowBlank="1" showInputMessage="1" showErrorMessage="1" errorTitle="Trimestre" error="El valor tiene que salir de la lista." promptTitle="Trimestre" prompt="Elegí de la lista" sqref="AU4">
      <formula1>$T$98:$T$112</formula1>
    </dataValidation>
    <dataValidation type="list" allowBlank="1" showInputMessage="1" showErrorMessage="1" errorTitle="Segmento" error="El valor tiene que salir de la lista." promptTitle="Segmento" prompt="Elegí de la lista" sqref="BE4">
      <formula1>$AF$98:$AF$100</formula1>
    </dataValidation>
    <dataValidation type="list" allowBlank="1" showInputMessage="1" showErrorMessage="1" errorTitle="Métrica" error="El valor tiene que salir de la lista." promptTitle="Métrica" prompt="Elegí de la lista" sqref="AG8">
      <formula1>$Z$98:$Z$104</formula1>
    </dataValidation>
    <dataValidation type="list" allowBlank="1" showInputMessage="1" showErrorMessage="1" errorTitle="Comparar contra" error="El valor tiene que salir de la lista." promptTitle="Comparar contra" prompt="Elegí de la lista" sqref="BR8">
      <formula1>$AL$98:$AL$99</formula1>
    </dataValidation>
  </dataValidations>
  <pageMargins left="0.2" right="0.2" top="0.2" bottom="0.2" header="0.3" footer="0.3"/>
  <pageSetup paperSize="9" orientation="landscape"/>
  <drawing r:id="rId1"/>
</worksheet>
</file>

<file path=xl/worksheets/sheet3.xml><?xml version="1.0" encoding="utf-8"?>
<worksheet xmlns="http://schemas.openxmlformats.org/spreadsheetml/2006/main" xmlns:r="http://schemas.openxmlformats.org/officeDocument/2006/relationships">
  <sheetPr>
    <tabColor rgb="FF00246B"/>
  </sheetPr>
  <dimension ref="B2:I56"/>
  <sheetViews>
    <sheetView showGridLines="0" workbookViewId="0"/>
  </sheetViews>
  <sheetFormatPr defaultRowHeight="15"/>
  <cols>
    <col min="1" max="1" width="2.7109375" customWidth="1"/>
    <col min="2" max="13" width="15.7109375" customWidth="1"/>
  </cols>
  <sheetData>
    <row r="2" spans="2:9">
      <c r="B2" s="1" t="s">
        <v>1135</v>
      </c>
    </row>
    <row r="3" spans="2:9">
      <c r="B3" s="2" t="s">
        <v>1136</v>
      </c>
    </row>
    <row r="5" spans="2:9">
      <c r="B5" s="35" t="s">
        <v>1137</v>
      </c>
      <c r="E5" s="35" t="s">
        <v>1139</v>
      </c>
      <c r="H5" s="35" t="s">
        <v>616</v>
      </c>
    </row>
    <row r="6" spans="2:9">
      <c r="B6" s="36">
        <f>'Resultados'!AA5</f>
        <v/>
      </c>
      <c r="E6" s="36">
        <f>'Análisis'!AA13</f>
        <v/>
      </c>
      <c r="H6" s="36">
        <f>'Resultados'!AA21</f>
        <v/>
      </c>
    </row>
    <row r="7" spans="2:9">
      <c r="B7" s="37">
        <f>IFERROR('Resultados'!AA5/'Resultados'!W5-1,"")</f>
        <v/>
      </c>
      <c r="C7" s="35" t="s">
        <v>1138</v>
      </c>
      <c r="E7" s="37">
        <f>IFERROR('Análisis'!AA13/'Análisis'!W13-1,"")</f>
        <v/>
      </c>
      <c r="F7" s="35" t="s">
        <v>1138</v>
      </c>
      <c r="H7" s="37">
        <f>IFERROR('Resultados'!AA21/'Resultados'!W21-1,"")</f>
        <v/>
      </c>
      <c r="I7" s="35" t="s">
        <v>1138</v>
      </c>
    </row>
    <row r="9" spans="2:9">
      <c r="B9" s="35" t="s">
        <v>1140</v>
      </c>
      <c r="E9" s="35" t="s">
        <v>438</v>
      </c>
      <c r="H9" s="35" t="s">
        <v>407</v>
      </c>
    </row>
    <row r="10" spans="2:9">
      <c r="B10" s="36">
        <f>'Análisis'!AA15</f>
        <v/>
      </c>
      <c r="E10" s="38">
        <f>'Análisis'!AA38</f>
        <v/>
      </c>
      <c r="H10" s="39">
        <f>'Análisis'!AA8</f>
        <v/>
      </c>
    </row>
    <row r="11" spans="2:9">
      <c r="B11" s="37">
        <f>IFERROR('Análisis'!AA15/'Análisis'!W15-1,"")</f>
        <v/>
      </c>
      <c r="C11" s="35" t="s">
        <v>1138</v>
      </c>
    </row>
    <row r="56" spans="2:2">
      <c r="B56" s="6" t="s">
        <v>1141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sheetPr>
    <tabColor rgb="FF0054EB"/>
  </sheetPr>
  <dimension ref="A1:AI45"/>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62.7109375" customWidth="1"/>
    <col min="2" max="36" width="19.7109375" customWidth="1"/>
  </cols>
  <sheetData>
    <row r="1" spans="1:35">
      <c r="A1" s="1" t="s">
        <v>156</v>
      </c>
    </row>
    <row r="2" spans="1:35">
      <c r="A2" s="2" t="s">
        <v>157</v>
      </c>
    </row>
    <row r="4" spans="1:35">
      <c r="A4" s="40" t="s">
        <v>158</v>
      </c>
      <c r="B4" s="41" t="s">
        <v>159</v>
      </c>
      <c r="C4" s="41" t="s">
        <v>160</v>
      </c>
      <c r="D4" s="41" t="s">
        <v>161</v>
      </c>
      <c r="E4" s="41" t="s">
        <v>162</v>
      </c>
      <c r="F4" s="41" t="s">
        <v>163</v>
      </c>
      <c r="G4" s="41" t="s">
        <v>164</v>
      </c>
      <c r="H4" s="41" t="s">
        <v>165</v>
      </c>
      <c r="I4" s="41" t="s">
        <v>166</v>
      </c>
      <c r="J4" s="41" t="s">
        <v>167</v>
      </c>
      <c r="K4" s="41" t="s">
        <v>168</v>
      </c>
      <c r="L4" s="41" t="s">
        <v>169</v>
      </c>
      <c r="M4" s="41" t="s">
        <v>170</v>
      </c>
      <c r="N4" s="41" t="s">
        <v>171</v>
      </c>
      <c r="O4" s="41" t="s">
        <v>172</v>
      </c>
      <c r="P4" s="41" t="s">
        <v>173</v>
      </c>
      <c r="Q4" s="41" t="s">
        <v>174</v>
      </c>
      <c r="R4" s="41" t="s">
        <v>175</v>
      </c>
      <c r="S4" s="41" t="s">
        <v>176</v>
      </c>
      <c r="T4" s="41" t="s">
        <v>177</v>
      </c>
      <c r="U4" s="41" t="s">
        <v>178</v>
      </c>
      <c r="V4" s="41" t="s">
        <v>179</v>
      </c>
      <c r="W4" s="41" t="s">
        <v>180</v>
      </c>
      <c r="X4" s="41" t="s">
        <v>181</v>
      </c>
      <c r="Y4" s="41" t="s">
        <v>182</v>
      </c>
      <c r="Z4" s="41" t="s">
        <v>183</v>
      </c>
      <c r="AA4" s="41" t="s">
        <v>184</v>
      </c>
      <c r="AB4" s="41"/>
      <c r="AC4" s="41" t="s">
        <v>185</v>
      </c>
      <c r="AD4" s="41" t="s">
        <v>186</v>
      </c>
      <c r="AE4" s="41" t="s">
        <v>187</v>
      </c>
      <c r="AF4" s="41" t="s">
        <v>188</v>
      </c>
      <c r="AG4" s="41" t="s">
        <v>189</v>
      </c>
      <c r="AH4" s="41" t="s">
        <v>190</v>
      </c>
      <c r="AI4" s="41" t="s">
        <v>191</v>
      </c>
    </row>
    <row r="5" spans="1:35">
      <c r="A5" s="42" t="s">
        <v>192</v>
      </c>
      <c r="B5" s="43">
        <v>2844076854.651978</v>
      </c>
      <c r="C5" s="43">
        <v>1978204591.929708</v>
      </c>
      <c r="D5" s="43">
        <v>2368952754.575097</v>
      </c>
      <c r="E5" s="44">
        <v>2343609799.057388</v>
      </c>
      <c r="F5" s="43">
        <v>2653491460.761909</v>
      </c>
      <c r="G5" s="43">
        <v>3362132537.347887</v>
      </c>
      <c r="H5" s="43">
        <v>3637744974.305836</v>
      </c>
      <c r="I5" s="44">
        <v>3653261796.651667</v>
      </c>
      <c r="J5" s="43">
        <v>3765506889.226378</v>
      </c>
      <c r="K5" s="43">
        <v>5052263277.063681</v>
      </c>
      <c r="L5" s="43">
        <v>5477322614.516336</v>
      </c>
      <c r="M5" s="44">
        <v>4854288653.807511</v>
      </c>
      <c r="N5" s="45">
        <v>4238000000</v>
      </c>
      <c r="O5" s="45">
        <v>4375000000</v>
      </c>
      <c r="P5" s="45">
        <v>4504000000</v>
      </c>
      <c r="Q5" s="46">
        <v>4194000000</v>
      </c>
      <c r="R5" s="45">
        <v>4310000000</v>
      </c>
      <c r="S5" s="45">
        <v>4935000000</v>
      </c>
      <c r="T5" s="45">
        <v>5297000000</v>
      </c>
      <c r="U5" s="46">
        <v>4751000000</v>
      </c>
      <c r="V5" s="45">
        <v>4608000000</v>
      </c>
      <c r="W5" s="45">
        <v>4641000000</v>
      </c>
      <c r="X5" s="45">
        <v>4643000000</v>
      </c>
      <c r="Y5" s="46">
        <v>4556000000</v>
      </c>
      <c r="Z5" s="45">
        <v>4946000000</v>
      </c>
      <c r="AA5" s="45">
        <v>6574000000</v>
      </c>
      <c r="AC5" s="43">
        <v>14097402354.11112</v>
      </c>
      <c r="AD5" s="45">
        <v>9690000000</v>
      </c>
      <c r="AE5" s="45">
        <v>13682000000</v>
      </c>
      <c r="AF5" s="45">
        <v>18757000000</v>
      </c>
      <c r="AG5" s="45">
        <v>17311000000</v>
      </c>
      <c r="AH5" s="45">
        <v>19293000000</v>
      </c>
      <c r="AI5" s="45">
        <v>18448000000</v>
      </c>
    </row>
    <row r="6" spans="1:35">
      <c r="A6" s="42" t="s">
        <v>193</v>
      </c>
      <c r="B6" s="43">
        <v>-2375855213.658263</v>
      </c>
      <c r="C6" s="43">
        <v>-2174665348.36029</v>
      </c>
      <c r="D6" s="43">
        <v>-2216944326.965044</v>
      </c>
      <c r="E6" s="44">
        <v>-2139217592.101782</v>
      </c>
      <c r="F6" s="43">
        <v>-2242753259.808942</v>
      </c>
      <c r="G6" s="43">
        <v>-2649701854.376231</v>
      </c>
      <c r="H6" s="43">
        <v>-2833106957.429924</v>
      </c>
      <c r="I6" s="44">
        <v>-3039548773.780941</v>
      </c>
      <c r="J6" s="43">
        <v>-2843393812.479886</v>
      </c>
      <c r="K6" s="43">
        <v>-3481032032.497527</v>
      </c>
      <c r="L6" s="43">
        <v>-3889836442.722435</v>
      </c>
      <c r="M6" s="44">
        <v>-3953851755.557528</v>
      </c>
      <c r="N6" s="45">
        <v>-3299000000</v>
      </c>
      <c r="O6" s="45">
        <v>-3509000000</v>
      </c>
      <c r="P6" s="45">
        <v>-3689000000</v>
      </c>
      <c r="Q6" s="46">
        <v>-3356000000</v>
      </c>
      <c r="R6" s="45">
        <v>-3019000000</v>
      </c>
      <c r="S6" s="45">
        <v>-3457000000</v>
      </c>
      <c r="T6" s="45">
        <v>-3678000000</v>
      </c>
      <c r="U6" s="46">
        <v>-3756000000</v>
      </c>
      <c r="V6" s="45">
        <v>-3308000000</v>
      </c>
      <c r="W6" s="45">
        <v>-3448000000</v>
      </c>
      <c r="X6" s="45">
        <v>-3319000000</v>
      </c>
      <c r="Y6" s="46">
        <v>-3232000000</v>
      </c>
      <c r="Z6" s="45">
        <v>-3188000000</v>
      </c>
      <c r="AA6" s="45">
        <v>-3609000000</v>
      </c>
      <c r="AC6" s="43">
        <v>-11957909466.24304</v>
      </c>
      <c r="AD6" s="45">
        <v>-8663000000</v>
      </c>
      <c r="AE6" s="45">
        <v>-10629000000</v>
      </c>
      <c r="AF6" s="45">
        <v>-13684000000</v>
      </c>
      <c r="AG6" s="45">
        <v>-13853000000</v>
      </c>
      <c r="AH6" s="45">
        <v>-13910000000</v>
      </c>
      <c r="AI6" s="45">
        <v>-13348000000</v>
      </c>
    </row>
    <row r="7" spans="1:35">
      <c r="A7" s="42" t="s">
        <v>194</v>
      </c>
      <c r="B7" s="43">
        <v>468221640.9937155</v>
      </c>
      <c r="C7" s="43">
        <v>-196460756.4305818</v>
      </c>
      <c r="D7" s="43">
        <v>152008427.6100526</v>
      </c>
      <c r="E7" s="44">
        <v>204392206.9556059</v>
      </c>
      <c r="F7" s="43">
        <v>410738200.9529663</v>
      </c>
      <c r="G7" s="43">
        <v>712430682.9716568</v>
      </c>
      <c r="H7" s="43">
        <v>804638016.8759117</v>
      </c>
      <c r="I7" s="44">
        <v>613713022.8707249</v>
      </c>
      <c r="J7" s="43">
        <v>922113076.7464921</v>
      </c>
      <c r="K7" s="43">
        <v>1571231244.566154</v>
      </c>
      <c r="L7" s="43">
        <v>1587486171.7939</v>
      </c>
      <c r="M7" s="44">
        <v>900436898.2499831</v>
      </c>
      <c r="N7" s="45">
        <v>939000000</v>
      </c>
      <c r="O7" s="45">
        <v>866000000</v>
      </c>
      <c r="P7" s="45">
        <v>815000000</v>
      </c>
      <c r="Q7" s="46">
        <v>838000000</v>
      </c>
      <c r="R7" s="45">
        <v>1291000000</v>
      </c>
      <c r="S7" s="45">
        <v>1478000000</v>
      </c>
      <c r="T7" s="45">
        <v>1619000000</v>
      </c>
      <c r="U7" s="46">
        <v>995000000</v>
      </c>
      <c r="V7" s="45">
        <v>1300000000</v>
      </c>
      <c r="W7" s="45">
        <v>1193000000</v>
      </c>
      <c r="X7" s="45">
        <v>1324000000</v>
      </c>
      <c r="Y7" s="46">
        <v>1324000000</v>
      </c>
      <c r="Z7" s="45">
        <v>1758000000</v>
      </c>
      <c r="AA7" s="45">
        <v>2965000000</v>
      </c>
      <c r="AC7" s="43">
        <v>2139492887.868083</v>
      </c>
      <c r="AD7" s="45">
        <v>1027000000</v>
      </c>
      <c r="AE7" s="45">
        <v>3053000000</v>
      </c>
      <c r="AF7" s="45">
        <v>5073000000</v>
      </c>
      <c r="AG7" s="45">
        <v>3458000000</v>
      </c>
      <c r="AH7" s="45">
        <v>5383000000</v>
      </c>
      <c r="AI7" s="45">
        <v>5100000000</v>
      </c>
    </row>
    <row r="8" spans="1:35">
      <c r="A8" s="42" t="s">
        <v>195</v>
      </c>
      <c r="B8" s="43">
        <v>-225936969.3430517</v>
      </c>
      <c r="C8" s="43">
        <v>-343154614.3684952</v>
      </c>
      <c r="D8" s="43">
        <v>-223369911.8617716</v>
      </c>
      <c r="E8" s="44">
        <v>-230431899.1322742</v>
      </c>
      <c r="F8" s="43">
        <v>-225313496.4659895</v>
      </c>
      <c r="G8" s="43">
        <v>-276965903.2406359</v>
      </c>
      <c r="H8" s="43">
        <v>-281598612.3967677</v>
      </c>
      <c r="I8" s="44">
        <v>-285027065.5088127</v>
      </c>
      <c r="J8" s="43">
        <v>-379935837.8855792</v>
      </c>
      <c r="K8" s="43">
        <v>-532777807.8990908</v>
      </c>
      <c r="L8" s="43">
        <v>-562409720.4556692</v>
      </c>
      <c r="M8" s="44">
        <v>-482199021.9459875</v>
      </c>
      <c r="N8" s="45">
        <v>-420000000</v>
      </c>
      <c r="O8" s="45">
        <v>-482000000</v>
      </c>
      <c r="P8" s="45">
        <v>-483000000</v>
      </c>
      <c r="Q8" s="46">
        <v>-419000000</v>
      </c>
      <c r="R8" s="45">
        <v>-467000000</v>
      </c>
      <c r="S8" s="45">
        <v>-577000000</v>
      </c>
      <c r="T8" s="45">
        <v>-552000000</v>
      </c>
      <c r="U8" s="46">
        <v>-536000000</v>
      </c>
      <c r="V8" s="45">
        <v>-497000000</v>
      </c>
      <c r="W8" s="45">
        <v>-510000000</v>
      </c>
      <c r="X8" s="45">
        <v>-495000000</v>
      </c>
      <c r="Y8" s="46">
        <v>-530000000</v>
      </c>
      <c r="Z8" s="45">
        <v>-489000000</v>
      </c>
      <c r="AA8" s="45">
        <v>-601000000</v>
      </c>
      <c r="AC8" s="43">
        <v>-1036600892.528587</v>
      </c>
      <c r="AD8" s="45">
        <v>-1324000000</v>
      </c>
      <c r="AE8" s="45">
        <v>-1507000000</v>
      </c>
      <c r="AF8" s="45">
        <v>-1896000000</v>
      </c>
      <c r="AG8" s="45">
        <v>-1804000000</v>
      </c>
      <c r="AH8" s="45">
        <v>-2132000000</v>
      </c>
      <c r="AI8" s="45">
        <v>-2088000000</v>
      </c>
    </row>
    <row r="9" spans="1:35">
      <c r="A9" s="42" t="s">
        <v>196</v>
      </c>
      <c r="B9" s="43">
        <v>-109891078.559834</v>
      </c>
      <c r="C9" s="43">
        <v>-109353872.4914796</v>
      </c>
      <c r="D9" s="43">
        <v>-124862114.8101259</v>
      </c>
      <c r="E9" s="44">
        <v>-140186801.7614779</v>
      </c>
      <c r="F9" s="43">
        <v>-103082760.3535801</v>
      </c>
      <c r="G9" s="43">
        <v>-116146648.3287275</v>
      </c>
      <c r="H9" s="43">
        <v>-118549424.9711556</v>
      </c>
      <c r="I9" s="44">
        <v>-142712615.7085928</v>
      </c>
      <c r="J9" s="43">
        <v>-138576311.3840307</v>
      </c>
      <c r="K9" s="43">
        <v>-162918260.4134601</v>
      </c>
      <c r="L9" s="43">
        <v>-179813256.679754</v>
      </c>
      <c r="M9" s="44">
        <v>-208850453.173186</v>
      </c>
      <c r="N9" s="45">
        <v>-157000000</v>
      </c>
      <c r="O9" s="45">
        <v>-167000000</v>
      </c>
      <c r="P9" s="45">
        <v>-194000000</v>
      </c>
      <c r="Q9" s="46">
        <v>-187000000</v>
      </c>
      <c r="R9" s="45">
        <v>-141000000</v>
      </c>
      <c r="S9" s="45">
        <v>-210000000</v>
      </c>
      <c r="T9" s="45">
        <v>-224000000</v>
      </c>
      <c r="U9" s="46">
        <v>-261000000</v>
      </c>
      <c r="V9" s="45">
        <v>-258000000</v>
      </c>
      <c r="W9" s="45">
        <v>-233000000</v>
      </c>
      <c r="X9" s="45">
        <v>-207000000</v>
      </c>
      <c r="Y9" s="46">
        <v>-229000000</v>
      </c>
      <c r="Z9" s="45">
        <v>-291000000</v>
      </c>
      <c r="AA9" s="45">
        <v>-323000000</v>
      </c>
      <c r="AC9" s="43">
        <v>-513148395.654107</v>
      </c>
      <c r="AD9" s="45">
        <v>-467000000</v>
      </c>
      <c r="AE9" s="45">
        <v>-470000000</v>
      </c>
      <c r="AF9" s="45">
        <v>-657000000</v>
      </c>
      <c r="AG9" s="45">
        <v>-705000000</v>
      </c>
      <c r="AH9" s="45">
        <v>-836000000</v>
      </c>
      <c r="AI9" s="45">
        <v>-830000000</v>
      </c>
    </row>
    <row r="10" spans="1:35">
      <c r="A10" s="42" t="s">
        <v>197</v>
      </c>
      <c r="B10" s="43">
        <v>-11658321.56598624</v>
      </c>
      <c r="C10" s="43">
        <v>-2073620.770527854</v>
      </c>
      <c r="D10" s="43">
        <v>-57597156.63485466</v>
      </c>
      <c r="E10" s="44">
        <v>-9650812.462980289</v>
      </c>
      <c r="F10" s="43">
        <v>-1796181.796845943</v>
      </c>
      <c r="G10" s="43">
        <v>-8557725.921581464</v>
      </c>
      <c r="H10" s="43">
        <v>-9908270.807778412</v>
      </c>
      <c r="I10" s="44">
        <v>-6748912.146922365</v>
      </c>
      <c r="J10" s="43">
        <v>-10533450.49981498</v>
      </c>
      <c r="K10" s="43">
        <v>-13165368.84286104</v>
      </c>
      <c r="L10" s="43">
        <v>-19126872.64924323</v>
      </c>
      <c r="M10" s="44">
        <v>-23811840.18979111</v>
      </c>
      <c r="N10" s="45">
        <v>-18000000</v>
      </c>
      <c r="O10" s="45">
        <v>-8000000</v>
      </c>
      <c r="P10" s="45">
        <v>-16000000</v>
      </c>
      <c r="Q10" s="46">
        <v>-19000000</v>
      </c>
      <c r="R10" s="45">
        <v>-23000000</v>
      </c>
      <c r="S10" s="45">
        <v>-88000000</v>
      </c>
      <c r="T10" s="45">
        <v>-20000000</v>
      </c>
      <c r="U10" s="46">
        <v>-108000000</v>
      </c>
      <c r="V10" s="45">
        <v>-30000000</v>
      </c>
      <c r="W10" s="45">
        <v>-21000000</v>
      </c>
      <c r="X10" s="45">
        <v>-17000000</v>
      </c>
      <c r="Y10" s="46">
        <v>-48000000</v>
      </c>
      <c r="Z10" s="45">
        <v>-20000000</v>
      </c>
      <c r="AA10" s="45">
        <v>-17000000</v>
      </c>
      <c r="AC10" s="43">
        <v>-142117654.1301869</v>
      </c>
      <c r="AD10" s="45">
        <v>-80000000</v>
      </c>
      <c r="AE10" s="45">
        <v>-30000000</v>
      </c>
      <c r="AF10" s="45">
        <v>-65000000</v>
      </c>
      <c r="AG10" s="45">
        <v>-61000000</v>
      </c>
      <c r="AH10" s="45">
        <v>-239000000</v>
      </c>
      <c r="AI10" s="45">
        <v>-116000000</v>
      </c>
    </row>
    <row r="11" spans="1:35">
      <c r="A11" s="42" t="s">
        <v>198</v>
      </c>
      <c r="C11" s="43">
        <v>-850614051.6474582</v>
      </c>
      <c r="L11" s="43">
        <v>-104065530.0175563</v>
      </c>
      <c r="M11" s="44">
        <v>-26657163.75834831</v>
      </c>
      <c r="P11" s="45">
        <v>-506000000</v>
      </c>
      <c r="Q11" s="46">
        <v>-1782000000</v>
      </c>
      <c r="S11" s="45">
        <v>-5000000</v>
      </c>
      <c r="T11" s="45">
        <v>-21000000</v>
      </c>
      <c r="U11" s="46">
        <v>-61000000</v>
      </c>
      <c r="W11" s="45">
        <v>9000000</v>
      </c>
      <c r="X11" s="45">
        <v>-5000000</v>
      </c>
      <c r="Y11" s="46">
        <v>0</v>
      </c>
      <c r="AA11" s="45">
        <v>-8000000</v>
      </c>
      <c r="AF11" s="45">
        <v>-123000000</v>
      </c>
      <c r="AG11" s="45">
        <v>-2288000000</v>
      </c>
      <c r="AH11" s="45">
        <v>-87000000</v>
      </c>
      <c r="AI11" s="45">
        <v>4000000</v>
      </c>
    </row>
    <row r="12" spans="1:35">
      <c r="A12" s="42" t="s">
        <v>199</v>
      </c>
      <c r="B12" s="43">
        <v>120214229.2202184</v>
      </c>
      <c r="C12" s="43">
        <v>117603920.842794</v>
      </c>
      <c r="D12" s="43">
        <v>-47738183.8775372</v>
      </c>
      <c r="E12" s="44">
        <v>-98483290.91108643</v>
      </c>
      <c r="F12" s="43">
        <v>-3117900.477543901</v>
      </c>
      <c r="G12" s="43">
        <v>-585416.5742375379</v>
      </c>
      <c r="H12" s="43">
        <v>33809530.50296974</v>
      </c>
      <c r="I12" s="44">
        <v>-260878303.1659901</v>
      </c>
      <c r="J12" s="43">
        <v>-13666284.39735567</v>
      </c>
      <c r="K12" s="43">
        <v>-11614008.57354773</v>
      </c>
      <c r="L12" s="43">
        <v>-18278592.5278923</v>
      </c>
      <c r="M12" s="44">
        <v>220040413.3245834</v>
      </c>
      <c r="N12" s="45">
        <v>-9000000</v>
      </c>
      <c r="O12" s="45">
        <v>12000000</v>
      </c>
      <c r="P12" s="45">
        <v>-3000000</v>
      </c>
      <c r="Q12" s="46">
        <v>152000000</v>
      </c>
      <c r="R12" s="45">
        <v>6000000</v>
      </c>
      <c r="S12" s="45">
        <v>-8000000</v>
      </c>
      <c r="T12" s="45">
        <v>-48000000</v>
      </c>
      <c r="U12" s="46">
        <v>-559000000</v>
      </c>
      <c r="V12" s="45">
        <v>-323000000</v>
      </c>
      <c r="W12" s="45">
        <v>-26000000</v>
      </c>
      <c r="X12" s="45">
        <v>-48000000</v>
      </c>
      <c r="Y12" s="46">
        <v>67000000</v>
      </c>
      <c r="Z12" s="45">
        <v>-80000000</v>
      </c>
      <c r="AA12" s="45">
        <v>-203000000</v>
      </c>
      <c r="AC12" s="43">
        <v>-23475069.31254366</v>
      </c>
      <c r="AD12" s="45">
        <v>93000000</v>
      </c>
      <c r="AE12" s="45">
        <v>-232000000</v>
      </c>
      <c r="AF12" s="45">
        <v>150000000</v>
      </c>
      <c r="AG12" s="45">
        <v>152000000</v>
      </c>
      <c r="AH12" s="45">
        <v>-609000000</v>
      </c>
      <c r="AI12" s="45">
        <v>-330000000</v>
      </c>
    </row>
    <row r="13" spans="1:35">
      <c r="A13" s="42" t="s">
        <v>200</v>
      </c>
      <c r="B13" s="43">
        <v>240949500.745062</v>
      </c>
      <c r="C13" s="43">
        <v>-1384052994.865749</v>
      </c>
      <c r="D13" s="43">
        <v>-320744336.6989334</v>
      </c>
      <c r="E13" s="44">
        <v>546771030.4479687</v>
      </c>
      <c r="F13" s="43">
        <v>77427861.85900687</v>
      </c>
      <c r="G13" s="43">
        <v>310174988.9064744</v>
      </c>
      <c r="H13" s="43">
        <v>428391239.2031796</v>
      </c>
      <c r="I13" s="44">
        <v>-193717668.5711742</v>
      </c>
      <c r="J13" s="43">
        <v>379401192.5797116</v>
      </c>
      <c r="K13" s="43">
        <v>850755798.8371944</v>
      </c>
      <c r="L13" s="43">
        <v>703792199.4637852</v>
      </c>
      <c r="M13" s="44">
        <v>378958832.5072535</v>
      </c>
      <c r="N13" s="45">
        <v>335000000</v>
      </c>
      <c r="O13" s="45">
        <v>221000000</v>
      </c>
      <c r="P13" s="45">
        <v>-387000000</v>
      </c>
      <c r="Q13" s="46">
        <v>-1417000000</v>
      </c>
      <c r="R13" s="45">
        <v>666000000</v>
      </c>
      <c r="S13" s="45">
        <v>590000000</v>
      </c>
      <c r="T13" s="45">
        <v>754000000</v>
      </c>
      <c r="U13" s="46">
        <v>-530000000</v>
      </c>
      <c r="V13" s="45">
        <v>192000000</v>
      </c>
      <c r="W13" s="45">
        <v>412000000</v>
      </c>
      <c r="X13" s="45">
        <v>552000000</v>
      </c>
      <c r="Y13" s="46">
        <v>584000000</v>
      </c>
      <c r="Z13" s="45">
        <v>878000000</v>
      </c>
      <c r="AA13" s="45">
        <v>1813000000</v>
      </c>
      <c r="AC13" s="43">
        <v>-436511642.8275818</v>
      </c>
      <c r="AD13" s="45">
        <v>-804000000</v>
      </c>
      <c r="AE13" s="45">
        <v>699000000</v>
      </c>
      <c r="AF13" s="45">
        <v>2482000000</v>
      </c>
      <c r="AG13" s="45">
        <v>-1248000000</v>
      </c>
      <c r="AH13" s="45">
        <v>1480000000</v>
      </c>
      <c r="AI13" s="45">
        <v>1740000000</v>
      </c>
    </row>
    <row r="14" spans="1:35">
      <c r="A14" s="42" t="s">
        <v>201</v>
      </c>
      <c r="B14" s="43">
        <v>23121252.26773807</v>
      </c>
      <c r="C14" s="43">
        <v>34066626.94438617</v>
      </c>
      <c r="D14" s="43">
        <v>61857543.75436027</v>
      </c>
      <c r="E14" s="44">
        <v>62755283.11419826</v>
      </c>
      <c r="F14" s="43">
        <v>57794126.24316882</v>
      </c>
      <c r="G14" s="43">
        <v>15316626.36959667</v>
      </c>
      <c r="H14" s="43">
        <v>44839298.21422464</v>
      </c>
      <c r="I14" s="44">
        <v>159903428.8025971</v>
      </c>
      <c r="J14" s="43">
        <v>114704867.4641473</v>
      </c>
      <c r="K14" s="43">
        <v>131102658.824756</v>
      </c>
      <c r="L14" s="43">
        <v>140430930.0024268</v>
      </c>
      <c r="M14" s="44">
        <v>70052977.23020452</v>
      </c>
      <c r="N14" s="45">
        <v>89000000</v>
      </c>
      <c r="O14" s="45">
        <v>94000000</v>
      </c>
      <c r="P14" s="45">
        <v>44000000</v>
      </c>
      <c r="Q14" s="46">
        <v>-133000000</v>
      </c>
      <c r="R14" s="45">
        <v>129000000</v>
      </c>
      <c r="S14" s="45">
        <v>27000000</v>
      </c>
      <c r="T14" s="45">
        <v>107000000</v>
      </c>
      <c r="U14" s="46">
        <v>133000000</v>
      </c>
      <c r="V14" s="45">
        <v>81000000</v>
      </c>
      <c r="W14" s="45">
        <v>-6000000</v>
      </c>
      <c r="X14" s="45">
        <v>32000000</v>
      </c>
      <c r="Y14" s="46">
        <v>15000000</v>
      </c>
      <c r="Z14" s="45">
        <v>101000000</v>
      </c>
      <c r="AA14" s="45">
        <v>115000000</v>
      </c>
      <c r="AC14" s="43">
        <v>165530400.2498654</v>
      </c>
      <c r="AD14" s="45">
        <v>188000000</v>
      </c>
      <c r="AE14" s="45">
        <v>287000000</v>
      </c>
      <c r="AF14" s="45">
        <v>446000000</v>
      </c>
      <c r="AG14" s="45">
        <v>94000000</v>
      </c>
      <c r="AH14" s="45">
        <v>396000000</v>
      </c>
      <c r="AI14" s="45">
        <v>122000000</v>
      </c>
    </row>
    <row r="15" spans="1:35">
      <c r="A15" s="42" t="s">
        <v>202</v>
      </c>
      <c r="B15" s="43">
        <v>338775193.4384214</v>
      </c>
      <c r="C15" s="43">
        <v>456448366.3239777</v>
      </c>
      <c r="D15" s="43">
        <v>303839339.0901259</v>
      </c>
      <c r="E15" s="44">
        <v>421647996.844381</v>
      </c>
      <c r="F15" s="43">
        <v>252448268.01331</v>
      </c>
      <c r="G15" s="43">
        <v>205577012.9967965</v>
      </c>
      <c r="H15" s="43">
        <v>158182508.2022693</v>
      </c>
      <c r="I15" s="44">
        <v>300525673.4922317</v>
      </c>
      <c r="J15" s="43">
        <v>301183522.3054844</v>
      </c>
      <c r="K15" s="43">
        <v>455540412.195738</v>
      </c>
      <c r="L15" s="43">
        <v>643851988.4542401</v>
      </c>
      <c r="M15" s="44">
        <v>831248010.606759</v>
      </c>
      <c r="N15" s="45">
        <v>45000000</v>
      </c>
      <c r="O15" s="45">
        <v>81000000</v>
      </c>
      <c r="P15" s="45">
        <v>104000000</v>
      </c>
      <c r="Q15" s="46">
        <v>104000000</v>
      </c>
      <c r="R15" s="45">
        <v>36000000</v>
      </c>
      <c r="S15" s="45">
        <v>32000000</v>
      </c>
      <c r="T15" s="45">
        <v>19000000</v>
      </c>
      <c r="U15" s="46">
        <v>47000000</v>
      </c>
      <c r="V15" s="45">
        <v>16000000</v>
      </c>
      <c r="W15" s="45">
        <v>28000000</v>
      </c>
      <c r="X15" s="45">
        <v>28000000</v>
      </c>
      <c r="Y15" s="46">
        <v>33000000</v>
      </c>
      <c r="Z15" s="45">
        <v>32000000</v>
      </c>
      <c r="AA15" s="45">
        <v>63000000</v>
      </c>
      <c r="AC15" s="43">
        <v>1940432609.856762</v>
      </c>
      <c r="AD15" s="45">
        <v>1492000000</v>
      </c>
      <c r="AE15" s="45">
        <v>904000000</v>
      </c>
      <c r="AF15" s="45">
        <v>320000000</v>
      </c>
      <c r="AG15" s="45">
        <v>334000000</v>
      </c>
      <c r="AH15" s="45">
        <v>134000000</v>
      </c>
      <c r="AI15" s="45">
        <v>105000000</v>
      </c>
    </row>
    <row r="16" spans="1:35">
      <c r="A16" s="42" t="s">
        <v>203</v>
      </c>
      <c r="J16" s="43">
        <v>-403675965.4145478</v>
      </c>
      <c r="K16" s="43">
        <v>-516780994.63027</v>
      </c>
      <c r="L16" s="43">
        <v>-634557788.8637865</v>
      </c>
      <c r="M16" s="44">
        <v>-793931684.5861584</v>
      </c>
      <c r="N16" s="45">
        <v>-279000000</v>
      </c>
      <c r="O16" s="45">
        <v>-295000000</v>
      </c>
      <c r="P16" s="45">
        <v>-319000000</v>
      </c>
      <c r="Q16" s="46">
        <v>-256000000</v>
      </c>
      <c r="R16" s="45">
        <v>-336000000</v>
      </c>
      <c r="S16" s="45">
        <v>-308000000</v>
      </c>
      <c r="T16" s="45">
        <v>-267000000</v>
      </c>
      <c r="U16" s="46">
        <v>-258000000</v>
      </c>
      <c r="V16" s="45">
        <v>-285000000</v>
      </c>
      <c r="W16" s="45">
        <v>-279000000</v>
      </c>
      <c r="X16" s="45">
        <v>-257000000</v>
      </c>
      <c r="Y16" s="46">
        <v>-266000000</v>
      </c>
      <c r="Z16" s="45">
        <v>-304000000</v>
      </c>
      <c r="AA16" s="45">
        <v>-312000000</v>
      </c>
      <c r="AD16" s="45">
        <v>-1966000000</v>
      </c>
      <c r="AE16" s="45">
        <v>-1408000000</v>
      </c>
      <c r="AF16" s="45">
        <v>-988000000</v>
      </c>
      <c r="AG16" s="45">
        <v>-1149000000</v>
      </c>
      <c r="AH16" s="45">
        <v>-1169000000</v>
      </c>
      <c r="AI16" s="45">
        <v>-1087000000</v>
      </c>
    </row>
    <row r="17" spans="1:35">
      <c r="A17" s="42" t="s">
        <v>204</v>
      </c>
      <c r="B17" s="43">
        <v>-21053365.62125727</v>
      </c>
      <c r="C17" s="43">
        <v>178849791.4580274</v>
      </c>
      <c r="D17" s="43">
        <v>50318995.30569924</v>
      </c>
      <c r="E17" s="44">
        <v>67280664.08777191</v>
      </c>
      <c r="F17" s="43">
        <v>64221971.79288796</v>
      </c>
      <c r="G17" s="43">
        <v>56008400.24796226</v>
      </c>
      <c r="H17" s="43">
        <v>67238369.39650252</v>
      </c>
      <c r="I17" s="44">
        <v>65478383.63193999</v>
      </c>
      <c r="J17" s="43">
        <v>59392527.66235836</v>
      </c>
      <c r="K17" s="43">
        <v>59485765.08071858</v>
      </c>
      <c r="L17" s="43">
        <v>114171127.9849544</v>
      </c>
      <c r="M17" s="44">
        <v>157363057.9261052</v>
      </c>
      <c r="N17" s="45">
        <v>236000000</v>
      </c>
      <c r="O17" s="45">
        <v>354000000</v>
      </c>
      <c r="P17" s="45">
        <v>421000000</v>
      </c>
      <c r="Q17" s="46">
        <v>701000000</v>
      </c>
      <c r="R17" s="45">
        <v>41000000</v>
      </c>
      <c r="S17" s="45">
        <v>115000000</v>
      </c>
      <c r="T17" s="45">
        <v>38000000</v>
      </c>
      <c r="U17" s="46">
        <v>108000000</v>
      </c>
      <c r="V17" s="45">
        <v>24000000</v>
      </c>
      <c r="W17" s="45">
        <v>-5000000</v>
      </c>
      <c r="X17" s="45">
        <v>-16000000</v>
      </c>
      <c r="Y17" s="46">
        <v>27000000</v>
      </c>
      <c r="Z17" s="45">
        <v>-55000000</v>
      </c>
      <c r="AA17" s="45">
        <v>119000000</v>
      </c>
      <c r="AC17" s="43">
        <v>86463042.90159887</v>
      </c>
      <c r="AD17" s="45">
        <v>253000000</v>
      </c>
      <c r="AE17" s="45">
        <v>233000000</v>
      </c>
      <c r="AF17" s="45">
        <v>796000000</v>
      </c>
      <c r="AG17" s="45">
        <v>311000000</v>
      </c>
      <c r="AH17" s="45">
        <v>179000000</v>
      </c>
      <c r="AI17" s="45">
        <v>30000000</v>
      </c>
    </row>
    <row r="18" spans="1:35">
      <c r="A18" s="42" t="s">
        <v>205</v>
      </c>
      <c r="B18" s="43">
        <v>-172937197.4194691</v>
      </c>
      <c r="C18" s="43">
        <v>77197938.97136554</v>
      </c>
      <c r="D18" s="43">
        <v>-101730397.5651179</v>
      </c>
      <c r="E18" s="44">
        <v>19476639.65974519</v>
      </c>
      <c r="F18" s="43">
        <v>-48474315.03311913</v>
      </c>
      <c r="G18" s="43">
        <v>-115720890.8201911</v>
      </c>
      <c r="H18" s="43">
        <v>-81828118.10411392</v>
      </c>
      <c r="I18" s="44">
        <v>15628011.90364028</v>
      </c>
      <c r="J18" s="43">
        <v>-43099915.4467051</v>
      </c>
      <c r="K18" s="43">
        <v>-1754817.353813417</v>
      </c>
      <c r="L18" s="43">
        <v>123465327.5754081</v>
      </c>
      <c r="M18" s="44">
        <v>194679383.9467058</v>
      </c>
      <c r="N18" s="45">
        <v>2000000</v>
      </c>
      <c r="O18" s="45">
        <v>140000000</v>
      </c>
      <c r="P18" s="45">
        <v>206000000</v>
      </c>
      <c r="Q18" s="46">
        <v>549000000</v>
      </c>
      <c r="R18" s="45">
        <v>-259000000</v>
      </c>
      <c r="S18" s="45">
        <v>-161000000</v>
      </c>
      <c r="T18" s="45">
        <v>-210000000</v>
      </c>
      <c r="U18" s="46">
        <v>-103000000</v>
      </c>
      <c r="V18" s="45">
        <v>-245000000</v>
      </c>
      <c r="W18" s="45">
        <v>-256000000</v>
      </c>
      <c r="X18" s="45">
        <v>-245000000</v>
      </c>
      <c r="Y18" s="46">
        <v>-206000000</v>
      </c>
      <c r="Z18" s="45">
        <v>-327000000</v>
      </c>
      <c r="AA18" s="45">
        <v>-130000000</v>
      </c>
      <c r="AC18" s="43">
        <v>125352715.2494588</v>
      </c>
      <c r="AD18" s="45">
        <v>-221000000</v>
      </c>
      <c r="AE18" s="45">
        <v>-271000000</v>
      </c>
      <c r="AF18" s="45">
        <v>128000000</v>
      </c>
      <c r="AG18" s="45">
        <v>-504000000</v>
      </c>
      <c r="AH18" s="45">
        <v>-856000000</v>
      </c>
      <c r="AI18" s="45">
        <v>-952000000</v>
      </c>
    </row>
    <row r="19" spans="1:35">
      <c r="A19" s="42" t="s">
        <v>206</v>
      </c>
      <c r="B19" s="43">
        <v>91133555.59333096</v>
      </c>
      <c r="C19" s="43">
        <v>-1272788428.949997</v>
      </c>
      <c r="D19" s="43">
        <v>-360617190.509691</v>
      </c>
      <c r="E19" s="44">
        <v>629002953.2219123</v>
      </c>
      <c r="F19" s="43">
        <v>86747673.06905657</v>
      </c>
      <c r="G19" s="43">
        <v>209770724.4558799</v>
      </c>
      <c r="H19" s="43">
        <v>391402419.3132903</v>
      </c>
      <c r="I19" s="44">
        <v>-18186227.86493681</v>
      </c>
      <c r="J19" s="43">
        <v>451006144.5971537</v>
      </c>
      <c r="K19" s="43">
        <v>980103640.3081371</v>
      </c>
      <c r="L19" s="43">
        <v>967688457.04162</v>
      </c>
      <c r="M19" s="44">
        <v>643691193.6841638</v>
      </c>
      <c r="N19" s="45">
        <v>426000000</v>
      </c>
      <c r="O19" s="45">
        <v>455000000</v>
      </c>
      <c r="P19" s="45">
        <v>-137000000</v>
      </c>
      <c r="Q19" s="46">
        <v>-1001000000</v>
      </c>
      <c r="R19" s="45">
        <v>536000000</v>
      </c>
      <c r="S19" s="45">
        <v>456000000</v>
      </c>
      <c r="T19" s="45">
        <v>651000000</v>
      </c>
      <c r="U19" s="46">
        <v>-500000000</v>
      </c>
      <c r="V19" s="45">
        <v>28000000</v>
      </c>
      <c r="W19" s="45">
        <v>150000000</v>
      </c>
      <c r="X19" s="45">
        <v>339000000</v>
      </c>
      <c r="Y19" s="46">
        <v>393000000</v>
      </c>
      <c r="Z19" s="45">
        <v>652000000</v>
      </c>
      <c r="AA19" s="45">
        <v>1798000000</v>
      </c>
      <c r="AC19" s="43">
        <v>-145628527.3282576</v>
      </c>
      <c r="AD19" s="45">
        <v>-837000000</v>
      </c>
      <c r="AE19" s="45">
        <v>715000000</v>
      </c>
      <c r="AF19" s="45">
        <v>3056000000</v>
      </c>
      <c r="AG19" s="45">
        <v>-1658000000</v>
      </c>
      <c r="AH19" s="45">
        <v>1020000000</v>
      </c>
      <c r="AI19" s="45">
        <v>910000000</v>
      </c>
    </row>
    <row r="20" spans="1:35">
      <c r="A20" s="42" t="s">
        <v>207</v>
      </c>
      <c r="B20" s="43">
        <v>12277059.30272852</v>
      </c>
      <c r="C20" s="43">
        <v>13093434.00819016</v>
      </c>
      <c r="D20" s="43">
        <v>-121844340.6004761</v>
      </c>
      <c r="E20" s="44">
        <v>-91307686.82591714</v>
      </c>
      <c r="F20" s="43">
        <v>-112131449.7829738</v>
      </c>
      <c r="G20" s="43">
        <v>-702180570.9536432</v>
      </c>
      <c r="H20" s="43">
        <v>-155054663.6274358</v>
      </c>
      <c r="I20" s="44">
        <v>264352300.7165446</v>
      </c>
      <c r="J20" s="43">
        <v>-203221494.6829843</v>
      </c>
      <c r="K20" s="43">
        <v>-182695984.5025746</v>
      </c>
      <c r="L20" s="43">
        <v>-287721864.4644741</v>
      </c>
      <c r="M20" s="44">
        <v>-164726335.6208748</v>
      </c>
      <c r="N20" s="45">
        <v>-85000000</v>
      </c>
      <c r="O20" s="45">
        <v>-75000000</v>
      </c>
      <c r="P20" s="46">
        <v>0</v>
      </c>
      <c r="Q20" s="46">
        <v>-860000000</v>
      </c>
      <c r="R20" s="45">
        <v>121000000</v>
      </c>
      <c r="S20" s="45">
        <v>79000000</v>
      </c>
      <c r="T20" s="45">
        <v>834000000</v>
      </c>
      <c r="U20" s="46">
        <v>216000000</v>
      </c>
      <c r="V20" s="45">
        <v>-38000000</v>
      </c>
      <c r="W20" s="45">
        <v>-92000000</v>
      </c>
      <c r="X20" s="45">
        <v>-537000000</v>
      </c>
      <c r="Y20" s="46">
        <v>-1042000000</v>
      </c>
      <c r="Z20" s="45">
        <v>-243000000</v>
      </c>
      <c r="AA20" s="45">
        <v>-593000000</v>
      </c>
      <c r="AC20" s="43">
        <v>-547800090.8871361</v>
      </c>
      <c r="AD20" s="45">
        <v>-184000000</v>
      </c>
      <c r="AE20" s="45">
        <v>-699000000</v>
      </c>
      <c r="AF20" s="45">
        <v>-822000000</v>
      </c>
      <c r="AG20" s="45">
        <v>381000000</v>
      </c>
      <c r="AH20" s="45">
        <v>1373000000</v>
      </c>
      <c r="AI20" s="45">
        <v>-1709000000</v>
      </c>
    </row>
    <row r="21" spans="1:35">
      <c r="A21" s="42" t="s">
        <v>208</v>
      </c>
      <c r="B21" s="43">
        <v>103410614.8960595</v>
      </c>
      <c r="D21" s="43">
        <v>-482461531.1101671</v>
      </c>
      <c r="E21" s="44">
        <v>537695266.395995</v>
      </c>
      <c r="F21" s="43">
        <v>-25383776.71391719</v>
      </c>
      <c r="G21" s="43">
        <v>-492409846.4977632</v>
      </c>
      <c r="H21" s="43">
        <v>236347755.6858545</v>
      </c>
      <c r="I21" s="44">
        <v>246166072.8516078</v>
      </c>
      <c r="J21" s="43">
        <v>247784649.9141695</v>
      </c>
      <c r="K21" s="43">
        <v>797407655.8055624</v>
      </c>
      <c r="L21" s="43">
        <v>679966592.5771459</v>
      </c>
      <c r="M21" s="44">
        <v>478964858.0632891</v>
      </c>
      <c r="N21" s="45">
        <v>341000000</v>
      </c>
      <c r="O21" s="45">
        <v>380000000</v>
      </c>
      <c r="P21" s="45">
        <v>-137000000</v>
      </c>
      <c r="Q21" s="46">
        <v>-1861000000</v>
      </c>
      <c r="R21" s="45">
        <v>657000000</v>
      </c>
      <c r="S21" s="45">
        <v>535000000</v>
      </c>
      <c r="T21" s="45">
        <v>1485000000</v>
      </c>
      <c r="U21" s="46">
        <v>-284000000</v>
      </c>
      <c r="V21" s="45">
        <v>-10000000</v>
      </c>
      <c r="W21" s="45">
        <v>58000000</v>
      </c>
      <c r="X21" s="45">
        <v>-198000000</v>
      </c>
      <c r="Y21" s="46">
        <v>-649000000</v>
      </c>
      <c r="Z21" s="45">
        <v>409000000</v>
      </c>
      <c r="AA21" s="45">
        <v>1205000000</v>
      </c>
      <c r="AC21" s="43">
        <v>-693428618.2153938</v>
      </c>
      <c r="AD21" s="45">
        <v>-1021000000</v>
      </c>
      <c r="AE21" s="45">
        <v>16000000</v>
      </c>
      <c r="AF21" s="45">
        <v>2234000000</v>
      </c>
      <c r="AG21" s="45">
        <v>-1277000000</v>
      </c>
      <c r="AH21" s="45">
        <v>2393000000</v>
      </c>
      <c r="AI21" s="45">
        <v>-799000000</v>
      </c>
    </row>
    <row r="22" spans="1:35">
      <c r="A22" s="42" t="s">
        <v>209</v>
      </c>
      <c r="J22" s="43">
        <v>-35971311.36846878</v>
      </c>
      <c r="K22" s="43">
        <v>-58324364.2233638</v>
      </c>
      <c r="L22" s="43">
        <v>-78779406.05241716</v>
      </c>
      <c r="M22" s="44">
        <v>-82588448.30990015</v>
      </c>
      <c r="N22" s="45">
        <v>-85000000</v>
      </c>
      <c r="O22" s="45">
        <v>-106000000</v>
      </c>
      <c r="P22" s="45">
        <v>-97000000</v>
      </c>
      <c r="Q22" s="46">
        <v>-154000000</v>
      </c>
      <c r="R22" s="45">
        <v>-27000000</v>
      </c>
      <c r="S22" s="45">
        <v>-29000000</v>
      </c>
      <c r="T22" s="45">
        <v>-22000000</v>
      </c>
      <c r="U22" s="46">
        <v>-25000000</v>
      </c>
      <c r="V22" s="45">
        <v>-38000000</v>
      </c>
      <c r="W22" s="45">
        <v>-84000000</v>
      </c>
      <c r="X22" s="45">
        <v>-99000000</v>
      </c>
      <c r="Y22" s="46">
        <v>-37000000</v>
      </c>
      <c r="Z22" s="45">
        <v>51000000</v>
      </c>
      <c r="AA22" s="45">
        <v>-67000000</v>
      </c>
      <c r="AD22" s="45">
        <v>-111000000</v>
      </c>
      <c r="AE22" s="45">
        <v>-62000000</v>
      </c>
      <c r="AF22" s="45">
        <v>-194000000</v>
      </c>
      <c r="AG22" s="45">
        <v>-442000000</v>
      </c>
      <c r="AH22" s="45">
        <v>-103000000</v>
      </c>
      <c r="AI22" s="45">
        <v>-258000000</v>
      </c>
    </row>
    <row r="23" spans="1:35">
      <c r="A23" s="42" t="s">
        <v>210</v>
      </c>
      <c r="B23" s="43">
        <v>35723963.01085728</v>
      </c>
      <c r="C23" s="43">
        <v>23224552.62991197</v>
      </c>
      <c r="D23" s="43">
        <v>33864615.56530099</v>
      </c>
      <c r="E23" s="44">
        <v>48904117.04038717</v>
      </c>
      <c r="F23" s="43">
        <v>53128572.26771364</v>
      </c>
      <c r="G23" s="43">
        <v>53805105.14128643</v>
      </c>
      <c r="H23" s="43">
        <v>48296389.586409</v>
      </c>
      <c r="I23" s="44">
        <v>50497391.32940583</v>
      </c>
      <c r="J23" s="43">
        <v>78583480.22034718</v>
      </c>
      <c r="K23" s="43">
        <v>91759145.10954794</v>
      </c>
      <c r="L23" s="43">
        <v>129587697.1468974</v>
      </c>
      <c r="M23" s="44">
        <v>110128217.8606642</v>
      </c>
      <c r="N23" s="45">
        <v>101000000</v>
      </c>
      <c r="O23" s="45">
        <v>100000000</v>
      </c>
      <c r="P23" s="45">
        <v>73000000</v>
      </c>
      <c r="Q23" s="46">
        <v>-53000000</v>
      </c>
      <c r="R23" s="45">
        <v>285000000</v>
      </c>
      <c r="S23" s="45">
        <v>131000000</v>
      </c>
      <c r="T23" s="45">
        <v>69000000</v>
      </c>
      <c r="U23" s="46">
        <v>42000000</v>
      </c>
      <c r="V23" s="45">
        <v>84000000</v>
      </c>
      <c r="W23" s="45">
        <v>39000000</v>
      </c>
      <c r="X23" s="45">
        <v>12000000</v>
      </c>
      <c r="Y23" s="46">
        <v>55000000</v>
      </c>
      <c r="Z23" s="45">
        <v>128000000</v>
      </c>
      <c r="AA23" s="45">
        <v>45000000</v>
      </c>
      <c r="AC23" s="43">
        <v>185993181.9072597</v>
      </c>
      <c r="AD23" s="45">
        <v>96000000</v>
      </c>
      <c r="AE23" s="45">
        <v>177000000</v>
      </c>
      <c r="AF23" s="45">
        <v>276000000</v>
      </c>
      <c r="AG23" s="45">
        <v>221000000</v>
      </c>
      <c r="AH23" s="45">
        <v>527000000</v>
      </c>
      <c r="AI23" s="45">
        <v>190000000</v>
      </c>
    </row>
    <row r="24" spans="1:35">
      <c r="A24" s="42" t="s">
        <v>211</v>
      </c>
      <c r="B24" s="43">
        <v>704612021.573308</v>
      </c>
      <c r="C24" s="43">
        <v>825656544.5164622</v>
      </c>
      <c r="D24" s="43">
        <v>630578258.9475944</v>
      </c>
      <c r="E24" s="44">
        <v>766352016.0855968</v>
      </c>
      <c r="F24" s="43">
        <v>741721411.4296284</v>
      </c>
      <c r="G24" s="43">
        <v>371516001.9488549</v>
      </c>
      <c r="H24" s="43">
        <v>275548702.4954451</v>
      </c>
      <c r="I24" s="44">
        <v>378944449.1462942</v>
      </c>
      <c r="J24" s="43">
        <v>712382040.9710131</v>
      </c>
      <c r="K24" s="43">
        <v>1116674208.278833</v>
      </c>
      <c r="L24" s="43">
        <v>1638080548.770822</v>
      </c>
      <c r="M24" s="44">
        <v>1878623343.122775</v>
      </c>
      <c r="N24" s="45">
        <v>16000000</v>
      </c>
      <c r="O24" s="45">
        <v>-6000000</v>
      </c>
      <c r="P24" s="45">
        <v>-24000000</v>
      </c>
      <c r="Q24" s="46">
        <v>-207000000</v>
      </c>
      <c r="R24" s="45">
        <v>258000000</v>
      </c>
      <c r="S24" s="45">
        <v>102000000</v>
      </c>
      <c r="T24" s="45">
        <v>47000000</v>
      </c>
      <c r="U24" s="46">
        <v>17000000</v>
      </c>
      <c r="V24" s="45">
        <v>46000000</v>
      </c>
      <c r="W24" s="45">
        <v>-45000000</v>
      </c>
      <c r="X24" s="45">
        <v>-87000000</v>
      </c>
      <c r="Y24" s="46">
        <v>64000000</v>
      </c>
      <c r="Z24" s="45">
        <v>179000000</v>
      </c>
      <c r="AA24" s="45">
        <v>-22000000</v>
      </c>
      <c r="AC24" s="43">
        <v>4598766078.327303</v>
      </c>
      <c r="AD24" s="45">
        <v>-15000000</v>
      </c>
      <c r="AE24" s="45">
        <v>115000000</v>
      </c>
      <c r="AF24" s="45">
        <v>82000000</v>
      </c>
      <c r="AG24" s="45">
        <v>-221000000</v>
      </c>
      <c r="AH24" s="45">
        <v>424000000</v>
      </c>
      <c r="AI24" s="45">
        <v>-22000000</v>
      </c>
    </row>
    <row r="25" spans="1:35">
      <c r="A25" s="47" t="s">
        <v>212</v>
      </c>
      <c r="B25" s="48">
        <v>808022636.4693674</v>
      </c>
      <c r="C25" s="48">
        <v>-434038450.4253445</v>
      </c>
      <c r="D25" s="48">
        <v>148116727.8374273</v>
      </c>
      <c r="E25" s="48">
        <v>1304047282.481592</v>
      </c>
      <c r="F25" s="48">
        <v>716337634.7157111</v>
      </c>
      <c r="G25" s="48">
        <v>-120893844.5489083</v>
      </c>
      <c r="H25" s="48">
        <v>511896458.1812996</v>
      </c>
      <c r="I25" s="48">
        <v>625110521.9979019</v>
      </c>
      <c r="J25" s="48">
        <v>960166690.8851826</v>
      </c>
      <c r="K25" s="48">
        <v>1914081864.084396</v>
      </c>
      <c r="L25" s="48">
        <v>2318047141.347968</v>
      </c>
      <c r="M25" s="48">
        <v>2357588201.186064</v>
      </c>
      <c r="N25" s="48">
        <v>357000000</v>
      </c>
      <c r="O25" s="48">
        <v>374000000</v>
      </c>
      <c r="P25" s="48">
        <v>-161000000</v>
      </c>
      <c r="Q25" s="48">
        <v>-2068000000</v>
      </c>
      <c r="R25" s="48">
        <v>915000000</v>
      </c>
      <c r="S25" s="48">
        <v>637000000</v>
      </c>
      <c r="T25" s="48">
        <v>1532000000</v>
      </c>
      <c r="U25" s="48">
        <v>-267000000</v>
      </c>
      <c r="V25" s="48">
        <v>36000000</v>
      </c>
      <c r="W25" s="48">
        <v>13000000</v>
      </c>
      <c r="X25" s="48">
        <v>-285000000</v>
      </c>
      <c r="Y25" s="48">
        <v>-585000000</v>
      </c>
      <c r="Z25" s="48">
        <v>588000000</v>
      </c>
      <c r="AA25" s="48">
        <v>1183000000</v>
      </c>
      <c r="AC25" s="48">
        <v>3905337460.11191</v>
      </c>
      <c r="AD25" s="48">
        <v>-1036000000</v>
      </c>
      <c r="AE25" s="48">
        <v>131000000</v>
      </c>
      <c r="AF25" s="48">
        <v>2316000000</v>
      </c>
      <c r="AG25" s="48">
        <v>-1498000000</v>
      </c>
      <c r="AH25" s="48">
        <v>2817000000</v>
      </c>
      <c r="AI25" s="48">
        <v>-821000000</v>
      </c>
    </row>
    <row r="26" spans="1:35">
      <c r="A26" s="42" t="s">
        <v>213</v>
      </c>
      <c r="B26" s="43">
        <v>101147337.3853443</v>
      </c>
      <c r="C26" s="43">
        <v>-1253503755.784088</v>
      </c>
      <c r="D26" s="43">
        <v>-484291312.757647</v>
      </c>
      <c r="E26" s="44">
        <v>552984053.4973228</v>
      </c>
      <c r="F26" s="43">
        <v>-23339066.61813659</v>
      </c>
      <c r="G26" s="43">
        <v>-479158144.0445681</v>
      </c>
      <c r="H26" s="43">
        <v>231501654.3873461</v>
      </c>
      <c r="I26" s="44">
        <v>247261029.0996335</v>
      </c>
      <c r="J26" s="43">
        <v>249529281.9648957</v>
      </c>
      <c r="K26" s="43">
        <v>789133734.3692247</v>
      </c>
      <c r="L26" s="43">
        <v>677856956.7970905</v>
      </c>
      <c r="M26" s="44">
        <v>478156317.0926145</v>
      </c>
      <c r="N26" s="45">
        <v>341000000</v>
      </c>
      <c r="O26" s="45">
        <v>335000000</v>
      </c>
      <c r="P26" s="45">
        <v>-128000000</v>
      </c>
      <c r="Q26" s="46">
        <v>-1860000000</v>
      </c>
      <c r="R26" s="45">
        <v>649000000</v>
      </c>
      <c r="S26" s="45">
        <v>519000000</v>
      </c>
      <c r="T26" s="45">
        <v>1470000000</v>
      </c>
      <c r="U26" s="46">
        <v>-290000000</v>
      </c>
      <c r="V26" s="45">
        <v>-16000000</v>
      </c>
      <c r="W26" s="45">
        <v>50000000</v>
      </c>
      <c r="X26" s="45">
        <v>-206000000</v>
      </c>
      <c r="Y26" s="46">
        <v>-654000000</v>
      </c>
      <c r="Z26" s="45">
        <v>404000000</v>
      </c>
      <c r="AA26" s="45">
        <v>1201000000</v>
      </c>
      <c r="AC26" s="43">
        <v>-707804501.3696239</v>
      </c>
      <c r="AD26" s="45">
        <v>-1004000000</v>
      </c>
      <c r="AE26" s="45">
        <v>26000000</v>
      </c>
      <c r="AF26" s="45">
        <v>2228000000</v>
      </c>
      <c r="AG26" s="45">
        <v>-1312000000</v>
      </c>
      <c r="AH26" s="45">
        <v>2348000000</v>
      </c>
      <c r="AI26" s="45">
        <v>-826000000</v>
      </c>
    </row>
    <row r="27" spans="1:35">
      <c r="A27" s="42" t="s">
        <v>214</v>
      </c>
      <c r="B27" s="43">
        <v>2263277.510715206</v>
      </c>
      <c r="C27" s="43">
        <v>-6191239.157718879</v>
      </c>
      <c r="D27" s="43">
        <v>1829781.647479972</v>
      </c>
      <c r="E27" s="44">
        <v>-15288787.10132758</v>
      </c>
      <c r="F27" s="43">
        <v>-2044710.095780601</v>
      </c>
      <c r="G27" s="43">
        <v>-13251702.45319518</v>
      </c>
      <c r="H27" s="43">
        <v>4846101.298508445</v>
      </c>
      <c r="I27" s="44">
        <v>-1094956.248025752</v>
      </c>
      <c r="J27" s="43">
        <v>-1744632.050726257</v>
      </c>
      <c r="K27" s="43">
        <v>8273921.436337655</v>
      </c>
      <c r="L27" s="43">
        <v>2109635.780055366</v>
      </c>
      <c r="M27" s="44">
        <v>808540.9706746073</v>
      </c>
      <c r="N27" s="43">
        <v>177025.0054376365</v>
      </c>
      <c r="O27" s="45">
        <v>45000000</v>
      </c>
      <c r="P27" s="45">
        <v>-9000000</v>
      </c>
      <c r="Q27" s="46">
        <v>-1000000</v>
      </c>
      <c r="R27" s="45">
        <v>8000000</v>
      </c>
      <c r="S27" s="45">
        <v>16000000</v>
      </c>
      <c r="T27" s="45">
        <v>15000000</v>
      </c>
      <c r="U27" s="46">
        <v>6000000</v>
      </c>
      <c r="V27" s="45">
        <v>6000000</v>
      </c>
      <c r="W27" s="45">
        <v>8000000</v>
      </c>
      <c r="X27" s="45">
        <v>8000000</v>
      </c>
      <c r="Y27" s="46">
        <v>5000000</v>
      </c>
      <c r="Z27" s="45">
        <v>5000000</v>
      </c>
      <c r="AA27" s="45">
        <v>4000000</v>
      </c>
      <c r="AC27" s="43">
        <v>14375883.15423028</v>
      </c>
      <c r="AD27" s="45">
        <v>-17000000</v>
      </c>
      <c r="AE27" s="45">
        <v>-10000000</v>
      </c>
      <c r="AF27" s="45">
        <v>6000000</v>
      </c>
      <c r="AG27" s="45">
        <v>35000000</v>
      </c>
      <c r="AH27" s="45">
        <v>45000000</v>
      </c>
      <c r="AI27" s="45">
        <v>27000000</v>
      </c>
    </row>
    <row r="28" spans="1:35">
      <c r="A28" s="42" t="s">
        <v>215</v>
      </c>
      <c r="B28" s="43">
        <v>697675645.8929865</v>
      </c>
      <c r="C28" s="43">
        <v>820990897.7827744</v>
      </c>
      <c r="D28" s="43">
        <v>623832646.0083772</v>
      </c>
      <c r="E28" s="44">
        <v>757001228.880533</v>
      </c>
      <c r="F28" s="43">
        <v>732819579.6314234</v>
      </c>
      <c r="G28" s="43">
        <v>363245662.3455356</v>
      </c>
      <c r="H28" s="43">
        <v>268377295.690646</v>
      </c>
      <c r="I28" s="44">
        <v>370344065.5254374</v>
      </c>
      <c r="J28" s="43">
        <v>700150857.1315129</v>
      </c>
      <c r="K28" s="43">
        <v>1102364393.335659</v>
      </c>
      <c r="L28" s="43">
        <v>1619543784.032084</v>
      </c>
      <c r="M28" s="44">
        <v>1864205391.157158</v>
      </c>
      <c r="N28" s="45">
        <v>14000000</v>
      </c>
      <c r="O28" s="45">
        <v>-7000000</v>
      </c>
      <c r="P28" s="45">
        <v>-24000000</v>
      </c>
      <c r="Q28" s="46">
        <v>-173000000</v>
      </c>
      <c r="R28" s="45">
        <v>214000000</v>
      </c>
      <c r="S28" s="45">
        <v>85000000</v>
      </c>
      <c r="T28" s="45">
        <v>40000000</v>
      </c>
      <c r="U28" s="46">
        <v>14000000</v>
      </c>
      <c r="V28" s="45">
        <v>37000000</v>
      </c>
      <c r="W28" s="45">
        <v>-34000000</v>
      </c>
      <c r="X28" s="45">
        <v>-71000000</v>
      </c>
      <c r="Y28" s="46">
        <v>61000000</v>
      </c>
      <c r="Z28" s="45">
        <v>145000000</v>
      </c>
      <c r="AA28" s="45">
        <v>-18000000</v>
      </c>
      <c r="AC28" s="43">
        <v>4563428827.972758</v>
      </c>
      <c r="AD28" s="45">
        <v>-13000000</v>
      </c>
      <c r="AE28" s="45">
        <v>98000000</v>
      </c>
      <c r="AF28" s="45">
        <v>70000000</v>
      </c>
      <c r="AG28" s="45">
        <v>-190000000</v>
      </c>
      <c r="AH28" s="45">
        <v>353000000</v>
      </c>
      <c r="AI28" s="45">
        <v>-7000000</v>
      </c>
    </row>
    <row r="29" spans="1:35">
      <c r="A29" s="42" t="s">
        <v>216</v>
      </c>
      <c r="B29" s="43">
        <v>6936375.680321421</v>
      </c>
      <c r="C29" s="43">
        <v>4665646.733687672</v>
      </c>
      <c r="D29" s="43">
        <v>6745612.939217212</v>
      </c>
      <c r="E29" s="44">
        <v>9350787.205063805</v>
      </c>
      <c r="F29" s="43">
        <v>8901831.79820505</v>
      </c>
      <c r="G29" s="43">
        <v>8270339.603319398</v>
      </c>
      <c r="H29" s="43">
        <v>7171406.804799121</v>
      </c>
      <c r="I29" s="44">
        <v>8600383.620856818</v>
      </c>
      <c r="J29" s="43">
        <v>12231183.83950021</v>
      </c>
      <c r="K29" s="43">
        <v>14309814.94317414</v>
      </c>
      <c r="L29" s="43">
        <v>18536764.73873823</v>
      </c>
      <c r="M29" s="44">
        <v>14417951.96561742</v>
      </c>
      <c r="N29" s="45">
        <v>2000000</v>
      </c>
      <c r="O29" s="45">
        <v>1000000</v>
      </c>
      <c r="P29" s="46">
        <v>0</v>
      </c>
      <c r="Q29" s="46">
        <v>-34000000</v>
      </c>
      <c r="R29" s="45">
        <v>44000000</v>
      </c>
      <c r="S29" s="45">
        <v>17000000</v>
      </c>
      <c r="T29" s="45">
        <v>7000000</v>
      </c>
      <c r="U29" s="46">
        <v>3000000</v>
      </c>
      <c r="V29" s="45">
        <v>9000000</v>
      </c>
      <c r="W29" s="45">
        <v>-11000000</v>
      </c>
      <c r="X29" s="45">
        <v>-16000000</v>
      </c>
      <c r="Y29" s="46">
        <v>3000000</v>
      </c>
      <c r="Z29" s="45">
        <v>34000000</v>
      </c>
      <c r="AA29" s="45">
        <v>-4000000</v>
      </c>
      <c r="AC29" s="43">
        <v>35337250.35454582</v>
      </c>
      <c r="AD29" s="45">
        <v>-2000000</v>
      </c>
      <c r="AE29" s="45">
        <v>17000000</v>
      </c>
      <c r="AF29" s="45">
        <v>12000000</v>
      </c>
      <c r="AG29" s="45">
        <v>-31000000</v>
      </c>
      <c r="AH29" s="45">
        <v>71000000</v>
      </c>
      <c r="AI29" s="45">
        <v>-15000000</v>
      </c>
    </row>
    <row r="30" spans="1:35">
      <c r="A30" s="42" t="s">
        <v>217</v>
      </c>
      <c r="B30" s="43">
        <v>798822983.2783308</v>
      </c>
      <c r="C30" s="43">
        <v>-432512858.0013134</v>
      </c>
      <c r="D30" s="43">
        <v>139541333.2507301</v>
      </c>
      <c r="E30" s="44">
        <v>1309985282.377856</v>
      </c>
      <c r="F30" s="43">
        <v>709480513.0132868</v>
      </c>
      <c r="G30" s="43">
        <v>-115912481.6990325</v>
      </c>
      <c r="H30" s="43">
        <v>499878950.0779921</v>
      </c>
      <c r="I30" s="44">
        <v>617605094.6250709</v>
      </c>
      <c r="J30" s="43">
        <v>949680139.0964086</v>
      </c>
      <c r="K30" s="43">
        <v>1891498127.704884</v>
      </c>
      <c r="L30" s="43">
        <v>2297400740.829175</v>
      </c>
      <c r="M30" s="44">
        <v>2342361708.249773</v>
      </c>
      <c r="N30" s="45">
        <v>355000000</v>
      </c>
      <c r="O30" s="45">
        <v>328000000</v>
      </c>
      <c r="P30" s="45">
        <v>-152000000</v>
      </c>
      <c r="Q30" s="46">
        <v>-2033000000</v>
      </c>
      <c r="R30" s="45">
        <v>863000000</v>
      </c>
      <c r="S30" s="45">
        <v>604000000</v>
      </c>
      <c r="T30" s="45">
        <v>1510000000</v>
      </c>
      <c r="U30" s="46">
        <v>-276000000</v>
      </c>
      <c r="V30" s="45">
        <v>21000000</v>
      </c>
      <c r="W30" s="45">
        <v>16000000</v>
      </c>
      <c r="X30" s="45">
        <v>-277000000</v>
      </c>
      <c r="Y30" s="46">
        <v>-593000000</v>
      </c>
      <c r="Z30" s="45">
        <v>549000000</v>
      </c>
      <c r="AA30" s="45">
        <v>1183000000</v>
      </c>
      <c r="AC30" s="43">
        <v>3855624326.603134</v>
      </c>
      <c r="AD30" s="45">
        <v>-1017000000</v>
      </c>
      <c r="AE30" s="45">
        <v>124000000</v>
      </c>
      <c r="AF30" s="45">
        <v>2298000000</v>
      </c>
      <c r="AG30" s="45">
        <v>-1502000000</v>
      </c>
      <c r="AH30" s="45">
        <v>2701000000</v>
      </c>
      <c r="AI30" s="45">
        <v>-833000000</v>
      </c>
    </row>
    <row r="31" spans="1:35">
      <c r="A31" s="42" t="s">
        <v>218</v>
      </c>
      <c r="B31" s="43">
        <v>9199653.191036627</v>
      </c>
      <c r="C31" s="43">
        <v>-1525592.424031207</v>
      </c>
      <c r="D31" s="43">
        <v>8575394.586697184</v>
      </c>
      <c r="E31" s="44">
        <v>-5937999.896263779</v>
      </c>
      <c r="F31" s="43">
        <v>6857121.702424449</v>
      </c>
      <c r="G31" s="43">
        <v>-4981362.849875777</v>
      </c>
      <c r="H31" s="43">
        <v>12017508.10330756</v>
      </c>
      <c r="I31" s="44">
        <v>7505427.372831065</v>
      </c>
      <c r="J31" s="43">
        <v>10486551.78877395</v>
      </c>
      <c r="K31" s="43">
        <v>22583736.3795118</v>
      </c>
      <c r="L31" s="43">
        <v>20646400.5187936</v>
      </c>
      <c r="M31" s="44">
        <v>15226492.93629203</v>
      </c>
      <c r="N31" s="45">
        <v>2000000</v>
      </c>
      <c r="O31" s="45">
        <v>46000000</v>
      </c>
      <c r="P31" s="45">
        <v>-9000000</v>
      </c>
      <c r="Q31" s="46">
        <v>-35000000</v>
      </c>
      <c r="R31" s="45">
        <v>52000000</v>
      </c>
      <c r="S31" s="45">
        <v>33000000</v>
      </c>
      <c r="T31" s="45">
        <v>22000000</v>
      </c>
      <c r="U31" s="46">
        <v>9000000</v>
      </c>
      <c r="V31" s="45">
        <v>15000000</v>
      </c>
      <c r="W31" s="45">
        <v>-3000000</v>
      </c>
      <c r="X31" s="45">
        <v>-8000000</v>
      </c>
      <c r="Y31" s="46">
        <v>8000000</v>
      </c>
      <c r="Z31" s="45">
        <v>39000000</v>
      </c>
      <c r="AA31" s="46">
        <v>0</v>
      </c>
      <c r="AC31" s="43">
        <v>49713133.50877609</v>
      </c>
      <c r="AD31" s="45">
        <v>-19000000</v>
      </c>
      <c r="AE31" s="45">
        <v>7000000</v>
      </c>
      <c r="AF31" s="45">
        <v>18000000</v>
      </c>
      <c r="AG31" s="45">
        <v>4000000</v>
      </c>
      <c r="AH31" s="45">
        <v>116000000</v>
      </c>
      <c r="AI31" s="45">
        <v>12000000</v>
      </c>
    </row>
    <row r="32" spans="1:35">
      <c r="A32" s="42" t="s">
        <v>219</v>
      </c>
      <c r="B32" s="43">
        <v>257753.1150692209</v>
      </c>
      <c r="C32" s="43">
        <v>-3194412.796998159</v>
      </c>
      <c r="D32" s="43">
        <v>-1232917.798141543</v>
      </c>
      <c r="F32" s="43">
        <v>-59420.85692710477</v>
      </c>
      <c r="G32" s="43">
        <v>-1220540.337596699</v>
      </c>
      <c r="H32" s="43">
        <v>589866.2153789578</v>
      </c>
      <c r="J32" s="43">
        <v>634914.7500734425</v>
      </c>
      <c r="K32" s="43">
        <v>2007782.328875216</v>
      </c>
      <c r="L32" s="43">
        <v>1724000.26054035</v>
      </c>
      <c r="N32" s="45">
        <v>870000</v>
      </c>
      <c r="O32" s="45">
        <v>860000</v>
      </c>
      <c r="P32" s="45">
        <v>-330000</v>
      </c>
      <c r="R32" s="45">
        <v>1660000</v>
      </c>
      <c r="S32" s="45">
        <v>1320000</v>
      </c>
      <c r="T32" s="45">
        <v>3750000</v>
      </c>
      <c r="V32" s="45">
        <v>-40000</v>
      </c>
      <c r="W32" s="45">
        <v>10000</v>
      </c>
      <c r="X32" s="45">
        <v>-530000</v>
      </c>
      <c r="Z32" s="45">
        <v>1030000</v>
      </c>
      <c r="AA32" s="45">
        <v>310000</v>
      </c>
      <c r="AC32" s="43">
        <v>-1804256.433446387</v>
      </c>
      <c r="AD32" s="45">
        <v>-2560000</v>
      </c>
      <c r="AE32" s="45">
        <v>70000</v>
      </c>
      <c r="AF32" s="45">
        <v>5670000</v>
      </c>
      <c r="AG32" s="45">
        <v>-3350000</v>
      </c>
      <c r="AH32" s="45">
        <v>5990000</v>
      </c>
      <c r="AI32" s="45">
        <v>-2110000</v>
      </c>
    </row>
    <row r="34" spans="1:35">
      <c r="A34" s="5" t="s">
        <v>220</v>
      </c>
    </row>
    <row r="35" spans="1:35">
      <c r="A35" s="42" t="s">
        <v>221</v>
      </c>
      <c r="AC35" s="43">
        <v>-860662519.0702401</v>
      </c>
    </row>
    <row r="36" spans="1:35">
      <c r="A36" s="42" t="s">
        <v>222</v>
      </c>
      <c r="AC36" s="43">
        <v>-860662519.0702401</v>
      </c>
      <c r="AD36" s="43">
        <v>97140482.02986063</v>
      </c>
    </row>
    <row r="37" spans="1:35">
      <c r="A37" s="42" t="s">
        <v>223</v>
      </c>
      <c r="D37" s="43">
        <v>-19185397.12469673</v>
      </c>
      <c r="AE37" s="45">
        <v>-115000000</v>
      </c>
      <c r="AF37" s="45">
        <v>-123000000</v>
      </c>
      <c r="AG37" s="45">
        <v>-2288000000</v>
      </c>
    </row>
    <row r="38" spans="1:35">
      <c r="A38" s="42" t="s">
        <v>224</v>
      </c>
      <c r="AC38" s="43">
        <v>-860662519.0702401</v>
      </c>
      <c r="AD38" s="45">
        <v>-53000000</v>
      </c>
      <c r="AE38" s="45">
        <v>-115000000</v>
      </c>
      <c r="AF38" s="45">
        <v>-123000000</v>
      </c>
    </row>
    <row r="39" spans="1:35">
      <c r="A39" s="42" t="s">
        <v>225</v>
      </c>
      <c r="B39" s="43">
        <v>-490659025.2366331</v>
      </c>
      <c r="C39" s="43">
        <v>-558100218.8106396</v>
      </c>
      <c r="D39" s="43">
        <v>-455888731.960943</v>
      </c>
      <c r="E39" s="44">
        <v>-469452021.2724078</v>
      </c>
      <c r="F39" s="43">
        <v>-365144554.839317</v>
      </c>
      <c r="G39" s="43">
        <v>-377306304.0649499</v>
      </c>
      <c r="H39" s="43">
        <v>-307248995.7028857</v>
      </c>
      <c r="I39" s="44">
        <v>-350376045.2205314</v>
      </c>
      <c r="J39" s="43">
        <v>-403675965.4145478</v>
      </c>
      <c r="K39" s="43">
        <v>-516780994.63027</v>
      </c>
      <c r="L39" s="43">
        <v>-634557788.8637865</v>
      </c>
      <c r="AC39" s="43">
        <v>-1901542937.508902</v>
      </c>
      <c r="AD39" s="43">
        <v>-1967381886.306999</v>
      </c>
      <c r="AE39" s="43">
        <v>-1397544834.755642</v>
      </c>
    </row>
    <row r="40" spans="1:35">
      <c r="A40" s="42" t="s">
        <v>226</v>
      </c>
      <c r="C40" s="43">
        <v>-1259694994.941807</v>
      </c>
      <c r="D40" s="43">
        <v>-482461531.1101671</v>
      </c>
      <c r="E40" s="44">
        <v>537695266.395995</v>
      </c>
      <c r="G40" s="43">
        <v>-492409846.4977632</v>
      </c>
      <c r="AC40" s="43">
        <v>-693428618.2153938</v>
      </c>
      <c r="AD40" s="43">
        <v>-1006951629.297126</v>
      </c>
      <c r="AE40" s="43">
        <v>-8501085.781156339</v>
      </c>
    </row>
    <row r="41" spans="1:35">
      <c r="A41" s="42" t="s">
        <v>227</v>
      </c>
      <c r="B41" s="43">
        <v>-29520303.07141488</v>
      </c>
      <c r="C41" s="43">
        <v>-33725960.67494231</v>
      </c>
      <c r="D41" s="43">
        <v>-29890985.27114671</v>
      </c>
      <c r="E41" s="44">
        <v>-34027864.66869476</v>
      </c>
      <c r="F41" s="43">
        <v>-35754184.82400886</v>
      </c>
      <c r="G41" s="43">
        <v>-14326740.16224956</v>
      </c>
      <c r="H41" s="43">
        <v>-12871491.98393644</v>
      </c>
      <c r="I41" s="44">
        <v>-17718382.92259854</v>
      </c>
      <c r="J41" s="43">
        <v>-35971311.36846878</v>
      </c>
      <c r="K41" s="43">
        <v>-58324364.2233638</v>
      </c>
      <c r="L41" s="43">
        <v>-78779406.05241716</v>
      </c>
      <c r="AC41" s="43">
        <v>-166423699.3475994</v>
      </c>
      <c r="AD41" s="43">
        <v>-127625380.0541199</v>
      </c>
      <c r="AE41" s="43">
        <v>-79350481.38797167</v>
      </c>
    </row>
    <row r="42" spans="1:35">
      <c r="A42" s="42" t="s">
        <v>228</v>
      </c>
      <c r="B42" s="43">
        <v>698408361.6338655</v>
      </c>
      <c r="C42" s="43">
        <v>836157952.5614924</v>
      </c>
      <c r="D42" s="43">
        <v>626604628.6534401</v>
      </c>
      <c r="E42" s="44">
        <v>751475763.7139044</v>
      </c>
      <c r="F42" s="43">
        <v>724347023.9859235</v>
      </c>
      <c r="G42" s="43">
        <v>332037636.9698181</v>
      </c>
      <c r="H42" s="43">
        <v>240123804.8929726</v>
      </c>
      <c r="I42" s="44">
        <v>346165440.7394869</v>
      </c>
      <c r="J42" s="43">
        <v>669769872.1191348</v>
      </c>
      <c r="K42" s="43">
        <v>1083239427.392649</v>
      </c>
      <c r="L42" s="43">
        <v>1587272257.676342</v>
      </c>
      <c r="M42" s="44">
        <v>1851083573.572011</v>
      </c>
      <c r="N42" s="43">
        <v>1793757933.774922</v>
      </c>
      <c r="O42" s="43">
        <v>2269208614.560311</v>
      </c>
      <c r="P42" s="43">
        <v>3381147303.296884</v>
      </c>
      <c r="Q42" s="44">
        <v>11810036427.05269</v>
      </c>
      <c r="AC42" s="43">
        <v>4579196595.767643</v>
      </c>
      <c r="AD42" s="43">
        <v>2911619699.808173</v>
      </c>
      <c r="AE42" s="43">
        <v>1614248874.154747</v>
      </c>
      <c r="AF42" s="43">
        <v>5470608037.380843</v>
      </c>
      <c r="AG42" s="43">
        <v>24153372846.88817</v>
      </c>
      <c r="AH42" s="43">
        <v>2563500487.013115</v>
      </c>
    </row>
    <row r="43" spans="1:35">
      <c r="A43" s="42" t="s">
        <v>229</v>
      </c>
      <c r="AI43" s="45">
        <v>46000000</v>
      </c>
    </row>
    <row r="45" spans="1:35">
      <c r="A45" s="6" t="s">
        <v>230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0054EB"/>
  </sheetPr>
  <dimension ref="A1:AI88"/>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62.7109375" customWidth="1"/>
    <col min="2" max="36" width="19.7109375" customWidth="1"/>
  </cols>
  <sheetData>
    <row r="1" spans="1:35">
      <c r="A1" s="1" t="s">
        <v>231</v>
      </c>
    </row>
    <row r="2" spans="1:35">
      <c r="A2" s="2" t="s">
        <v>157</v>
      </c>
    </row>
    <row r="4" spans="1:35">
      <c r="A4" s="40" t="s">
        <v>158</v>
      </c>
      <c r="B4" s="41" t="s">
        <v>159</v>
      </c>
      <c r="C4" s="41" t="s">
        <v>160</v>
      </c>
      <c r="D4" s="41" t="s">
        <v>161</v>
      </c>
      <c r="E4" s="41" t="s">
        <v>162</v>
      </c>
      <c r="F4" s="41" t="s">
        <v>163</v>
      </c>
      <c r="G4" s="41" t="s">
        <v>164</v>
      </c>
      <c r="H4" s="41" t="s">
        <v>165</v>
      </c>
      <c r="I4" s="41" t="s">
        <v>166</v>
      </c>
      <c r="J4" s="41" t="s">
        <v>167</v>
      </c>
      <c r="K4" s="41" t="s">
        <v>168</v>
      </c>
      <c r="L4" s="41" t="s">
        <v>169</v>
      </c>
      <c r="M4" s="41" t="s">
        <v>170</v>
      </c>
      <c r="N4" s="41" t="s">
        <v>171</v>
      </c>
      <c r="O4" s="41" t="s">
        <v>172</v>
      </c>
      <c r="P4" s="41" t="s">
        <v>173</v>
      </c>
      <c r="Q4" s="41" t="s">
        <v>174</v>
      </c>
      <c r="R4" s="41" t="s">
        <v>175</v>
      </c>
      <c r="S4" s="41" t="s">
        <v>176</v>
      </c>
      <c r="T4" s="41" t="s">
        <v>177</v>
      </c>
      <c r="U4" s="41" t="s">
        <v>178</v>
      </c>
      <c r="V4" s="41" t="s">
        <v>179</v>
      </c>
      <c r="W4" s="41" t="s">
        <v>180</v>
      </c>
      <c r="X4" s="41" t="s">
        <v>181</v>
      </c>
      <c r="Y4" s="41" t="s">
        <v>182</v>
      </c>
      <c r="Z4" s="41" t="s">
        <v>183</v>
      </c>
      <c r="AA4" s="41" t="s">
        <v>184</v>
      </c>
      <c r="AB4" s="41"/>
      <c r="AC4" s="41" t="s">
        <v>185</v>
      </c>
      <c r="AD4" s="41" t="s">
        <v>186</v>
      </c>
      <c r="AE4" s="41" t="s">
        <v>187</v>
      </c>
      <c r="AF4" s="41" t="s">
        <v>188</v>
      </c>
      <c r="AG4" s="41" t="s">
        <v>189</v>
      </c>
      <c r="AH4" s="41" t="s">
        <v>190</v>
      </c>
      <c r="AI4" s="41" t="s">
        <v>191</v>
      </c>
    </row>
    <row r="5" spans="1:35">
      <c r="A5" s="42" t="s">
        <v>232</v>
      </c>
      <c r="E5" s="45">
        <v>465000000</v>
      </c>
      <c r="I5" s="45">
        <v>419000000</v>
      </c>
      <c r="J5" s="43">
        <v>416060458.9367681</v>
      </c>
      <c r="K5" s="43">
        <v>413827720.8520128</v>
      </c>
      <c r="L5" s="43">
        <v>412169813.7111924</v>
      </c>
      <c r="M5" s="45">
        <v>384000000</v>
      </c>
      <c r="N5" s="43">
        <v>379652700.8509365</v>
      </c>
      <c r="O5" s="43">
        <v>375674280.554543</v>
      </c>
      <c r="P5" s="43">
        <v>370750114.8640838</v>
      </c>
      <c r="Q5" s="45">
        <v>367000000</v>
      </c>
      <c r="R5" s="45">
        <v>377000000</v>
      </c>
      <c r="S5" s="45">
        <v>389000000</v>
      </c>
      <c r="T5" s="45">
        <v>407000000</v>
      </c>
      <c r="U5" s="45">
        <v>491000000</v>
      </c>
      <c r="V5" s="45">
        <v>594000000</v>
      </c>
      <c r="W5" s="45">
        <v>590000000</v>
      </c>
      <c r="X5" s="45">
        <v>1056000000</v>
      </c>
      <c r="Y5" s="45">
        <v>1068000000</v>
      </c>
      <c r="Z5" s="45">
        <v>1073000000</v>
      </c>
      <c r="AA5" s="45">
        <v>1079000000</v>
      </c>
      <c r="AC5" s="43">
        <v>620833712.1450754</v>
      </c>
      <c r="AD5" s="45">
        <v>465000000</v>
      </c>
      <c r="AE5" s="45">
        <v>419000000</v>
      </c>
      <c r="AF5" s="45">
        <v>384000000</v>
      </c>
      <c r="AG5" s="45">
        <v>367000000</v>
      </c>
      <c r="AH5" s="45">
        <v>491000000</v>
      </c>
      <c r="AI5" s="45">
        <v>1068000000</v>
      </c>
    </row>
    <row r="6" spans="1:35">
      <c r="A6" s="42" t="s">
        <v>233</v>
      </c>
      <c r="E6" s="45">
        <v>16413000000</v>
      </c>
      <c r="I6" s="45">
        <v>16003000000</v>
      </c>
      <c r="J6" s="43">
        <v>16101992930.79477</v>
      </c>
      <c r="K6" s="43">
        <v>16312308316.64557</v>
      </c>
      <c r="L6" s="43">
        <v>16643161664.56808</v>
      </c>
      <c r="M6" s="45">
        <v>17510000000</v>
      </c>
      <c r="N6" s="43">
        <v>18061815901.85295</v>
      </c>
      <c r="O6" s="43">
        <v>18581043838.82134</v>
      </c>
      <c r="P6" s="43">
        <v>18640831372.20165</v>
      </c>
      <c r="Q6" s="45">
        <v>17712000000</v>
      </c>
      <c r="R6" s="45">
        <v>16699000000</v>
      </c>
      <c r="S6" s="45">
        <v>17423000000</v>
      </c>
      <c r="T6" s="45">
        <v>18102000000</v>
      </c>
      <c r="U6" s="45">
        <v>18736000000</v>
      </c>
      <c r="V6" s="45">
        <v>18957000000</v>
      </c>
      <c r="W6" s="45">
        <v>19348000000</v>
      </c>
      <c r="X6" s="45">
        <v>19627000000</v>
      </c>
      <c r="Y6" s="45">
        <v>19085000000</v>
      </c>
      <c r="Z6" s="45">
        <v>19558000000</v>
      </c>
      <c r="AA6" s="45">
        <v>20433000000</v>
      </c>
      <c r="AC6" s="43">
        <v>17850885377.60346</v>
      </c>
      <c r="AD6" s="45">
        <v>16413000000</v>
      </c>
      <c r="AE6" s="45">
        <v>16003000000</v>
      </c>
      <c r="AF6" s="45">
        <v>17510000000</v>
      </c>
      <c r="AG6" s="45">
        <v>17712000000</v>
      </c>
      <c r="AH6" s="45">
        <v>18736000000</v>
      </c>
      <c r="AI6" s="45">
        <v>19085000000</v>
      </c>
    </row>
    <row r="7" spans="1:35">
      <c r="A7" s="42" t="s">
        <v>234</v>
      </c>
      <c r="E7" s="45">
        <v>524000000</v>
      </c>
      <c r="I7" s="45">
        <v>519000000</v>
      </c>
      <c r="J7" s="43">
        <v>495369703.4316982</v>
      </c>
      <c r="K7" s="43">
        <v>520423339.7768974</v>
      </c>
      <c r="L7" s="43">
        <v>500047964.9451022</v>
      </c>
      <c r="M7" s="45">
        <v>541000000</v>
      </c>
      <c r="N7" s="43">
        <v>539838312.2617235</v>
      </c>
      <c r="O7" s="43">
        <v>508543265.3615513</v>
      </c>
      <c r="P7" s="43">
        <v>503332483.7023776</v>
      </c>
      <c r="Q7" s="45">
        <v>631000000</v>
      </c>
      <c r="R7" s="45">
        <v>614000000</v>
      </c>
      <c r="S7" s="45">
        <v>565000000</v>
      </c>
      <c r="T7" s="45">
        <v>551000000</v>
      </c>
      <c r="U7" s="45">
        <v>743000000</v>
      </c>
      <c r="V7" s="45">
        <v>656000000</v>
      </c>
      <c r="W7" s="45">
        <v>672000000</v>
      </c>
      <c r="X7" s="45">
        <v>588000000</v>
      </c>
      <c r="Y7" s="45">
        <v>537000000</v>
      </c>
      <c r="Z7" s="45">
        <v>609000000</v>
      </c>
      <c r="AA7" s="45">
        <v>689000000</v>
      </c>
      <c r="AC7" s="43">
        <v>1025137911.786178</v>
      </c>
      <c r="AD7" s="45">
        <v>524000000</v>
      </c>
      <c r="AE7" s="45">
        <v>519000000</v>
      </c>
      <c r="AF7" s="45">
        <v>541000000</v>
      </c>
      <c r="AG7" s="45">
        <v>631000000</v>
      </c>
      <c r="AH7" s="45">
        <v>743000000</v>
      </c>
      <c r="AI7" s="45">
        <v>537000000</v>
      </c>
    </row>
    <row r="8" spans="1:35">
      <c r="A8" s="42" t="s">
        <v>235</v>
      </c>
      <c r="E8" s="45">
        <v>1274000000</v>
      </c>
      <c r="I8" s="45">
        <v>1529000000</v>
      </c>
      <c r="J8" s="43">
        <v>1649538588.329632</v>
      </c>
      <c r="K8" s="43">
        <v>1714346982.538399</v>
      </c>
      <c r="L8" s="43">
        <v>1867806821.614212</v>
      </c>
      <c r="M8" s="45">
        <v>1905000000</v>
      </c>
      <c r="N8" s="43">
        <v>1805419235.364309</v>
      </c>
      <c r="O8" s="43">
        <v>1809358692.311541</v>
      </c>
      <c r="P8" s="43">
        <v>1835541174.872569</v>
      </c>
      <c r="Q8" s="45">
        <v>1676000000</v>
      </c>
      <c r="R8" s="45">
        <v>1834000000</v>
      </c>
      <c r="S8" s="45">
        <v>1745000000</v>
      </c>
      <c r="T8" s="45">
        <v>1858000000</v>
      </c>
      <c r="U8" s="45">
        <v>1960000000</v>
      </c>
      <c r="V8" s="45">
        <v>2104000000</v>
      </c>
      <c r="W8" s="45">
        <v>1913000000</v>
      </c>
      <c r="X8" s="45">
        <v>1917000000</v>
      </c>
      <c r="Y8" s="45">
        <v>1610000000</v>
      </c>
      <c r="Z8" s="45">
        <v>1717000000</v>
      </c>
      <c r="AA8" s="45">
        <v>2056000000</v>
      </c>
      <c r="AC8" s="43">
        <v>1128651943.405838</v>
      </c>
      <c r="AD8" s="45">
        <v>1274000000</v>
      </c>
      <c r="AE8" s="45">
        <v>1529000000</v>
      </c>
      <c r="AF8" s="45">
        <v>1905000000</v>
      </c>
      <c r="AG8" s="45">
        <v>1676000000</v>
      </c>
      <c r="AH8" s="45">
        <v>1960000000</v>
      </c>
      <c r="AI8" s="45">
        <v>1610000000</v>
      </c>
    </row>
    <row r="9" spans="1:35">
      <c r="A9" s="42" t="s">
        <v>236</v>
      </c>
      <c r="E9" s="45">
        <v>33000000</v>
      </c>
      <c r="I9" s="45">
        <v>19000000</v>
      </c>
      <c r="J9" s="43">
        <v>14640182.01797813</v>
      </c>
      <c r="K9" s="43">
        <v>14455538.34225226</v>
      </c>
      <c r="L9" s="43">
        <v>6194923.452301463</v>
      </c>
      <c r="M9" s="45">
        <v>17000000</v>
      </c>
      <c r="N9" s="43">
        <v>16019040.60951957</v>
      </c>
      <c r="O9" s="43">
        <v>16019692.51881553</v>
      </c>
      <c r="P9" s="43">
        <v>16972394.43358624</v>
      </c>
      <c r="Q9" s="45">
        <v>18000000</v>
      </c>
      <c r="R9" s="45">
        <v>18000000</v>
      </c>
      <c r="S9" s="45">
        <v>19000000</v>
      </c>
      <c r="T9" s="45">
        <v>67000000</v>
      </c>
      <c r="U9" s="45">
        <v>330000000</v>
      </c>
      <c r="V9" s="45">
        <v>309000000</v>
      </c>
      <c r="W9" s="45">
        <v>231000000</v>
      </c>
      <c r="X9" s="45">
        <v>4000000</v>
      </c>
      <c r="Y9" s="45">
        <v>9000000</v>
      </c>
      <c r="Z9" s="45">
        <v>41000000</v>
      </c>
      <c r="AA9" s="45">
        <v>24000000</v>
      </c>
      <c r="AC9" s="43">
        <v>26433733.19146976</v>
      </c>
      <c r="AD9" s="45">
        <v>33000000</v>
      </c>
      <c r="AE9" s="45">
        <v>19000000</v>
      </c>
      <c r="AF9" s="45">
        <v>17000000</v>
      </c>
      <c r="AG9" s="45">
        <v>18000000</v>
      </c>
      <c r="AH9" s="45">
        <v>330000000</v>
      </c>
      <c r="AI9" s="45">
        <v>9000000</v>
      </c>
    </row>
    <row r="10" spans="1:35">
      <c r="A10" s="42" t="s">
        <v>237</v>
      </c>
      <c r="E10" s="45">
        <v>175000000</v>
      </c>
      <c r="I10" s="45">
        <v>190000000</v>
      </c>
      <c r="J10" s="43">
        <v>54011009.96786393</v>
      </c>
      <c r="K10" s="43">
        <v>50147141.02265301</v>
      </c>
      <c r="L10" s="43">
        <v>45186900.48358202</v>
      </c>
      <c r="M10" s="45">
        <v>205000000</v>
      </c>
      <c r="N10" s="43">
        <v>207139955.8253411</v>
      </c>
      <c r="O10" s="43">
        <v>212186760.6311632</v>
      </c>
      <c r="P10" s="43">
        <v>202563142.1163832</v>
      </c>
      <c r="Q10" s="45">
        <v>158000000</v>
      </c>
      <c r="R10" s="45">
        <v>177000000</v>
      </c>
      <c r="S10" s="45">
        <v>242000000</v>
      </c>
      <c r="T10" s="45">
        <v>290000000</v>
      </c>
      <c r="U10" s="45">
        <v>337000000</v>
      </c>
      <c r="V10" s="45">
        <v>438000000</v>
      </c>
      <c r="W10" s="45">
        <v>760000000</v>
      </c>
      <c r="X10" s="45">
        <v>774000000</v>
      </c>
      <c r="Y10" s="45">
        <v>648000000</v>
      </c>
      <c r="Z10" s="45">
        <v>636000000</v>
      </c>
      <c r="AA10" s="45">
        <v>797000000</v>
      </c>
      <c r="AC10" s="43">
        <v>196858673.780314</v>
      </c>
      <c r="AD10" s="45">
        <v>175000000</v>
      </c>
      <c r="AE10" s="45">
        <v>190000000</v>
      </c>
      <c r="AF10" s="45">
        <v>205000000</v>
      </c>
      <c r="AG10" s="45">
        <v>158000000</v>
      </c>
      <c r="AH10" s="45">
        <v>337000000</v>
      </c>
      <c r="AI10" s="45">
        <v>648000000</v>
      </c>
    </row>
    <row r="11" spans="1:35">
      <c r="A11" s="42" t="s">
        <v>238</v>
      </c>
      <c r="E11" s="45">
        <v>101000000</v>
      </c>
      <c r="I11" s="45">
        <v>43000000</v>
      </c>
      <c r="J11" s="43">
        <v>42397967.12406467</v>
      </c>
      <c r="K11" s="43">
        <v>40283831.71177923</v>
      </c>
      <c r="L11" s="43">
        <v>10050600.28814661</v>
      </c>
      <c r="M11" s="45">
        <v>6000000</v>
      </c>
      <c r="N11" s="43">
        <v>5278947.533996124</v>
      </c>
      <c r="O11" s="43">
        <v>4867582.01046856</v>
      </c>
      <c r="P11" s="43">
        <v>3245352.647122364</v>
      </c>
      <c r="Q11" s="45">
        <v>31000000</v>
      </c>
      <c r="R11" s="45">
        <v>31000000</v>
      </c>
      <c r="S11" s="45">
        <v>32000000</v>
      </c>
      <c r="T11" s="45">
        <v>31000000</v>
      </c>
      <c r="U11" s="45">
        <v>1000000</v>
      </c>
      <c r="V11" s="45">
        <v>2000000</v>
      </c>
      <c r="W11" s="45">
        <v>2000000</v>
      </c>
      <c r="X11" s="45">
        <v>1000000</v>
      </c>
      <c r="Y11" s="45">
        <v>5000000</v>
      </c>
      <c r="Z11" s="45">
        <v>6000000</v>
      </c>
      <c r="AA11" s="45">
        <v>6000000</v>
      </c>
      <c r="AC11" s="43">
        <v>255904586.961007</v>
      </c>
      <c r="AD11" s="45">
        <v>101000000</v>
      </c>
      <c r="AE11" s="45">
        <v>43000000</v>
      </c>
      <c r="AF11" s="45">
        <v>6000000</v>
      </c>
      <c r="AG11" s="45">
        <v>31000000</v>
      </c>
      <c r="AH11" s="45">
        <v>1000000</v>
      </c>
      <c r="AI11" s="45">
        <v>5000000</v>
      </c>
    </row>
    <row r="12" spans="1:35">
      <c r="A12" s="47" t="s">
        <v>239</v>
      </c>
      <c r="E12" s="48">
        <v>18985000000</v>
      </c>
      <c r="I12" s="48">
        <v>18747000000</v>
      </c>
      <c r="J12" s="48">
        <v>18808831950.44861</v>
      </c>
      <c r="K12" s="48">
        <v>19244602289.64353</v>
      </c>
      <c r="L12" s="48">
        <v>19686011502.41428</v>
      </c>
      <c r="M12" s="48">
        <v>20769000000</v>
      </c>
      <c r="N12" s="48">
        <v>21183049968.86996</v>
      </c>
      <c r="O12" s="48">
        <v>21572619927.43006</v>
      </c>
      <c r="P12" s="48">
        <v>21583963410.88526</v>
      </c>
      <c r="Q12" s="48">
        <v>20601000000</v>
      </c>
      <c r="R12" s="48">
        <v>19757000000</v>
      </c>
      <c r="S12" s="48">
        <v>20422000000</v>
      </c>
      <c r="T12" s="48">
        <v>21306000000</v>
      </c>
      <c r="U12" s="48">
        <v>22598000000</v>
      </c>
      <c r="V12" s="48">
        <v>23060000000</v>
      </c>
      <c r="W12" s="48">
        <v>23516000000</v>
      </c>
      <c r="X12" s="48">
        <v>23967000000</v>
      </c>
      <c r="Y12" s="48">
        <v>22962000000</v>
      </c>
      <c r="Z12" s="48">
        <v>23640000000</v>
      </c>
      <c r="AA12" s="48">
        <v>25084000000</v>
      </c>
      <c r="AC12" s="48">
        <v>21104705938.87335</v>
      </c>
      <c r="AD12" s="48">
        <v>18985000000</v>
      </c>
      <c r="AE12" s="48">
        <v>18747000000</v>
      </c>
      <c r="AF12" s="48">
        <v>20769000000</v>
      </c>
      <c r="AG12" s="48">
        <v>20601000000</v>
      </c>
      <c r="AH12" s="48">
        <v>22598000000</v>
      </c>
      <c r="AI12" s="48">
        <v>22962000000</v>
      </c>
    </row>
    <row r="13" spans="1:35">
      <c r="A13" s="42" t="s">
        <v>240</v>
      </c>
      <c r="B13" s="43">
        <v>28346363.76038769</v>
      </c>
      <c r="E13" s="45">
        <v>6000000</v>
      </c>
      <c r="F13" s="43">
        <v>5870662.562612129</v>
      </c>
      <c r="H13" s="43">
        <v>1002632.192613511</v>
      </c>
      <c r="I13" s="45">
        <v>1000000</v>
      </c>
      <c r="J13" s="43">
        <v>1000037.04861266</v>
      </c>
      <c r="K13" s="43">
        <v>998310.658995322</v>
      </c>
      <c r="R13" s="45">
        <v>1858000000</v>
      </c>
      <c r="S13" s="45">
        <v>1940000000</v>
      </c>
      <c r="T13" s="45">
        <v>2072000000</v>
      </c>
      <c r="U13" s="45">
        <v>1537000000</v>
      </c>
      <c r="V13" s="45">
        <v>1534000000</v>
      </c>
      <c r="W13" s="45">
        <v>529000000</v>
      </c>
      <c r="X13" s="45">
        <v>489000000</v>
      </c>
      <c r="Y13" s="45">
        <v>1019000000</v>
      </c>
      <c r="Z13" s="45">
        <v>957000000</v>
      </c>
      <c r="AA13" s="45">
        <v>432000000</v>
      </c>
      <c r="AD13" s="45">
        <v>6000000</v>
      </c>
      <c r="AE13" s="45">
        <v>1000000</v>
      </c>
      <c r="AH13" s="45">
        <v>1537000000</v>
      </c>
      <c r="AI13" s="45">
        <v>1019000000</v>
      </c>
    </row>
    <row r="14" spans="1:35">
      <c r="A14" s="42" t="s">
        <v>241</v>
      </c>
      <c r="B14" s="43">
        <v>1521327418.51485</v>
      </c>
      <c r="C14" s="43">
        <v>1438840504.614739</v>
      </c>
      <c r="D14" s="43">
        <v>1368925320.362514</v>
      </c>
      <c r="E14" s="45">
        <v>1191000000</v>
      </c>
      <c r="F14" s="43">
        <v>1210476262.42393</v>
      </c>
      <c r="G14" s="43">
        <v>1297744643.382584</v>
      </c>
      <c r="H14" s="43">
        <v>1397598383.317898</v>
      </c>
      <c r="I14" s="45">
        <v>1500000000</v>
      </c>
      <c r="J14" s="43">
        <v>1509064915.699284</v>
      </c>
      <c r="K14" s="43">
        <v>1721702535.473876</v>
      </c>
      <c r="L14" s="43">
        <v>2002741910.597767</v>
      </c>
      <c r="M14" s="45">
        <v>1738000000</v>
      </c>
      <c r="N14" s="43">
        <v>1866997367.225447</v>
      </c>
      <c r="O14" s="43">
        <v>1894473067.402372</v>
      </c>
      <c r="P14" s="43">
        <v>1761338014.963804</v>
      </c>
      <c r="Q14" s="45">
        <v>1683000000</v>
      </c>
      <c r="R14" s="45">
        <v>1574000000</v>
      </c>
      <c r="S14" s="45">
        <v>1577000000</v>
      </c>
      <c r="T14" s="45">
        <v>1713000000</v>
      </c>
      <c r="U14" s="45">
        <v>1546000000</v>
      </c>
      <c r="V14" s="45">
        <v>1617000000</v>
      </c>
      <c r="W14" s="45">
        <v>1482000000</v>
      </c>
      <c r="X14" s="45">
        <v>1529000000</v>
      </c>
      <c r="Y14" s="45">
        <v>1447000000</v>
      </c>
      <c r="Z14" s="45">
        <v>1460000000</v>
      </c>
      <c r="AA14" s="45">
        <v>1643000000</v>
      </c>
      <c r="AC14" s="43">
        <v>1343878972.530824</v>
      </c>
      <c r="AD14" s="45">
        <v>1191000000</v>
      </c>
      <c r="AE14" s="45">
        <v>1500000000</v>
      </c>
      <c r="AF14" s="45">
        <v>1738000000</v>
      </c>
      <c r="AG14" s="45">
        <v>1683000000</v>
      </c>
      <c r="AH14" s="45">
        <v>1546000000</v>
      </c>
      <c r="AI14" s="45">
        <v>1447000000</v>
      </c>
    </row>
    <row r="15" spans="1:35">
      <c r="A15" s="42" t="s">
        <v>242</v>
      </c>
      <c r="B15" s="43">
        <v>11226590.58420182</v>
      </c>
      <c r="C15" s="43">
        <v>6279052.002682701</v>
      </c>
      <c r="D15" s="43">
        <v>5592701.650245807</v>
      </c>
      <c r="E15" s="45">
        <v>10000000</v>
      </c>
      <c r="F15" s="43">
        <v>4283409.35123922</v>
      </c>
      <c r="G15" s="43">
        <v>14639163.95226133</v>
      </c>
      <c r="H15" s="43">
        <v>10826402.16064488</v>
      </c>
      <c r="I15" s="45">
        <v>13000000</v>
      </c>
      <c r="J15" s="43">
        <v>15901490.00721932</v>
      </c>
      <c r="K15" s="43">
        <v>17314700.06961486</v>
      </c>
      <c r="L15" s="43">
        <v>1251224.93438361</v>
      </c>
      <c r="M15" s="45">
        <v>1000000</v>
      </c>
      <c r="N15" s="43">
        <v>8985238.581933457</v>
      </c>
      <c r="O15" s="43">
        <v>6335273.137923394</v>
      </c>
      <c r="P15" s="43">
        <v>7799130.921341598</v>
      </c>
      <c r="Q15" s="45">
        <v>10000000</v>
      </c>
      <c r="R15" s="45">
        <v>17000000</v>
      </c>
      <c r="S15" s="45">
        <v>21000000</v>
      </c>
      <c r="T15" s="45">
        <v>38000000</v>
      </c>
      <c r="U15" s="45">
        <v>30000000</v>
      </c>
      <c r="V15" s="45">
        <v>25000000</v>
      </c>
      <c r="W15" s="45">
        <v>21000000</v>
      </c>
      <c r="X15" s="45">
        <v>7000000</v>
      </c>
      <c r="Y15" s="45">
        <v>3000000</v>
      </c>
      <c r="Z15" s="45">
        <v>5000000</v>
      </c>
      <c r="AA15" s="45">
        <v>7000000</v>
      </c>
      <c r="AC15" s="43">
        <v>3389796.486335036</v>
      </c>
      <c r="AD15" s="45">
        <v>10000000</v>
      </c>
      <c r="AE15" s="45">
        <v>13000000</v>
      </c>
      <c r="AF15" s="45">
        <v>1000000</v>
      </c>
      <c r="AG15" s="45">
        <v>10000000</v>
      </c>
      <c r="AH15" s="45">
        <v>30000000</v>
      </c>
      <c r="AI15" s="45">
        <v>3000000</v>
      </c>
    </row>
    <row r="16" spans="1:35">
      <c r="A16" s="42" t="s">
        <v>243</v>
      </c>
      <c r="B16" s="43">
        <v>600436004.7215418</v>
      </c>
      <c r="C16" s="43">
        <v>462305858.1975183</v>
      </c>
      <c r="D16" s="43">
        <v>389519854.3727537</v>
      </c>
      <c r="E16" s="45">
        <v>409000000</v>
      </c>
      <c r="F16" s="43">
        <v>515520274.1787121</v>
      </c>
      <c r="G16" s="43">
        <v>462434575.2114757</v>
      </c>
      <c r="H16" s="43">
        <v>461939995.6513885</v>
      </c>
      <c r="I16" s="45">
        <v>616000000</v>
      </c>
      <c r="J16" s="43">
        <v>506280017.5386345</v>
      </c>
      <c r="K16" s="43">
        <v>603163327.1944296</v>
      </c>
      <c r="L16" s="43">
        <v>614337842.5113269</v>
      </c>
      <c r="M16" s="45">
        <v>808000000</v>
      </c>
      <c r="N16" s="43">
        <v>644832311.4437827</v>
      </c>
      <c r="O16" s="43">
        <v>730953119.2448533</v>
      </c>
      <c r="P16" s="43">
        <v>483423273.6691067</v>
      </c>
      <c r="Q16" s="45">
        <v>381000000</v>
      </c>
      <c r="R16" s="45">
        <v>444000000</v>
      </c>
      <c r="S16" s="45">
        <v>482000000</v>
      </c>
      <c r="T16" s="45">
        <v>498000000</v>
      </c>
      <c r="U16" s="45">
        <v>552000000</v>
      </c>
      <c r="V16" s="45">
        <v>634000000</v>
      </c>
      <c r="W16" s="45">
        <v>661000000</v>
      </c>
      <c r="X16" s="45">
        <v>671000000</v>
      </c>
      <c r="Y16" s="45">
        <v>1159000000</v>
      </c>
      <c r="Z16" s="45">
        <v>820000000</v>
      </c>
      <c r="AA16" s="45">
        <v>666000000</v>
      </c>
      <c r="AC16" s="43">
        <v>604352287.8494464</v>
      </c>
      <c r="AD16" s="45">
        <v>409000000</v>
      </c>
      <c r="AE16" s="45">
        <v>616000000</v>
      </c>
      <c r="AF16" s="45">
        <v>808000000</v>
      </c>
      <c r="AG16" s="45">
        <v>381000000</v>
      </c>
      <c r="AH16" s="45">
        <v>552000000</v>
      </c>
      <c r="AI16" s="45">
        <v>1159000000</v>
      </c>
    </row>
    <row r="17" spans="1:35">
      <c r="A17" s="42" t="s">
        <v>244</v>
      </c>
      <c r="B17" s="43">
        <v>1713392303.412441</v>
      </c>
      <c r="C17" s="43">
        <v>1434493468.612882</v>
      </c>
      <c r="D17" s="43">
        <v>1461414952.113644</v>
      </c>
      <c r="E17" s="45">
        <v>1287000000</v>
      </c>
      <c r="F17" s="43">
        <v>1291491405.787977</v>
      </c>
      <c r="G17" s="43">
        <v>1468096028.046193</v>
      </c>
      <c r="H17" s="43">
        <v>1613549153.4502</v>
      </c>
      <c r="I17" s="45">
        <v>1305000000</v>
      </c>
      <c r="J17" s="43">
        <v>1393114674.116898</v>
      </c>
      <c r="K17" s="43">
        <v>1545728318.991453</v>
      </c>
      <c r="L17" s="43">
        <v>1675206583.480805</v>
      </c>
      <c r="M17" s="45">
        <v>1504000000</v>
      </c>
      <c r="N17" s="43">
        <v>1321021858.920567</v>
      </c>
      <c r="O17" s="43">
        <v>1362325737.552206</v>
      </c>
      <c r="P17" s="43">
        <v>1490165375.335721</v>
      </c>
      <c r="Q17" s="45">
        <v>973000000</v>
      </c>
      <c r="R17" s="45">
        <v>1400000000</v>
      </c>
      <c r="S17" s="45">
        <v>1703000000</v>
      </c>
      <c r="T17" s="45">
        <v>1936000000</v>
      </c>
      <c r="U17" s="45">
        <v>1620000000</v>
      </c>
      <c r="V17" s="45">
        <v>1614000000</v>
      </c>
      <c r="W17" s="45">
        <v>1795000000</v>
      </c>
      <c r="X17" s="45">
        <v>1890000000</v>
      </c>
      <c r="Y17" s="45">
        <v>1654000000</v>
      </c>
      <c r="Z17" s="45">
        <v>1784000000</v>
      </c>
      <c r="AA17" s="45">
        <v>2087000000</v>
      </c>
      <c r="AC17" s="43">
        <v>1971709358.211734</v>
      </c>
      <c r="AD17" s="45">
        <v>1287000000</v>
      </c>
      <c r="AE17" s="45">
        <v>1305000000</v>
      </c>
      <c r="AF17" s="45">
        <v>1504000000</v>
      </c>
      <c r="AG17" s="45">
        <v>973000000</v>
      </c>
      <c r="AH17" s="45">
        <v>1620000000</v>
      </c>
      <c r="AI17" s="45">
        <v>1654000000</v>
      </c>
    </row>
    <row r="18" spans="1:35">
      <c r="A18" s="42" t="s">
        <v>245</v>
      </c>
      <c r="B18" s="43">
        <v>84836950.45346968</v>
      </c>
      <c r="C18" s="43">
        <v>115338514.0492779</v>
      </c>
      <c r="D18" s="43">
        <v>220097753.9116689</v>
      </c>
      <c r="E18" s="45">
        <v>344000000</v>
      </c>
      <c r="F18" s="43">
        <v>381886599.6979191</v>
      </c>
      <c r="G18" s="43">
        <v>394243865.7521913</v>
      </c>
      <c r="H18" s="43">
        <v>409823376.8312963</v>
      </c>
      <c r="I18" s="45">
        <v>497000000</v>
      </c>
      <c r="J18" s="43">
        <v>533190924.4233734</v>
      </c>
      <c r="K18" s="43">
        <v>575082844.9782093</v>
      </c>
      <c r="L18" s="43">
        <v>501006784.0524288</v>
      </c>
      <c r="M18" s="45">
        <v>319000000</v>
      </c>
      <c r="N18" s="43">
        <v>282301428.6163704</v>
      </c>
      <c r="O18" s="43">
        <v>303207031.1364605</v>
      </c>
      <c r="P18" s="43">
        <v>181296940.4392891</v>
      </c>
      <c r="Q18" s="45">
        <v>264000000</v>
      </c>
      <c r="R18" s="45">
        <v>290000000</v>
      </c>
      <c r="S18" s="45">
        <v>353000000</v>
      </c>
      <c r="T18" s="45">
        <v>318000000</v>
      </c>
      <c r="U18" s="45">
        <v>390000000</v>
      </c>
      <c r="V18" s="45">
        <v>292000000</v>
      </c>
      <c r="W18" s="45">
        <v>237000000</v>
      </c>
      <c r="X18" s="45">
        <v>217000000</v>
      </c>
      <c r="Y18" s="45">
        <v>262000000</v>
      </c>
      <c r="Z18" s="45">
        <v>366000000</v>
      </c>
      <c r="AA18" s="45">
        <v>1156000000</v>
      </c>
      <c r="AC18" s="43">
        <v>139766485.6680998</v>
      </c>
      <c r="AD18" s="45">
        <v>344000000</v>
      </c>
      <c r="AE18" s="45">
        <v>497000000</v>
      </c>
      <c r="AF18" s="45">
        <v>319000000</v>
      </c>
      <c r="AG18" s="45">
        <v>264000000</v>
      </c>
      <c r="AH18" s="45">
        <v>390000000</v>
      </c>
      <c r="AI18" s="45">
        <v>262000000</v>
      </c>
    </row>
    <row r="19" spans="1:35">
      <c r="A19" s="42" t="s">
        <v>246</v>
      </c>
      <c r="B19" s="43">
        <v>1074953823.084543</v>
      </c>
      <c r="C19" s="43">
        <v>1186783446.507049</v>
      </c>
      <c r="D19" s="43">
        <v>782991359.4420427</v>
      </c>
      <c r="E19" s="45">
        <v>650000000</v>
      </c>
      <c r="F19" s="43">
        <v>611810011.8028892</v>
      </c>
      <c r="G19" s="43">
        <v>539893620.4492438</v>
      </c>
      <c r="H19" s="43">
        <v>622827015.9731889</v>
      </c>
      <c r="I19" s="45">
        <v>611000000</v>
      </c>
      <c r="J19" s="43">
        <v>794714126.6497544</v>
      </c>
      <c r="K19" s="43">
        <v>666879506.694147</v>
      </c>
      <c r="L19" s="43">
        <v>835009040.0422103</v>
      </c>
      <c r="M19" s="45">
        <v>773000000</v>
      </c>
      <c r="N19" s="43">
        <v>1016017599.628927</v>
      </c>
      <c r="O19" s="43">
        <v>1167860566.59829</v>
      </c>
      <c r="P19" s="43">
        <v>1293441582.524548</v>
      </c>
      <c r="Q19" s="45">
        <v>1123000000</v>
      </c>
      <c r="R19" s="45">
        <v>1309000000</v>
      </c>
      <c r="S19" s="45">
        <v>1041000000</v>
      </c>
      <c r="T19" s="45">
        <v>877000000</v>
      </c>
      <c r="U19" s="45">
        <v>1118000000</v>
      </c>
      <c r="V19" s="45">
        <v>938000000</v>
      </c>
      <c r="W19" s="45">
        <v>774000000</v>
      </c>
      <c r="X19" s="45">
        <v>799000000</v>
      </c>
      <c r="Y19" s="45">
        <v>933000000</v>
      </c>
      <c r="Z19" s="45">
        <v>1326000000</v>
      </c>
      <c r="AA19" s="45">
        <v>1318000000</v>
      </c>
      <c r="AC19" s="43">
        <v>1103771171.166236</v>
      </c>
      <c r="AD19" s="45">
        <v>650000000</v>
      </c>
      <c r="AE19" s="45">
        <v>611000000</v>
      </c>
      <c r="AF19" s="45">
        <v>773000000</v>
      </c>
      <c r="AG19" s="45">
        <v>1123000000</v>
      </c>
      <c r="AH19" s="45">
        <v>1118000000</v>
      </c>
      <c r="AI19" s="45">
        <v>933000000</v>
      </c>
    </row>
    <row r="20" spans="1:35">
      <c r="A20" s="47" t="s">
        <v>247</v>
      </c>
      <c r="B20" s="48">
        <v>5034519454.531434</v>
      </c>
      <c r="C20" s="48">
        <v>4644040843.984149</v>
      </c>
      <c r="D20" s="48">
        <v>4228541941.852869</v>
      </c>
      <c r="E20" s="48">
        <v>3897000000</v>
      </c>
      <c r="F20" s="48">
        <v>4021338625.80528</v>
      </c>
      <c r="G20" s="48">
        <v>4177051896.79395</v>
      </c>
      <c r="H20" s="48">
        <v>4517566959.577229</v>
      </c>
      <c r="I20" s="48">
        <v>4543000000</v>
      </c>
      <c r="J20" s="48">
        <v>4753266185.483776</v>
      </c>
      <c r="K20" s="48">
        <v>5130869544.060725</v>
      </c>
      <c r="L20" s="48">
        <v>5629553385.618921</v>
      </c>
      <c r="M20" s="48">
        <v>5143000000</v>
      </c>
      <c r="N20" s="48">
        <v>5140155804.417027</v>
      </c>
      <c r="O20" s="48">
        <v>5465154795.072105</v>
      </c>
      <c r="P20" s="48">
        <v>5217464317.853811</v>
      </c>
      <c r="Q20" s="48">
        <v>4434000000</v>
      </c>
      <c r="R20" s="48">
        <v>6892000000</v>
      </c>
      <c r="S20" s="48">
        <v>7117000000</v>
      </c>
      <c r="T20" s="48">
        <v>7452000000</v>
      </c>
      <c r="U20" s="48">
        <v>6793000000</v>
      </c>
      <c r="V20" s="48">
        <v>6654000000</v>
      </c>
      <c r="W20" s="48">
        <v>5499000000</v>
      </c>
      <c r="X20" s="48">
        <v>5602000000</v>
      </c>
      <c r="Y20" s="48">
        <v>6477000000</v>
      </c>
      <c r="Z20" s="48">
        <v>6718000000</v>
      </c>
      <c r="AA20" s="48">
        <v>7309000000</v>
      </c>
      <c r="AC20" s="48">
        <v>5166868071.912676</v>
      </c>
      <c r="AD20" s="48">
        <v>3897000000</v>
      </c>
      <c r="AE20" s="48">
        <v>4543000000</v>
      </c>
      <c r="AF20" s="48">
        <v>5143000000</v>
      </c>
      <c r="AG20" s="48">
        <v>4434000000</v>
      </c>
      <c r="AH20" s="48">
        <v>6793000000</v>
      </c>
      <c r="AI20" s="48">
        <v>6477000000</v>
      </c>
    </row>
    <row r="21" spans="1:35">
      <c r="A21" s="47" t="s">
        <v>248</v>
      </c>
      <c r="B21" s="48">
        <v>25827020427.66729</v>
      </c>
      <c r="C21" s="48">
        <v>23824754756.17904</v>
      </c>
      <c r="D21" s="48">
        <v>22878692178.54522</v>
      </c>
      <c r="E21" s="48">
        <v>22882000000</v>
      </c>
      <c r="F21" s="48">
        <v>22670661516.85789</v>
      </c>
      <c r="G21" s="48">
        <v>22598281995.27148</v>
      </c>
      <c r="H21" s="48">
        <v>23023584825.35472</v>
      </c>
      <c r="I21" s="48">
        <v>23290000000</v>
      </c>
      <c r="J21" s="48">
        <v>23562098135.93239</v>
      </c>
      <c r="K21" s="48">
        <v>24375471833.70426</v>
      </c>
      <c r="L21" s="48">
        <v>25315564888.0332</v>
      </c>
      <c r="M21" s="48">
        <v>25912000000</v>
      </c>
      <c r="N21" s="48">
        <v>26323205773.28699</v>
      </c>
      <c r="O21" s="48">
        <v>27037774722.50216</v>
      </c>
      <c r="P21" s="48">
        <v>26801427728.73907</v>
      </c>
      <c r="Q21" s="48">
        <v>25035000000</v>
      </c>
      <c r="R21" s="48">
        <v>26649000000</v>
      </c>
      <c r="S21" s="48">
        <v>27539000000</v>
      </c>
      <c r="T21" s="48">
        <v>28758000000</v>
      </c>
      <c r="U21" s="48">
        <v>29391000000</v>
      </c>
      <c r="V21" s="48">
        <v>29714000000</v>
      </c>
      <c r="W21" s="48">
        <v>29015000000</v>
      </c>
      <c r="X21" s="48">
        <v>29569000000</v>
      </c>
      <c r="Y21" s="48">
        <v>29439000000</v>
      </c>
      <c r="Z21" s="48">
        <v>30358000000</v>
      </c>
      <c r="AA21" s="48">
        <v>32393000000</v>
      </c>
      <c r="AC21" s="48">
        <v>26271574010.78602</v>
      </c>
      <c r="AD21" s="48">
        <v>22882000000</v>
      </c>
      <c r="AE21" s="48">
        <v>23290000000</v>
      </c>
      <c r="AF21" s="48">
        <v>25912000000</v>
      </c>
      <c r="AG21" s="48">
        <v>25035000000</v>
      </c>
      <c r="AH21" s="48">
        <v>29391000000</v>
      </c>
      <c r="AI21" s="48">
        <v>29439000000</v>
      </c>
    </row>
    <row r="22" spans="1:35">
      <c r="A22" s="42" t="s">
        <v>249</v>
      </c>
      <c r="Q22" s="45">
        <v>3919000000</v>
      </c>
      <c r="U22" s="45">
        <v>3922000000</v>
      </c>
      <c r="Y22" s="45">
        <v>3921000000</v>
      </c>
      <c r="Z22" s="45">
        <v>3921000000</v>
      </c>
      <c r="AA22" s="45">
        <v>3916000000</v>
      </c>
      <c r="AG22" s="45">
        <v>3919000000</v>
      </c>
      <c r="AH22" s="45">
        <v>3922000000</v>
      </c>
      <c r="AI22" s="45">
        <v>3921000000</v>
      </c>
    </row>
    <row r="23" spans="1:35">
      <c r="A23" s="42" t="s">
        <v>250</v>
      </c>
      <c r="Q23" s="45">
        <v>14000000</v>
      </c>
      <c r="U23" s="45">
        <v>11000000</v>
      </c>
      <c r="Y23" s="45">
        <v>12000000</v>
      </c>
      <c r="Z23" s="45">
        <v>12000000</v>
      </c>
      <c r="AA23" s="45">
        <v>17000000</v>
      </c>
      <c r="AG23" s="45">
        <v>14000000</v>
      </c>
      <c r="AH23" s="45">
        <v>11000000</v>
      </c>
      <c r="AI23" s="45">
        <v>12000000</v>
      </c>
    </row>
    <row r="24" spans="1:35">
      <c r="A24" s="42" t="s">
        <v>251</v>
      </c>
      <c r="Q24" s="45">
        <v>1000000</v>
      </c>
      <c r="U24" s="45">
        <v>3000000</v>
      </c>
      <c r="Y24" s="45">
        <v>7000000</v>
      </c>
      <c r="Z24" s="45">
        <v>10000000</v>
      </c>
      <c r="AA24" s="45">
        <v>14000000</v>
      </c>
      <c r="AG24" s="45">
        <v>1000000</v>
      </c>
      <c r="AH24" s="45">
        <v>3000000</v>
      </c>
      <c r="AI24" s="45">
        <v>7000000</v>
      </c>
    </row>
    <row r="25" spans="1:35">
      <c r="A25" s="42" t="s">
        <v>252</v>
      </c>
      <c r="Q25" s="45">
        <v>-30000000</v>
      </c>
      <c r="U25" s="45">
        <v>-28000000</v>
      </c>
      <c r="Y25" s="45">
        <v>-35000000</v>
      </c>
      <c r="Z25" s="45">
        <v>-35000000</v>
      </c>
      <c r="AA25" s="45">
        <v>-62000000</v>
      </c>
      <c r="AG25" s="45">
        <v>-30000000</v>
      </c>
      <c r="AH25" s="45">
        <v>-28000000</v>
      </c>
      <c r="AI25" s="45">
        <v>-35000000</v>
      </c>
    </row>
    <row r="26" spans="1:35">
      <c r="A26" s="42" t="s">
        <v>253</v>
      </c>
      <c r="Q26" s="45">
        <v>-40000000</v>
      </c>
      <c r="U26" s="45">
        <v>-42000000</v>
      </c>
      <c r="Y26" s="45">
        <v>-44000000</v>
      </c>
      <c r="Z26" s="45">
        <v>-44000000</v>
      </c>
      <c r="AA26" s="45">
        <v>-44000000</v>
      </c>
      <c r="AG26" s="45">
        <v>-40000000</v>
      </c>
      <c r="AH26" s="45">
        <v>-42000000</v>
      </c>
      <c r="AI26" s="45">
        <v>-44000000</v>
      </c>
    </row>
    <row r="27" spans="1:35">
      <c r="A27" s="42" t="s">
        <v>254</v>
      </c>
      <c r="Q27" s="45">
        <v>640000000</v>
      </c>
      <c r="U27" s="45">
        <v>640000000</v>
      </c>
      <c r="Y27" s="45">
        <v>640000000</v>
      </c>
      <c r="Z27" s="45">
        <v>640000000</v>
      </c>
      <c r="AA27" s="45">
        <v>640000000</v>
      </c>
      <c r="AG27" s="45">
        <v>640000000</v>
      </c>
      <c r="AH27" s="45">
        <v>640000000</v>
      </c>
      <c r="AI27" s="45">
        <v>640000000</v>
      </c>
    </row>
    <row r="28" spans="1:35">
      <c r="A28" s="42" t="s">
        <v>255</v>
      </c>
      <c r="Q28" s="45">
        <v>787000000</v>
      </c>
      <c r="U28" s="45">
        <v>787000000</v>
      </c>
      <c r="Y28" s="45">
        <v>787000000</v>
      </c>
      <c r="Z28" s="45">
        <v>787000000</v>
      </c>
      <c r="AA28" s="45">
        <v>787000000</v>
      </c>
      <c r="AG28" s="45">
        <v>787000000</v>
      </c>
      <c r="AH28" s="45">
        <v>787000000</v>
      </c>
      <c r="AI28" s="45">
        <v>787000000</v>
      </c>
    </row>
    <row r="29" spans="1:35">
      <c r="A29" s="42" t="s">
        <v>256</v>
      </c>
      <c r="Q29" s="45">
        <v>5325000000</v>
      </c>
      <c r="U29" s="45">
        <v>4236000000</v>
      </c>
      <c r="Y29" s="45">
        <v>6587000000</v>
      </c>
      <c r="Z29" s="45">
        <v>6587000000</v>
      </c>
      <c r="AA29" s="45">
        <v>5802000000</v>
      </c>
      <c r="AG29" s="45">
        <v>5325000000</v>
      </c>
      <c r="AH29" s="45">
        <v>4236000000</v>
      </c>
      <c r="AI29" s="45">
        <v>6587000000</v>
      </c>
    </row>
    <row r="30" spans="1:35">
      <c r="A30" s="42" t="s">
        <v>257</v>
      </c>
      <c r="Q30" s="45">
        <v>35000000</v>
      </c>
      <c r="U30" s="45">
        <v>36000000</v>
      </c>
      <c r="Y30" s="45">
        <v>33000000</v>
      </c>
      <c r="Z30" s="45">
        <v>33000000</v>
      </c>
      <c r="AA30" s="45">
        <v>27000000</v>
      </c>
      <c r="AG30" s="45">
        <v>35000000</v>
      </c>
      <c r="AH30" s="45">
        <v>36000000</v>
      </c>
      <c r="AI30" s="45">
        <v>33000000</v>
      </c>
    </row>
    <row r="31" spans="1:35">
      <c r="A31" s="42" t="s">
        <v>258</v>
      </c>
      <c r="Q31" s="45">
        <v>-684000000</v>
      </c>
      <c r="U31" s="45">
        <v>-331000000</v>
      </c>
      <c r="Y31" s="45">
        <v>-338000000</v>
      </c>
      <c r="Z31" s="45">
        <v>-193000000</v>
      </c>
      <c r="AA31" s="45">
        <v>-211000000</v>
      </c>
      <c r="AG31" s="45">
        <v>-684000000</v>
      </c>
      <c r="AH31" s="45">
        <v>-331000000</v>
      </c>
      <c r="AI31" s="45">
        <v>-338000000</v>
      </c>
    </row>
    <row r="32" spans="1:35">
      <c r="A32" s="42" t="s">
        <v>259</v>
      </c>
      <c r="Q32" s="45">
        <v>-1244000000</v>
      </c>
      <c r="U32" s="45">
        <v>2418000000</v>
      </c>
      <c r="Y32" s="45">
        <v>-756000000</v>
      </c>
      <c r="Z32" s="45">
        <v>-352000000</v>
      </c>
      <c r="AA32" s="45">
        <v>1640000000</v>
      </c>
      <c r="AG32" s="45">
        <v>-1244000000</v>
      </c>
      <c r="AH32" s="45">
        <v>2418000000</v>
      </c>
      <c r="AI32" s="45">
        <v>-756000000</v>
      </c>
    </row>
    <row r="33" spans="1:35">
      <c r="A33" s="42" t="s">
        <v>260</v>
      </c>
      <c r="B33" s="43">
        <v>9201341631.541796</v>
      </c>
      <c r="C33" s="43">
        <v>7993673585.415266</v>
      </c>
      <c r="D33" s="43">
        <v>7520240715.251417</v>
      </c>
      <c r="E33" s="45">
        <v>8057000000</v>
      </c>
      <c r="F33" s="43">
        <v>8046243135.537479</v>
      </c>
      <c r="G33" s="43">
        <v>7621006646.031366</v>
      </c>
      <c r="H33" s="43">
        <v>7877245650.654432</v>
      </c>
      <c r="I33" s="45">
        <v>8184000000</v>
      </c>
      <c r="J33" s="43">
        <v>8479512340.727912</v>
      </c>
      <c r="K33" s="43">
        <v>9298944329.130545</v>
      </c>
      <c r="L33" s="43">
        <v>10028669851.11733</v>
      </c>
      <c r="M33" s="45">
        <v>10454000000</v>
      </c>
      <c r="N33" s="43">
        <v>10822930838.05283</v>
      </c>
      <c r="O33" s="43">
        <v>11151228332.29696</v>
      </c>
      <c r="P33" s="43">
        <v>10963978253.67883</v>
      </c>
      <c r="Q33" s="45">
        <v>8949000000</v>
      </c>
      <c r="R33" s="45">
        <v>9813000000</v>
      </c>
      <c r="S33" s="45">
        <v>10418000000</v>
      </c>
      <c r="T33" s="45">
        <v>11926000000</v>
      </c>
      <c r="U33" s="45">
        <v>11652000000</v>
      </c>
      <c r="V33" s="45">
        <v>11675000000</v>
      </c>
      <c r="W33" s="45">
        <v>11694000000</v>
      </c>
      <c r="X33" s="45">
        <v>11412000000</v>
      </c>
      <c r="Y33" s="45">
        <v>10814000000</v>
      </c>
      <c r="Z33" s="45">
        <v>11366000000</v>
      </c>
      <c r="AA33" s="45">
        <v>12526000000</v>
      </c>
      <c r="AC33" s="43">
        <v>9059757112.633434</v>
      </c>
      <c r="AD33" s="45">
        <v>8057000000</v>
      </c>
      <c r="AE33" s="45">
        <v>8184000000</v>
      </c>
      <c r="AF33" s="45">
        <v>10454000000</v>
      </c>
      <c r="AG33" s="45">
        <v>8949000000</v>
      </c>
      <c r="AH33" s="45">
        <v>11652000000</v>
      </c>
      <c r="AI33" s="45">
        <v>10814000000</v>
      </c>
    </row>
    <row r="34" spans="1:35">
      <c r="A34" s="42" t="s">
        <v>261</v>
      </c>
      <c r="B34" s="43">
        <v>95083935.48808049</v>
      </c>
      <c r="C34" s="43">
        <v>85406472.03648958</v>
      </c>
      <c r="D34" s="43">
        <v>87172626.66110836</v>
      </c>
      <c r="E34" s="45">
        <v>74000000</v>
      </c>
      <c r="F34" s="43">
        <v>73622457.17409137</v>
      </c>
      <c r="G34" s="43">
        <v>65871013.24415091</v>
      </c>
      <c r="H34" s="43">
        <v>75673411.54755712</v>
      </c>
      <c r="I34" s="45">
        <v>80000000</v>
      </c>
      <c r="J34" s="43">
        <v>84183298.93906933</v>
      </c>
      <c r="K34" s="43">
        <v>95901715.14572661</v>
      </c>
      <c r="L34" s="43">
        <v>100689606.5403159</v>
      </c>
      <c r="M34" s="45">
        <v>98000000</v>
      </c>
      <c r="N34" s="43">
        <v>100673988.5298062</v>
      </c>
      <c r="O34" s="43">
        <v>146812050.5178292</v>
      </c>
      <c r="P34" s="43">
        <v>136207679.1456867</v>
      </c>
      <c r="Q34" s="45">
        <v>102000000</v>
      </c>
      <c r="R34" s="45">
        <v>154000000</v>
      </c>
      <c r="S34" s="45">
        <v>187000000</v>
      </c>
      <c r="T34" s="45">
        <v>209000000</v>
      </c>
      <c r="U34" s="45">
        <v>218000000</v>
      </c>
      <c r="V34" s="45">
        <v>233000000</v>
      </c>
      <c r="W34" s="45">
        <v>230000000</v>
      </c>
      <c r="X34" s="45">
        <v>222000000</v>
      </c>
      <c r="Y34" s="45">
        <v>230000000</v>
      </c>
      <c r="Z34" s="45">
        <v>269000000</v>
      </c>
      <c r="AA34" s="45">
        <v>269000000</v>
      </c>
      <c r="AC34" s="43">
        <v>92676701.96630272</v>
      </c>
      <c r="AD34" s="45">
        <v>74000000</v>
      </c>
      <c r="AE34" s="45">
        <v>80000000</v>
      </c>
      <c r="AF34" s="45">
        <v>98000000</v>
      </c>
      <c r="AG34" s="45">
        <v>102000000</v>
      </c>
      <c r="AH34" s="45">
        <v>218000000</v>
      </c>
      <c r="AI34" s="45">
        <v>230000000</v>
      </c>
    </row>
    <row r="35" spans="1:35">
      <c r="A35" s="47" t="s">
        <v>262</v>
      </c>
      <c r="B35" s="48">
        <v>9296425567.029877</v>
      </c>
      <c r="C35" s="48">
        <v>8079080057.451756</v>
      </c>
      <c r="D35" s="48">
        <v>7607413341.912525</v>
      </c>
      <c r="E35" s="48">
        <v>8131000000</v>
      </c>
      <c r="F35" s="48">
        <v>8119865592.711571</v>
      </c>
      <c r="G35" s="48">
        <v>7686877659.275517</v>
      </c>
      <c r="H35" s="48">
        <v>7952919062.201989</v>
      </c>
      <c r="I35" s="48">
        <v>8264000000</v>
      </c>
      <c r="J35" s="48">
        <v>8563695639.666981</v>
      </c>
      <c r="K35" s="48">
        <v>9394846044.276272</v>
      </c>
      <c r="L35" s="48">
        <v>10129359457.65765</v>
      </c>
      <c r="M35" s="48">
        <v>10552000000</v>
      </c>
      <c r="N35" s="48">
        <v>10923604826.58264</v>
      </c>
      <c r="O35" s="48">
        <v>11298040382.81479</v>
      </c>
      <c r="P35" s="48">
        <v>11100185932.82452</v>
      </c>
      <c r="Q35" s="48">
        <v>9051000000</v>
      </c>
      <c r="R35" s="48">
        <v>9967000000</v>
      </c>
      <c r="S35" s="48">
        <v>10605000000</v>
      </c>
      <c r="T35" s="48">
        <v>12135000000</v>
      </c>
      <c r="U35" s="48">
        <v>11870000000</v>
      </c>
      <c r="V35" s="48">
        <v>11908000000</v>
      </c>
      <c r="W35" s="48">
        <v>11924000000</v>
      </c>
      <c r="X35" s="48">
        <v>11634000000</v>
      </c>
      <c r="Y35" s="48">
        <v>11044000000</v>
      </c>
      <c r="Z35" s="48">
        <v>11635000000</v>
      </c>
      <c r="AA35" s="48">
        <v>12795000000</v>
      </c>
      <c r="AC35" s="48">
        <v>9152433814.599739</v>
      </c>
      <c r="AD35" s="48">
        <v>8131000000</v>
      </c>
      <c r="AE35" s="48">
        <v>8264000000</v>
      </c>
      <c r="AF35" s="48">
        <v>10552000000</v>
      </c>
      <c r="AG35" s="48">
        <v>9051000000</v>
      </c>
      <c r="AH35" s="48">
        <v>11870000000</v>
      </c>
      <c r="AI35" s="48">
        <v>11044000000</v>
      </c>
    </row>
    <row r="36" spans="1:35">
      <c r="A36" s="42" t="s">
        <v>263</v>
      </c>
      <c r="E36" s="45">
        <v>2219000000</v>
      </c>
      <c r="I36" s="45">
        <v>2519000000</v>
      </c>
      <c r="J36" s="43">
        <v>2499029519.083575</v>
      </c>
      <c r="K36" s="43">
        <v>2536507722.375314</v>
      </c>
      <c r="L36" s="43">
        <v>2551138839.039975</v>
      </c>
      <c r="M36" s="45">
        <v>2571000000</v>
      </c>
      <c r="N36" s="43">
        <v>2165173995.919075</v>
      </c>
      <c r="O36" s="43">
        <v>2159691880.31439</v>
      </c>
      <c r="P36" s="43">
        <v>2178865774.408858</v>
      </c>
      <c r="Q36" s="45">
        <v>2660000000</v>
      </c>
      <c r="R36" s="45">
        <v>686000000</v>
      </c>
      <c r="S36" s="45">
        <v>771000000</v>
      </c>
      <c r="T36" s="45">
        <v>756000000</v>
      </c>
      <c r="U36" s="45">
        <v>1084000000</v>
      </c>
      <c r="V36" s="45">
        <v>1079000000</v>
      </c>
      <c r="W36" s="45">
        <v>1093000000</v>
      </c>
      <c r="X36" s="45">
        <v>1123000000</v>
      </c>
      <c r="Y36" s="45">
        <v>610000000</v>
      </c>
      <c r="Z36" s="45">
        <v>639000000</v>
      </c>
      <c r="AA36" s="45">
        <v>661000000</v>
      </c>
      <c r="AC36" s="43">
        <v>2417409151.397786</v>
      </c>
      <c r="AD36" s="45">
        <v>2219000000</v>
      </c>
      <c r="AE36" s="45">
        <v>2519000000</v>
      </c>
      <c r="AF36" s="45">
        <v>2571000000</v>
      </c>
      <c r="AG36" s="45">
        <v>2660000000</v>
      </c>
      <c r="AH36" s="45">
        <v>1084000000</v>
      </c>
      <c r="AI36" s="45">
        <v>610000000</v>
      </c>
    </row>
    <row r="37" spans="1:35">
      <c r="A37" s="42" t="s">
        <v>264</v>
      </c>
      <c r="Q37" s="45">
        <v>34000000</v>
      </c>
      <c r="R37" s="45">
        <v>33000000</v>
      </c>
      <c r="S37" s="45">
        <v>32000000</v>
      </c>
      <c r="T37" s="45">
        <v>31000000</v>
      </c>
      <c r="U37" s="45">
        <v>114000000</v>
      </c>
      <c r="V37" s="45">
        <v>149000000</v>
      </c>
      <c r="W37" s="45">
        <v>167000000</v>
      </c>
      <c r="X37" s="45">
        <v>166000000</v>
      </c>
      <c r="Y37" s="45">
        <v>180000000</v>
      </c>
      <c r="Z37" s="45">
        <v>212000000</v>
      </c>
      <c r="AA37" s="45">
        <v>236000000</v>
      </c>
      <c r="AC37" s="43">
        <v>4909360.428485225</v>
      </c>
      <c r="AG37" s="45">
        <v>34000000</v>
      </c>
      <c r="AH37" s="45">
        <v>114000000</v>
      </c>
      <c r="AI37" s="45">
        <v>180000000</v>
      </c>
    </row>
    <row r="38" spans="1:35">
      <c r="A38" s="42" t="s">
        <v>265</v>
      </c>
      <c r="E38" s="45">
        <v>1423000000</v>
      </c>
      <c r="I38" s="45">
        <v>1805000000</v>
      </c>
      <c r="J38" s="43">
        <v>1663755331.236936</v>
      </c>
      <c r="K38" s="43">
        <v>1332073864.99591</v>
      </c>
      <c r="L38" s="43">
        <v>796975882.1182563</v>
      </c>
      <c r="M38" s="45">
        <v>1733000000</v>
      </c>
      <c r="N38" s="43">
        <v>1584173318.008526</v>
      </c>
      <c r="O38" s="43">
        <v>1385305252.624883</v>
      </c>
      <c r="P38" s="43">
        <v>1035030377.997429</v>
      </c>
      <c r="Q38" s="45">
        <v>1242000000</v>
      </c>
      <c r="R38" s="45">
        <v>1066000000</v>
      </c>
      <c r="S38" s="45">
        <v>927000000</v>
      </c>
      <c r="T38" s="45">
        <v>92000000</v>
      </c>
      <c r="U38" s="45">
        <v>90000000</v>
      </c>
      <c r="V38" s="45">
        <v>95000000</v>
      </c>
      <c r="W38" s="45">
        <v>104000000</v>
      </c>
      <c r="X38" s="45">
        <v>389000000</v>
      </c>
      <c r="Y38" s="45">
        <v>373000000</v>
      </c>
      <c r="Z38" s="45">
        <v>511000000</v>
      </c>
      <c r="AA38" s="45">
        <v>446000000</v>
      </c>
      <c r="AC38" s="43">
        <v>1623612325.925329</v>
      </c>
      <c r="AD38" s="45">
        <v>1423000000</v>
      </c>
      <c r="AE38" s="45">
        <v>1805000000</v>
      </c>
      <c r="AF38" s="45">
        <v>1733000000</v>
      </c>
      <c r="AG38" s="45">
        <v>1242000000</v>
      </c>
      <c r="AH38" s="45">
        <v>90000000</v>
      </c>
      <c r="AI38" s="45">
        <v>373000000</v>
      </c>
    </row>
    <row r="39" spans="1:35">
      <c r="A39" s="42" t="s">
        <v>266</v>
      </c>
      <c r="E39" s="45">
        <v>42000000</v>
      </c>
      <c r="I39" s="45">
        <v>29000000</v>
      </c>
      <c r="J39" s="43">
        <v>48632432.32802828</v>
      </c>
      <c r="K39" s="43">
        <v>40954696.47462408</v>
      </c>
      <c r="L39" s="43">
        <v>33035058.3219325</v>
      </c>
      <c r="M39" s="45">
        <v>26000000</v>
      </c>
      <c r="N39" s="43">
        <v>20703447.27683493</v>
      </c>
      <c r="O39" s="43">
        <v>15801100.22323715</v>
      </c>
      <c r="P39" s="43">
        <v>10793083.01129251</v>
      </c>
      <c r="Q39" s="45">
        <v>4000000</v>
      </c>
      <c r="R39" s="45">
        <v>4000000</v>
      </c>
      <c r="S39" s="45">
        <v>3000000</v>
      </c>
      <c r="T39" s="45">
        <v>3000000</v>
      </c>
      <c r="U39" s="45">
        <v>2000000</v>
      </c>
      <c r="V39" s="45">
        <v>2000000</v>
      </c>
      <c r="W39" s="45">
        <v>2000000</v>
      </c>
      <c r="X39" s="45">
        <v>1000000</v>
      </c>
      <c r="Y39" s="45">
        <v>830000000</v>
      </c>
      <c r="Z39" s="45">
        <v>865000000</v>
      </c>
      <c r="AA39" s="45">
        <v>801000000</v>
      </c>
      <c r="AC39" s="43">
        <v>56557835.95673285</v>
      </c>
      <c r="AD39" s="45">
        <v>42000000</v>
      </c>
      <c r="AE39" s="45">
        <v>29000000</v>
      </c>
      <c r="AF39" s="45">
        <v>26000000</v>
      </c>
      <c r="AG39" s="45">
        <v>4000000</v>
      </c>
      <c r="AH39" s="45">
        <v>2000000</v>
      </c>
      <c r="AI39" s="45">
        <v>830000000</v>
      </c>
    </row>
    <row r="40" spans="1:35">
      <c r="A40" s="42" t="s">
        <v>267</v>
      </c>
      <c r="E40" s="45">
        <v>3000000</v>
      </c>
      <c r="I40" s="45">
        <v>2000000</v>
      </c>
      <c r="J40" s="43">
        <v>1828896.58439973</v>
      </c>
      <c r="K40" s="43">
        <v>1613270.02493644</v>
      </c>
      <c r="L40" s="43">
        <v>1319226.289513155</v>
      </c>
      <c r="M40" s="45">
        <v>1000000</v>
      </c>
      <c r="N40" s="43">
        <v>848659.1403427011</v>
      </c>
      <c r="O40" s="43">
        <v>636259.7174870691</v>
      </c>
      <c r="P40" s="43">
        <v>462805.5711565344</v>
      </c>
      <c r="Q40" s="43">
        <v>178222.6279591612</v>
      </c>
      <c r="U40" s="43">
        <v>217269.9878637184</v>
      </c>
      <c r="Y40" s="45">
        <v>18000000</v>
      </c>
      <c r="Z40" s="45">
        <v>19000000</v>
      </c>
      <c r="AA40" s="45">
        <v>12000000</v>
      </c>
      <c r="AC40" s="43">
        <v>23845464.93835681</v>
      </c>
      <c r="AD40" s="45">
        <v>3000000</v>
      </c>
      <c r="AE40" s="45">
        <v>2000000</v>
      </c>
      <c r="AF40" s="45">
        <v>1000000</v>
      </c>
      <c r="AG40" s="43">
        <v>178222.6279591612</v>
      </c>
      <c r="AH40" s="43">
        <v>217269.9878637184</v>
      </c>
      <c r="AI40" s="45">
        <v>18000000</v>
      </c>
    </row>
    <row r="41" spans="1:35">
      <c r="A41" s="42" t="s">
        <v>268</v>
      </c>
      <c r="E41" s="45">
        <v>46000000</v>
      </c>
      <c r="I41" s="45">
        <v>32000000</v>
      </c>
      <c r="J41" s="43">
        <v>20712479.05189645</v>
      </c>
      <c r="K41" s="43">
        <v>13481187.13907283</v>
      </c>
      <c r="L41" s="43">
        <v>3780875.345202649</v>
      </c>
      <c r="M41" s="45">
        <v>1000000</v>
      </c>
      <c r="N41" s="43">
        <v>2095277.086608816</v>
      </c>
      <c r="O41" s="43">
        <v>11710.30154884176</v>
      </c>
      <c r="P41" s="43">
        <v>1217007.242670887</v>
      </c>
      <c r="Q41" s="43">
        <v>457933.1412839559</v>
      </c>
      <c r="S41" s="45">
        <v>4000000</v>
      </c>
      <c r="T41" s="45">
        <v>8000000</v>
      </c>
      <c r="U41" s="45">
        <v>34000000</v>
      </c>
      <c r="V41" s="45">
        <v>33000000</v>
      </c>
      <c r="W41" s="45">
        <v>34000000</v>
      </c>
      <c r="X41" s="45">
        <v>26000000</v>
      </c>
      <c r="Y41" s="45">
        <v>63000000</v>
      </c>
      <c r="Z41" s="45">
        <v>98000000</v>
      </c>
      <c r="AA41" s="45">
        <v>134000000</v>
      </c>
      <c r="AD41" s="45">
        <v>46000000</v>
      </c>
      <c r="AE41" s="45">
        <v>32000000</v>
      </c>
      <c r="AF41" s="45">
        <v>1000000</v>
      </c>
      <c r="AG41" s="43">
        <v>457933.1412839559</v>
      </c>
      <c r="AH41" s="45">
        <v>34000000</v>
      </c>
      <c r="AI41" s="45">
        <v>63000000</v>
      </c>
    </row>
    <row r="42" spans="1:35">
      <c r="A42" s="42" t="s">
        <v>269</v>
      </c>
      <c r="E42" s="45">
        <v>288000000</v>
      </c>
      <c r="I42" s="45">
        <v>276000000</v>
      </c>
      <c r="J42" s="43">
        <v>240621526.9760984</v>
      </c>
      <c r="K42" s="43">
        <v>258921852.5170267</v>
      </c>
      <c r="L42" s="43">
        <v>246953721.2884522</v>
      </c>
      <c r="M42" s="45">
        <v>272000000</v>
      </c>
      <c r="N42" s="43">
        <v>267783124.2267789</v>
      </c>
      <c r="O42" s="43">
        <v>245006832.438717</v>
      </c>
      <c r="P42" s="43">
        <v>244635596.7239281</v>
      </c>
      <c r="Q42" s="45">
        <v>325000000</v>
      </c>
      <c r="R42" s="45">
        <v>312000000</v>
      </c>
      <c r="S42" s="45">
        <v>292000000</v>
      </c>
      <c r="T42" s="45">
        <v>290000000</v>
      </c>
      <c r="U42" s="45">
        <v>406000000</v>
      </c>
      <c r="V42" s="45">
        <v>344000000</v>
      </c>
      <c r="W42" s="45">
        <v>364000000</v>
      </c>
      <c r="X42" s="45">
        <v>314000000</v>
      </c>
      <c r="Y42" s="45">
        <v>273000000</v>
      </c>
      <c r="Z42" s="45">
        <v>332000000</v>
      </c>
      <c r="AA42" s="45">
        <v>410000000</v>
      </c>
      <c r="AC42" s="43">
        <v>674469309.7515194</v>
      </c>
      <c r="AD42" s="45">
        <v>288000000</v>
      </c>
      <c r="AE42" s="45">
        <v>276000000</v>
      </c>
      <c r="AF42" s="45">
        <v>272000000</v>
      </c>
      <c r="AG42" s="45">
        <v>325000000</v>
      </c>
      <c r="AH42" s="45">
        <v>406000000</v>
      </c>
      <c r="AI42" s="45">
        <v>273000000</v>
      </c>
    </row>
    <row r="43" spans="1:35">
      <c r="A43" s="42" t="s">
        <v>270</v>
      </c>
      <c r="E43" s="45">
        <v>6277000000</v>
      </c>
      <c r="I43" s="45">
        <v>6534000000</v>
      </c>
      <c r="J43" s="43">
        <v>6713645118.41912</v>
      </c>
      <c r="K43" s="43">
        <v>6315433026.083486</v>
      </c>
      <c r="L43" s="43">
        <v>6139706351.936274</v>
      </c>
      <c r="M43" s="45">
        <v>5948000000</v>
      </c>
      <c r="N43" s="43">
        <v>6238838557.936624</v>
      </c>
      <c r="O43" s="43">
        <v>6306590705.996431</v>
      </c>
      <c r="P43" s="43">
        <v>6596119261.961427</v>
      </c>
      <c r="Q43" s="45">
        <v>6682000000</v>
      </c>
      <c r="R43" s="45">
        <v>7240000000</v>
      </c>
      <c r="S43" s="45">
        <v>7200000000</v>
      </c>
      <c r="T43" s="45">
        <v>6869000000</v>
      </c>
      <c r="U43" s="45">
        <v>7035000000</v>
      </c>
      <c r="V43" s="45">
        <v>7543000000</v>
      </c>
      <c r="W43" s="45">
        <v>7592000000</v>
      </c>
      <c r="X43" s="45">
        <v>7958000000</v>
      </c>
      <c r="Y43" s="45">
        <v>8226000000</v>
      </c>
      <c r="Z43" s="45">
        <v>8526000000</v>
      </c>
      <c r="AA43" s="45">
        <v>8521000000</v>
      </c>
      <c r="AC43" s="43">
        <v>7007544262.497459</v>
      </c>
      <c r="AD43" s="45">
        <v>6277000000</v>
      </c>
      <c r="AE43" s="45">
        <v>6534000000</v>
      </c>
      <c r="AF43" s="45">
        <v>5948000000</v>
      </c>
      <c r="AG43" s="45">
        <v>6682000000</v>
      </c>
      <c r="AH43" s="45">
        <v>7035000000</v>
      </c>
      <c r="AI43" s="45">
        <v>8226000000</v>
      </c>
    </row>
    <row r="44" spans="1:35">
      <c r="A44" s="42" t="s">
        <v>271</v>
      </c>
      <c r="E44" s="45">
        <v>35000000</v>
      </c>
      <c r="I44" s="45">
        <v>9000000</v>
      </c>
      <c r="J44" s="43">
        <v>8414726.156794814</v>
      </c>
      <c r="K44" s="43">
        <v>8417755.476648554</v>
      </c>
      <c r="L44" s="43">
        <v>8425367.900550509</v>
      </c>
      <c r="M44" s="45">
        <v>19000000</v>
      </c>
      <c r="N44" s="43">
        <v>99427370.58354007</v>
      </c>
      <c r="O44" s="43">
        <v>103999188.0552637</v>
      </c>
      <c r="P44" s="43">
        <v>107556586.1016813</v>
      </c>
      <c r="Q44" s="45">
        <v>112000000</v>
      </c>
      <c r="R44" s="45">
        <v>74000000</v>
      </c>
      <c r="S44" s="45">
        <v>76000000</v>
      </c>
      <c r="T44" s="45">
        <v>71000000</v>
      </c>
      <c r="U44" s="45">
        <v>74000000</v>
      </c>
      <c r="V44" s="45">
        <v>136000000</v>
      </c>
      <c r="W44" s="45">
        <v>384000000</v>
      </c>
      <c r="X44" s="45">
        <v>452000000</v>
      </c>
      <c r="Y44" s="45">
        <v>373000000</v>
      </c>
      <c r="Z44" s="45">
        <v>347000000</v>
      </c>
      <c r="AA44" s="45">
        <v>547000000</v>
      </c>
      <c r="AC44" s="43">
        <v>11739048.91573168</v>
      </c>
      <c r="AD44" s="45">
        <v>35000000</v>
      </c>
      <c r="AE44" s="45">
        <v>9000000</v>
      </c>
      <c r="AF44" s="45">
        <v>19000000</v>
      </c>
      <c r="AG44" s="45">
        <v>112000000</v>
      </c>
      <c r="AH44" s="45">
        <v>74000000</v>
      </c>
      <c r="AI44" s="45">
        <v>373000000</v>
      </c>
    </row>
    <row r="45" spans="1:35">
      <c r="A45" s="42" t="s">
        <v>272</v>
      </c>
      <c r="E45" s="45">
        <v>8000000</v>
      </c>
      <c r="I45" s="45">
        <v>9000000</v>
      </c>
      <c r="J45" s="43">
        <v>8315623.386211579</v>
      </c>
      <c r="K45" s="43">
        <v>7890647.448699025</v>
      </c>
      <c r="L45" s="43">
        <v>8058160.58285097</v>
      </c>
      <c r="M45" s="45">
        <v>6000000</v>
      </c>
      <c r="N45" s="43">
        <v>7153669.137804012</v>
      </c>
      <c r="O45" s="43">
        <v>6717809.655185558</v>
      </c>
      <c r="P45" s="43">
        <v>5250843.455467347</v>
      </c>
      <c r="Q45" s="45">
        <v>5000000</v>
      </c>
      <c r="R45" s="45">
        <v>5000000</v>
      </c>
      <c r="S45" s="45">
        <v>5000000</v>
      </c>
      <c r="T45" s="45">
        <v>6000000</v>
      </c>
      <c r="U45" s="45">
        <v>6000000</v>
      </c>
      <c r="V45" s="45">
        <v>6000000</v>
      </c>
      <c r="W45" s="45">
        <v>5000000</v>
      </c>
      <c r="X45" s="45">
        <v>6000000</v>
      </c>
      <c r="Y45" s="45">
        <v>6000000</v>
      </c>
      <c r="Z45" s="45">
        <v>6000000</v>
      </c>
      <c r="AA45" s="45">
        <v>5000000</v>
      </c>
      <c r="AC45" s="43">
        <v>41161814.47692543</v>
      </c>
      <c r="AD45" s="45">
        <v>8000000</v>
      </c>
      <c r="AE45" s="45">
        <v>9000000</v>
      </c>
      <c r="AF45" s="45">
        <v>6000000</v>
      </c>
      <c r="AG45" s="45">
        <v>5000000</v>
      </c>
      <c r="AH45" s="45">
        <v>6000000</v>
      </c>
      <c r="AI45" s="45">
        <v>6000000</v>
      </c>
    </row>
    <row r="46" spans="1:35">
      <c r="A46" s="47" t="s">
        <v>273</v>
      </c>
      <c r="E46" s="48">
        <v>10341000000</v>
      </c>
      <c r="I46" s="48">
        <v>11215000000</v>
      </c>
      <c r="J46" s="48">
        <v>11204955653.22306</v>
      </c>
      <c r="K46" s="48">
        <v>10515294022.53572</v>
      </c>
      <c r="L46" s="48">
        <v>9789393482.823008</v>
      </c>
      <c r="M46" s="48">
        <v>10577000000</v>
      </c>
      <c r="N46" s="48">
        <v>10386197419.31614</v>
      </c>
      <c r="O46" s="48">
        <v>10223760739.32714</v>
      </c>
      <c r="P46" s="48">
        <v>10179931336.47391</v>
      </c>
      <c r="Q46" s="48">
        <v>11064000000</v>
      </c>
      <c r="R46" s="48">
        <v>9420000000</v>
      </c>
      <c r="S46" s="48">
        <v>9310000000</v>
      </c>
      <c r="T46" s="48">
        <v>8126000000</v>
      </c>
      <c r="U46" s="48">
        <v>8845000000</v>
      </c>
      <c r="V46" s="48">
        <v>9387000000</v>
      </c>
      <c r="W46" s="48">
        <v>9745000000</v>
      </c>
      <c r="X46" s="48">
        <v>10435000000</v>
      </c>
      <c r="Y46" s="48">
        <v>10952000000</v>
      </c>
      <c r="Z46" s="48">
        <v>11555000000</v>
      </c>
      <c r="AA46" s="48">
        <v>11773000000</v>
      </c>
      <c r="AC46" s="48">
        <v>11861248574.28833</v>
      </c>
      <c r="AD46" s="48">
        <v>10341000000</v>
      </c>
      <c r="AE46" s="48">
        <v>11215000000</v>
      </c>
      <c r="AF46" s="48">
        <v>10577000000</v>
      </c>
      <c r="AG46" s="48">
        <v>11064000000</v>
      </c>
      <c r="AH46" s="48">
        <v>8845000000</v>
      </c>
      <c r="AI46" s="48">
        <v>10952000000</v>
      </c>
    </row>
    <row r="47" spans="1:35">
      <c r="A47" s="42" t="s">
        <v>274</v>
      </c>
      <c r="R47" s="45">
        <v>2039000000</v>
      </c>
      <c r="S47" s="45">
        <v>2085000000</v>
      </c>
      <c r="T47" s="45">
        <v>2204000000</v>
      </c>
      <c r="U47" s="45">
        <v>2136000000</v>
      </c>
      <c r="V47" s="45">
        <v>2087000000</v>
      </c>
      <c r="W47" s="45">
        <v>945000000</v>
      </c>
      <c r="X47" s="45">
        <v>914000000</v>
      </c>
      <c r="Y47" s="45">
        <v>1181000000</v>
      </c>
      <c r="Z47" s="45">
        <v>1060000000</v>
      </c>
      <c r="AA47" s="45">
        <v>981000000</v>
      </c>
      <c r="AH47" s="45">
        <v>2136000000</v>
      </c>
      <c r="AI47" s="45">
        <v>1181000000</v>
      </c>
    </row>
    <row r="48" spans="1:35">
      <c r="A48" s="42" t="s">
        <v>275</v>
      </c>
      <c r="B48" s="43">
        <v>89284048.66272415</v>
      </c>
      <c r="C48" s="43">
        <v>88787500.03793411</v>
      </c>
      <c r="D48" s="43">
        <v>86476821.05673505</v>
      </c>
      <c r="E48" s="45">
        <v>73000000</v>
      </c>
      <c r="F48" s="43">
        <v>72317865.49351089</v>
      </c>
      <c r="G48" s="43">
        <v>77542637.89416941</v>
      </c>
      <c r="H48" s="43">
        <v>87269511.1489962</v>
      </c>
      <c r="I48" s="45">
        <v>188000000</v>
      </c>
      <c r="J48" s="43">
        <v>173546969.9768078</v>
      </c>
      <c r="K48" s="43">
        <v>180917850.8657682</v>
      </c>
      <c r="L48" s="43">
        <v>178170350.5749184</v>
      </c>
      <c r="M48" s="45">
        <v>199000000</v>
      </c>
      <c r="N48" s="43">
        <v>493593581.1396593</v>
      </c>
      <c r="O48" s="43">
        <v>495622899.3193292</v>
      </c>
      <c r="P48" s="43">
        <v>191704352.1412845</v>
      </c>
      <c r="Q48" s="45">
        <v>181000000</v>
      </c>
      <c r="R48" s="45">
        <v>207000000</v>
      </c>
      <c r="S48" s="45">
        <v>201000000</v>
      </c>
      <c r="T48" s="45">
        <v>186000000</v>
      </c>
      <c r="U48" s="45">
        <v>116000000</v>
      </c>
      <c r="V48" s="45">
        <v>115000000</v>
      </c>
      <c r="W48" s="45">
        <v>116000000</v>
      </c>
      <c r="X48" s="45">
        <v>132000000</v>
      </c>
      <c r="Y48" s="45">
        <v>229000000</v>
      </c>
      <c r="Z48" s="45">
        <v>248000000</v>
      </c>
      <c r="AA48" s="45">
        <v>236000000</v>
      </c>
      <c r="AC48" s="43">
        <v>91173836.52901131</v>
      </c>
      <c r="AD48" s="45">
        <v>73000000</v>
      </c>
      <c r="AE48" s="45">
        <v>188000000</v>
      </c>
      <c r="AF48" s="45">
        <v>199000000</v>
      </c>
      <c r="AG48" s="45">
        <v>181000000</v>
      </c>
      <c r="AH48" s="45">
        <v>116000000</v>
      </c>
      <c r="AI48" s="45">
        <v>229000000</v>
      </c>
    </row>
    <row r="49" spans="1:35">
      <c r="A49" s="42" t="s">
        <v>276</v>
      </c>
      <c r="B49" s="43">
        <v>119247539.0446589</v>
      </c>
      <c r="C49" s="43">
        <v>86443510.03693265</v>
      </c>
      <c r="D49" s="43">
        <v>114821053.129225</v>
      </c>
      <c r="E49" s="45">
        <v>81000000</v>
      </c>
      <c r="F49" s="43">
        <v>63044392.96405137</v>
      </c>
      <c r="G49" s="43">
        <v>77657577.79672106</v>
      </c>
      <c r="H49" s="43">
        <v>176473393.4978831</v>
      </c>
      <c r="I49" s="45">
        <v>130000000</v>
      </c>
      <c r="J49" s="43">
        <v>281424840.4280511</v>
      </c>
      <c r="K49" s="43">
        <v>231671964.7690904</v>
      </c>
      <c r="L49" s="43">
        <v>254066663.0350025</v>
      </c>
      <c r="M49" s="45">
        <v>77000000</v>
      </c>
      <c r="N49" s="43">
        <v>94373773.21675359</v>
      </c>
      <c r="O49" s="43">
        <v>166032558.7933281</v>
      </c>
      <c r="P49" s="43">
        <v>137793216.7505749</v>
      </c>
      <c r="Q49" s="45">
        <v>69000000</v>
      </c>
      <c r="R49" s="45">
        <v>54000000</v>
      </c>
      <c r="S49" s="45">
        <v>68000000</v>
      </c>
      <c r="T49" s="45">
        <v>77000000</v>
      </c>
      <c r="U49" s="45">
        <v>73000000</v>
      </c>
      <c r="V49" s="45">
        <v>83000000</v>
      </c>
      <c r="W49" s="45">
        <v>114000000</v>
      </c>
      <c r="X49" s="45">
        <v>117000000</v>
      </c>
      <c r="Y49" s="45">
        <v>117000000</v>
      </c>
      <c r="Z49" s="45">
        <v>145000000</v>
      </c>
      <c r="AA49" s="45">
        <v>192000000</v>
      </c>
      <c r="AC49" s="43">
        <v>123635729.9745055</v>
      </c>
      <c r="AD49" s="45">
        <v>81000000</v>
      </c>
      <c r="AE49" s="45">
        <v>130000000</v>
      </c>
      <c r="AF49" s="45">
        <v>77000000</v>
      </c>
      <c r="AG49" s="45">
        <v>69000000</v>
      </c>
      <c r="AH49" s="45">
        <v>73000000</v>
      </c>
      <c r="AI49" s="45">
        <v>117000000</v>
      </c>
    </row>
    <row r="50" spans="1:35">
      <c r="A50" s="42" t="s">
        <v>277</v>
      </c>
      <c r="B50" s="43">
        <v>31751659.24229932</v>
      </c>
      <c r="C50" s="43">
        <v>19092864.00815735</v>
      </c>
      <c r="D50" s="43">
        <v>13758571.19590987</v>
      </c>
      <c r="E50" s="45">
        <v>9000000</v>
      </c>
      <c r="F50" s="43">
        <v>10284531.0819094</v>
      </c>
      <c r="G50" s="43">
        <v>10114711.42454602</v>
      </c>
      <c r="H50" s="43">
        <v>16528239.78126515</v>
      </c>
      <c r="I50" s="45">
        <v>13000000</v>
      </c>
      <c r="J50" s="43">
        <v>109814879.1490064</v>
      </c>
      <c r="K50" s="43">
        <v>418475855.280295</v>
      </c>
      <c r="L50" s="43">
        <v>961314757.0598254</v>
      </c>
      <c r="M50" s="45">
        <v>27000000</v>
      </c>
      <c r="N50" s="43">
        <v>25776223.38125628</v>
      </c>
      <c r="O50" s="43">
        <v>30903485.78739341</v>
      </c>
      <c r="P50" s="43">
        <v>26854150.42513224</v>
      </c>
      <c r="Q50" s="45">
        <v>31000000</v>
      </c>
      <c r="R50" s="45">
        <v>45000000</v>
      </c>
      <c r="S50" s="45">
        <v>38000000</v>
      </c>
      <c r="T50" s="45">
        <v>93000000</v>
      </c>
      <c r="U50" s="45">
        <v>126000000</v>
      </c>
      <c r="V50" s="45">
        <v>138000000</v>
      </c>
      <c r="W50" s="45">
        <v>28000000</v>
      </c>
      <c r="X50" s="45">
        <v>20000000</v>
      </c>
      <c r="Y50" s="45">
        <v>73000000</v>
      </c>
      <c r="Z50" s="45">
        <v>194000000</v>
      </c>
      <c r="AA50" s="45">
        <v>781000000</v>
      </c>
      <c r="AC50" s="43">
        <v>32795863.54267</v>
      </c>
      <c r="AD50" s="45">
        <v>9000000</v>
      </c>
      <c r="AE50" s="45">
        <v>13000000</v>
      </c>
      <c r="AF50" s="45">
        <v>27000000</v>
      </c>
      <c r="AG50" s="45">
        <v>31000000</v>
      </c>
      <c r="AH50" s="45">
        <v>126000000</v>
      </c>
      <c r="AI50" s="45">
        <v>73000000</v>
      </c>
    </row>
    <row r="51" spans="1:35">
      <c r="A51" s="42" t="s">
        <v>278</v>
      </c>
      <c r="B51" s="43">
        <v>188255307.7602928</v>
      </c>
      <c r="C51" s="43">
        <v>196767306.0840681</v>
      </c>
      <c r="D51" s="43">
        <v>210159549.3359974</v>
      </c>
      <c r="E51" s="45">
        <v>188000000</v>
      </c>
      <c r="F51" s="43">
        <v>268213177.9300071</v>
      </c>
      <c r="G51" s="43">
        <v>207132153.4801401</v>
      </c>
      <c r="H51" s="43">
        <v>191117900.0687835</v>
      </c>
      <c r="I51" s="45">
        <v>143000000</v>
      </c>
      <c r="J51" s="43">
        <v>312200755.3655361</v>
      </c>
      <c r="K51" s="43">
        <v>235689166.8608876</v>
      </c>
      <c r="L51" s="43">
        <v>246341709.0922863</v>
      </c>
      <c r="M51" s="45">
        <v>173000000</v>
      </c>
      <c r="N51" s="43">
        <v>146947487.7583226</v>
      </c>
      <c r="O51" s="43">
        <v>179651639.4946311</v>
      </c>
      <c r="P51" s="43">
        <v>158728026.7841248</v>
      </c>
      <c r="Q51" s="45">
        <v>139000000</v>
      </c>
      <c r="R51" s="45">
        <v>248000000</v>
      </c>
      <c r="S51" s="45">
        <v>279000000</v>
      </c>
      <c r="T51" s="45">
        <v>260000000</v>
      </c>
      <c r="U51" s="45">
        <v>247000000</v>
      </c>
      <c r="V51" s="45">
        <v>226000000</v>
      </c>
      <c r="W51" s="45">
        <v>282000000</v>
      </c>
      <c r="X51" s="45">
        <v>248000000</v>
      </c>
      <c r="Y51" s="45">
        <v>217000000</v>
      </c>
      <c r="Z51" s="45">
        <v>350000000</v>
      </c>
      <c r="AA51" s="45">
        <v>401000000</v>
      </c>
      <c r="AC51" s="43">
        <v>190980800.0700187</v>
      </c>
      <c r="AD51" s="45">
        <v>188000000</v>
      </c>
      <c r="AE51" s="45">
        <v>143000000</v>
      </c>
      <c r="AF51" s="45">
        <v>173000000</v>
      </c>
      <c r="AG51" s="45">
        <v>139000000</v>
      </c>
      <c r="AH51" s="45">
        <v>247000000</v>
      </c>
      <c r="AI51" s="45">
        <v>217000000</v>
      </c>
    </row>
    <row r="52" spans="1:35">
      <c r="A52" s="42" t="s">
        <v>279</v>
      </c>
      <c r="B52" s="43">
        <v>131065002.8175029</v>
      </c>
      <c r="C52" s="43">
        <v>132115800.0564459</v>
      </c>
      <c r="D52" s="43">
        <v>163067951.1683173</v>
      </c>
      <c r="E52" s="45">
        <v>178000000</v>
      </c>
      <c r="F52" s="43">
        <v>149691023.7492711</v>
      </c>
      <c r="G52" s="43">
        <v>175126615.1605281</v>
      </c>
      <c r="H52" s="43">
        <v>199057936.82645</v>
      </c>
      <c r="I52" s="45">
        <v>229000000</v>
      </c>
      <c r="J52" s="43">
        <v>197953279.5686249</v>
      </c>
      <c r="K52" s="43">
        <v>221744763.5760409</v>
      </c>
      <c r="L52" s="43">
        <v>245627694.8634261</v>
      </c>
      <c r="M52" s="45">
        <v>297000000</v>
      </c>
      <c r="N52" s="43">
        <v>212164785.0856753</v>
      </c>
      <c r="O52" s="43">
        <v>218541550.9383346</v>
      </c>
      <c r="P52" s="43">
        <v>251109161.071093</v>
      </c>
      <c r="Q52" s="45">
        <v>210000000</v>
      </c>
      <c r="R52" s="45">
        <v>175000000</v>
      </c>
      <c r="S52" s="45">
        <v>268000000</v>
      </c>
      <c r="T52" s="45">
        <v>389000000</v>
      </c>
      <c r="U52" s="45">
        <v>412000000</v>
      </c>
      <c r="V52" s="45">
        <v>428000000</v>
      </c>
      <c r="W52" s="45">
        <v>289000000</v>
      </c>
      <c r="X52" s="45">
        <v>326000000</v>
      </c>
      <c r="Y52" s="45">
        <v>336000000</v>
      </c>
      <c r="Z52" s="45">
        <v>371000000</v>
      </c>
      <c r="AA52" s="45">
        <v>300000000</v>
      </c>
      <c r="AC52" s="43">
        <v>170391543.5791267</v>
      </c>
      <c r="AD52" s="45">
        <v>178000000</v>
      </c>
      <c r="AE52" s="45">
        <v>229000000</v>
      </c>
      <c r="AF52" s="45">
        <v>297000000</v>
      </c>
      <c r="AG52" s="45">
        <v>210000000</v>
      </c>
      <c r="AH52" s="45">
        <v>412000000</v>
      </c>
      <c r="AI52" s="45">
        <v>336000000</v>
      </c>
    </row>
    <row r="53" spans="1:35">
      <c r="A53" s="42" t="s">
        <v>280</v>
      </c>
      <c r="B53" s="43">
        <v>347620026.4548696</v>
      </c>
      <c r="C53" s="43">
        <v>354084550.1512812</v>
      </c>
      <c r="D53" s="43">
        <v>352537130.0799311</v>
      </c>
      <c r="E53" s="45">
        <v>263000000</v>
      </c>
      <c r="F53" s="43">
        <v>250209812.7379966</v>
      </c>
      <c r="G53" s="43">
        <v>233819109.0362254</v>
      </c>
      <c r="H53" s="43">
        <v>228853329.8635102</v>
      </c>
      <c r="I53" s="45">
        <v>266000000</v>
      </c>
      <c r="J53" s="43">
        <v>278929252.4779095</v>
      </c>
      <c r="K53" s="43">
        <v>285373091.7377667</v>
      </c>
      <c r="L53" s="43">
        <v>275092682.0410575</v>
      </c>
      <c r="M53" s="45">
        <v>294000000</v>
      </c>
      <c r="N53" s="43">
        <v>298354032.016751</v>
      </c>
      <c r="O53" s="43">
        <v>291176648.0119505</v>
      </c>
      <c r="P53" s="43">
        <v>290001969.9953218</v>
      </c>
      <c r="Q53" s="45">
        <v>341000000</v>
      </c>
      <c r="R53" s="45">
        <v>336000000</v>
      </c>
      <c r="S53" s="45">
        <v>311000000</v>
      </c>
      <c r="T53" s="45">
        <v>296000000</v>
      </c>
      <c r="U53" s="45">
        <v>370000000</v>
      </c>
      <c r="V53" s="45">
        <v>349000000</v>
      </c>
      <c r="W53" s="45">
        <v>345000000</v>
      </c>
      <c r="X53" s="45">
        <v>311000000</v>
      </c>
      <c r="Y53" s="45">
        <v>298000000</v>
      </c>
      <c r="Z53" s="45">
        <v>308000000</v>
      </c>
      <c r="AA53" s="45">
        <v>304000000</v>
      </c>
      <c r="AC53" s="43">
        <v>357164320.4247295</v>
      </c>
      <c r="AD53" s="45">
        <v>263000000</v>
      </c>
      <c r="AE53" s="45">
        <v>266000000</v>
      </c>
      <c r="AF53" s="45">
        <v>294000000</v>
      </c>
      <c r="AG53" s="45">
        <v>341000000</v>
      </c>
      <c r="AH53" s="45">
        <v>370000000</v>
      </c>
      <c r="AI53" s="45">
        <v>298000000</v>
      </c>
    </row>
    <row r="54" spans="1:35">
      <c r="A54" s="42" t="s">
        <v>281</v>
      </c>
      <c r="B54" s="43">
        <v>2799603815.670062</v>
      </c>
      <c r="C54" s="43">
        <v>2781875745.188545</v>
      </c>
      <c r="D54" s="43">
        <v>1890306900.967823</v>
      </c>
      <c r="E54" s="45">
        <v>1793000000</v>
      </c>
      <c r="F54" s="43">
        <v>1185928195.634341</v>
      </c>
      <c r="G54" s="43">
        <v>1273304240.467281</v>
      </c>
      <c r="H54" s="43">
        <v>1091086632.717414</v>
      </c>
      <c r="I54" s="45">
        <v>845000000</v>
      </c>
      <c r="J54" s="43">
        <v>522109432.8036115</v>
      </c>
      <c r="K54" s="43">
        <v>765416761.9796213</v>
      </c>
      <c r="L54" s="43">
        <v>857544689.1321412</v>
      </c>
      <c r="M54" s="45">
        <v>1140000000</v>
      </c>
      <c r="N54" s="43">
        <v>1109868752.245131</v>
      </c>
      <c r="O54" s="43">
        <v>1484959918.805526</v>
      </c>
      <c r="P54" s="43">
        <v>1543045197.077125</v>
      </c>
      <c r="Q54" s="45">
        <v>1508000000</v>
      </c>
      <c r="R54" s="45">
        <v>1559000000</v>
      </c>
      <c r="S54" s="45">
        <v>1651000000</v>
      </c>
      <c r="T54" s="45">
        <v>1832000000</v>
      </c>
      <c r="U54" s="45">
        <v>1907000000</v>
      </c>
      <c r="V54" s="45">
        <v>2023000000</v>
      </c>
      <c r="W54" s="45">
        <v>2252000000</v>
      </c>
      <c r="X54" s="45">
        <v>2653000000</v>
      </c>
      <c r="Y54" s="45">
        <v>2355000000</v>
      </c>
      <c r="Z54" s="45">
        <v>1591000000</v>
      </c>
      <c r="AA54" s="45">
        <v>1607000000</v>
      </c>
      <c r="AC54" s="43">
        <v>1788560156.92049</v>
      </c>
      <c r="AD54" s="45">
        <v>1793000000</v>
      </c>
      <c r="AE54" s="45">
        <v>845000000</v>
      </c>
      <c r="AF54" s="45">
        <v>1140000000</v>
      </c>
      <c r="AG54" s="45">
        <v>1508000000</v>
      </c>
      <c r="AH54" s="45">
        <v>1907000000</v>
      </c>
      <c r="AI54" s="45">
        <v>2355000000</v>
      </c>
    </row>
    <row r="55" spans="1:35">
      <c r="A55" s="42" t="s">
        <v>282</v>
      </c>
      <c r="B55" s="43">
        <v>21395829.14662285</v>
      </c>
      <c r="C55" s="43">
        <v>21237970.00907384</v>
      </c>
      <c r="D55" s="43">
        <v>20322775.01075237</v>
      </c>
      <c r="E55" s="45">
        <v>108000000</v>
      </c>
      <c r="F55" s="43">
        <v>98790205.01195633</v>
      </c>
      <c r="G55" s="43">
        <v>87061751.64185682</v>
      </c>
      <c r="H55" s="43">
        <v>52045725.63475588</v>
      </c>
      <c r="I55" s="45">
        <v>34000000</v>
      </c>
      <c r="J55" s="43">
        <v>15793377.89385579</v>
      </c>
      <c r="K55" s="43">
        <v>11620336.07070555</v>
      </c>
      <c r="L55" s="43">
        <v>10145802.18532797</v>
      </c>
      <c r="M55" s="45">
        <v>12000000</v>
      </c>
      <c r="N55" s="43">
        <v>56303979.01154994</v>
      </c>
      <c r="O55" s="43">
        <v>91086628.88074085</v>
      </c>
      <c r="P55" s="43">
        <v>115429994.460369</v>
      </c>
      <c r="Q55" s="45">
        <v>122000000</v>
      </c>
      <c r="R55" s="45">
        <v>117000000</v>
      </c>
      <c r="S55" s="45">
        <v>123000000</v>
      </c>
      <c r="T55" s="45">
        <v>181000000</v>
      </c>
      <c r="U55" s="45">
        <v>410000000</v>
      </c>
      <c r="V55" s="45">
        <v>260000000</v>
      </c>
      <c r="W55" s="45">
        <v>321000000</v>
      </c>
      <c r="X55" s="45">
        <v>372000000</v>
      </c>
      <c r="Y55" s="45">
        <v>399000000</v>
      </c>
      <c r="Z55" s="45">
        <v>534000000</v>
      </c>
      <c r="AA55" s="45">
        <v>737000000</v>
      </c>
      <c r="AC55" s="43">
        <v>21875041.36501919</v>
      </c>
      <c r="AD55" s="45">
        <v>108000000</v>
      </c>
      <c r="AE55" s="45">
        <v>34000000</v>
      </c>
      <c r="AF55" s="45">
        <v>12000000</v>
      </c>
      <c r="AG55" s="45">
        <v>122000000</v>
      </c>
      <c r="AH55" s="45">
        <v>410000000</v>
      </c>
      <c r="AI55" s="45">
        <v>399000000</v>
      </c>
    </row>
    <row r="56" spans="1:35">
      <c r="A56" s="42" t="s">
        <v>283</v>
      </c>
      <c r="B56" s="43">
        <v>2105281171.132161</v>
      </c>
      <c r="C56" s="43">
        <v>1658451058.708567</v>
      </c>
      <c r="D56" s="43">
        <v>1565405068.948379</v>
      </c>
      <c r="E56" s="45">
        <v>1717000000</v>
      </c>
      <c r="F56" s="43">
        <v>1836625911.115866</v>
      </c>
      <c r="G56" s="43">
        <v>1892558639.087421</v>
      </c>
      <c r="H56" s="43">
        <v>1836518348.930796</v>
      </c>
      <c r="I56" s="45">
        <v>1963000000</v>
      </c>
      <c r="J56" s="43">
        <v>1901674055.378946</v>
      </c>
      <c r="K56" s="43">
        <v>2114421975.752092</v>
      </c>
      <c r="L56" s="43">
        <v>2368507599.568558</v>
      </c>
      <c r="M56" s="45">
        <v>2564000000</v>
      </c>
      <c r="N56" s="43">
        <v>2576020913.533116</v>
      </c>
      <c r="O56" s="43">
        <v>2557998270.328995</v>
      </c>
      <c r="P56" s="43">
        <v>2806644390.735617</v>
      </c>
      <c r="Q56" s="45">
        <v>2319000000</v>
      </c>
      <c r="R56" s="45">
        <v>2482000000</v>
      </c>
      <c r="S56" s="45">
        <v>2600000000</v>
      </c>
      <c r="T56" s="45">
        <v>2979000000</v>
      </c>
      <c r="U56" s="45">
        <v>2879000000</v>
      </c>
      <c r="V56" s="45">
        <v>2710000000</v>
      </c>
      <c r="W56" s="45">
        <v>2654000000</v>
      </c>
      <c r="X56" s="45">
        <v>2407000000</v>
      </c>
      <c r="Y56" s="45">
        <v>2238000000</v>
      </c>
      <c r="Z56" s="45">
        <v>2367000000</v>
      </c>
      <c r="AA56" s="45">
        <v>2286000000</v>
      </c>
      <c r="AC56" s="43">
        <v>2481314329.492387</v>
      </c>
      <c r="AD56" s="45">
        <v>1717000000</v>
      </c>
      <c r="AE56" s="45">
        <v>1963000000</v>
      </c>
      <c r="AF56" s="45">
        <v>2564000000</v>
      </c>
      <c r="AG56" s="45">
        <v>2319000000</v>
      </c>
      <c r="AH56" s="45">
        <v>2879000000</v>
      </c>
      <c r="AI56" s="45">
        <v>2238000000</v>
      </c>
    </row>
    <row r="57" spans="1:35">
      <c r="A57" s="47" t="s">
        <v>284</v>
      </c>
      <c r="B57" s="48">
        <v>5833504399.931193</v>
      </c>
      <c r="C57" s="48">
        <v>5338856304.281006</v>
      </c>
      <c r="D57" s="48">
        <v>4416855820.893071</v>
      </c>
      <c r="E57" s="48">
        <v>4410000000</v>
      </c>
      <c r="F57" s="48">
        <v>3935105115.71891</v>
      </c>
      <c r="G57" s="48">
        <v>4034317435.988889</v>
      </c>
      <c r="H57" s="48">
        <v>3878951018.469854</v>
      </c>
      <c r="I57" s="48">
        <v>3811000000</v>
      </c>
      <c r="J57" s="48">
        <v>3793446843.042349</v>
      </c>
      <c r="K57" s="48">
        <v>4465331766.892267</v>
      </c>
      <c r="L57" s="48">
        <v>5396811947.552544</v>
      </c>
      <c r="M57" s="48">
        <v>4783000000</v>
      </c>
      <c r="N57" s="48">
        <v>5013403527.388215</v>
      </c>
      <c r="O57" s="48">
        <v>5515973600.360229</v>
      </c>
      <c r="P57" s="48">
        <v>5521310459.440642</v>
      </c>
      <c r="Q57" s="48">
        <v>4920000000</v>
      </c>
      <c r="R57" s="48">
        <v>7262000000</v>
      </c>
      <c r="S57" s="48">
        <v>7624000000</v>
      </c>
      <c r="T57" s="48">
        <v>8497000000</v>
      </c>
      <c r="U57" s="48">
        <v>8676000000</v>
      </c>
      <c r="V57" s="48">
        <v>8419000000</v>
      </c>
      <c r="W57" s="48">
        <v>7346000000</v>
      </c>
      <c r="X57" s="48">
        <v>7500000000</v>
      </c>
      <c r="Y57" s="48">
        <v>7443000000</v>
      </c>
      <c r="Z57" s="48">
        <v>7168000000</v>
      </c>
      <c r="AA57" s="48">
        <v>7825000000</v>
      </c>
      <c r="AC57" s="48">
        <v>5257891621.897959</v>
      </c>
      <c r="AD57" s="48">
        <v>4410000000</v>
      </c>
      <c r="AE57" s="48">
        <v>3811000000</v>
      </c>
      <c r="AF57" s="48">
        <v>4783000000</v>
      </c>
      <c r="AG57" s="48">
        <v>4920000000</v>
      </c>
      <c r="AH57" s="48">
        <v>8676000000</v>
      </c>
      <c r="AI57" s="48">
        <v>7443000000</v>
      </c>
    </row>
    <row r="58" spans="1:35">
      <c r="A58" s="47" t="s">
        <v>285</v>
      </c>
      <c r="B58" s="48">
        <v>16530594860.63741</v>
      </c>
      <c r="C58" s="48">
        <v>15745674698.72728</v>
      </c>
      <c r="D58" s="48">
        <v>15271278836.6327</v>
      </c>
      <c r="E58" s="48">
        <v>14751000000</v>
      </c>
      <c r="F58" s="48">
        <v>14550795924.14632</v>
      </c>
      <c r="G58" s="48">
        <v>14911404335.99596</v>
      </c>
      <c r="H58" s="48">
        <v>15070665763.15273</v>
      </c>
      <c r="I58" s="48">
        <v>15026000000</v>
      </c>
      <c r="J58" s="48">
        <v>14998402496.26541</v>
      </c>
      <c r="K58" s="48">
        <v>14980625789.42798</v>
      </c>
      <c r="L58" s="48">
        <v>15186205430.37555</v>
      </c>
      <c r="M58" s="48">
        <v>15360000000</v>
      </c>
      <c r="N58" s="48">
        <v>15399600946.70435</v>
      </c>
      <c r="O58" s="48">
        <v>15739734339.68737</v>
      </c>
      <c r="P58" s="48">
        <v>15701241795.91455</v>
      </c>
      <c r="Q58" s="48">
        <v>15984000000</v>
      </c>
      <c r="R58" s="48">
        <v>16682000000</v>
      </c>
      <c r="S58" s="48">
        <v>16934000000</v>
      </c>
      <c r="T58" s="48">
        <v>16623000000</v>
      </c>
      <c r="U58" s="48">
        <v>17521000000</v>
      </c>
      <c r="V58" s="48">
        <v>17806000000</v>
      </c>
      <c r="W58" s="48">
        <v>17091000000</v>
      </c>
      <c r="X58" s="48">
        <v>17935000000</v>
      </c>
      <c r="Y58" s="48">
        <v>18395000000</v>
      </c>
      <c r="Z58" s="48">
        <v>18723000000</v>
      </c>
      <c r="AA58" s="48">
        <v>19598000000</v>
      </c>
      <c r="AC58" s="48">
        <v>17119140196.18628</v>
      </c>
      <c r="AD58" s="48">
        <v>14751000000</v>
      </c>
      <c r="AE58" s="48">
        <v>15026000000</v>
      </c>
      <c r="AF58" s="48">
        <v>15360000000</v>
      </c>
      <c r="AG58" s="48">
        <v>15984000000</v>
      </c>
      <c r="AH58" s="48">
        <v>17521000000</v>
      </c>
      <c r="AI58" s="48">
        <v>18395000000</v>
      </c>
    </row>
    <row r="59" spans="1:35">
      <c r="A59" s="47" t="s">
        <v>286</v>
      </c>
      <c r="B59" s="48">
        <v>25827020427.66729</v>
      </c>
      <c r="C59" s="48">
        <v>23824754756.17904</v>
      </c>
      <c r="D59" s="48">
        <v>22878692178.54522</v>
      </c>
      <c r="E59" s="48">
        <v>22882000000</v>
      </c>
      <c r="F59" s="48">
        <v>22670661516.85789</v>
      </c>
      <c r="G59" s="48">
        <v>22598281995.27148</v>
      </c>
      <c r="H59" s="48">
        <v>23023584825.35472</v>
      </c>
      <c r="I59" s="48">
        <v>23290000000</v>
      </c>
      <c r="J59" s="48">
        <v>23562098135.93239</v>
      </c>
      <c r="K59" s="48">
        <v>24375471833.70426</v>
      </c>
      <c r="L59" s="48">
        <v>25315564888.0332</v>
      </c>
      <c r="M59" s="48">
        <v>25912000000</v>
      </c>
      <c r="N59" s="48">
        <v>26323205773.28699</v>
      </c>
      <c r="O59" s="48">
        <v>27037774722.50216</v>
      </c>
      <c r="P59" s="48">
        <v>26801427728.73907</v>
      </c>
      <c r="Q59" s="48">
        <v>25035000000</v>
      </c>
      <c r="R59" s="48">
        <v>26649000000</v>
      </c>
      <c r="S59" s="48">
        <v>27539000000</v>
      </c>
      <c r="T59" s="48">
        <v>28758000000</v>
      </c>
      <c r="U59" s="48">
        <v>29391000000</v>
      </c>
      <c r="V59" s="48">
        <v>29714000000</v>
      </c>
      <c r="W59" s="48">
        <v>29015000000</v>
      </c>
      <c r="X59" s="48">
        <v>29569000000</v>
      </c>
      <c r="Y59" s="48">
        <v>29439000000</v>
      </c>
      <c r="Z59" s="48">
        <v>30358000000</v>
      </c>
      <c r="AA59" s="48">
        <v>32393000000</v>
      </c>
      <c r="AC59" s="48">
        <v>26271574010.78602</v>
      </c>
      <c r="AD59" s="48">
        <v>22882000000</v>
      </c>
      <c r="AE59" s="48">
        <v>23290000000</v>
      </c>
      <c r="AF59" s="48">
        <v>25912000000</v>
      </c>
      <c r="AG59" s="48">
        <v>25035000000</v>
      </c>
      <c r="AH59" s="48">
        <v>29391000000</v>
      </c>
      <c r="AI59" s="48">
        <v>29439000000</v>
      </c>
    </row>
    <row r="61" spans="1:35">
      <c r="A61" s="5" t="s">
        <v>220</v>
      </c>
    </row>
    <row r="62" spans="1:35">
      <c r="A62" s="42" t="s">
        <v>287</v>
      </c>
      <c r="B62" s="43">
        <v>611538200.9502399</v>
      </c>
      <c r="C62" s="43">
        <v>608982808.2601855</v>
      </c>
      <c r="D62" s="43">
        <v>580643212.6457078</v>
      </c>
      <c r="E62" s="43">
        <v>464927842.4139879</v>
      </c>
      <c r="F62" s="43">
        <v>459498933.095119</v>
      </c>
      <c r="G62" s="43">
        <v>457659344.7145568</v>
      </c>
      <c r="H62" s="43">
        <v>437481846.710362</v>
      </c>
      <c r="AC62" s="43">
        <v>620833712.1450754</v>
      </c>
      <c r="AD62" s="43">
        <v>464927842.4139879</v>
      </c>
    </row>
    <row r="63" spans="1:35">
      <c r="A63" s="42" t="s">
        <v>288</v>
      </c>
      <c r="B63" s="43">
        <v>17656332679.3563</v>
      </c>
      <c r="C63" s="43">
        <v>16264463612.94893</v>
      </c>
      <c r="D63" s="43">
        <v>15739490366.33778</v>
      </c>
      <c r="E63" s="43">
        <v>16395626464.425</v>
      </c>
      <c r="F63" s="43">
        <v>16114718687.63152</v>
      </c>
      <c r="G63" s="43">
        <v>15871936203.45608</v>
      </c>
      <c r="H63" s="43">
        <v>15825242700.2745</v>
      </c>
      <c r="AC63" s="43">
        <v>17850885377.60346</v>
      </c>
      <c r="AD63" s="43">
        <v>16395626464.425</v>
      </c>
    </row>
    <row r="64" spans="1:35">
      <c r="A64" s="42" t="s">
        <v>289</v>
      </c>
      <c r="B64" s="43">
        <v>967477099.9294142</v>
      </c>
      <c r="C64" s="43">
        <v>885459980.3783092</v>
      </c>
      <c r="D64" s="43">
        <v>806307411.3923632</v>
      </c>
      <c r="E64" s="43">
        <v>523901025.6256806</v>
      </c>
      <c r="F64" s="43">
        <v>526011365.6100468</v>
      </c>
      <c r="G64" s="43">
        <v>487930335.4138438</v>
      </c>
      <c r="H64" s="43">
        <v>466365755.9359552</v>
      </c>
      <c r="AC64" s="43">
        <v>1025137911.786178</v>
      </c>
      <c r="AD64" s="43">
        <v>523901025.6256806</v>
      </c>
    </row>
    <row r="65" spans="1:34">
      <c r="A65" s="42" t="s">
        <v>290</v>
      </c>
      <c r="B65" s="43">
        <v>1153835393.768277</v>
      </c>
      <c r="C65" s="43">
        <v>1153385140.492779</v>
      </c>
      <c r="D65" s="43">
        <v>1209769634.667842</v>
      </c>
      <c r="E65" s="43">
        <v>1273022087.902223</v>
      </c>
      <c r="F65" s="43">
        <v>1300993181.861539</v>
      </c>
      <c r="G65" s="43">
        <v>1311767311.493887</v>
      </c>
      <c r="H65" s="43">
        <v>1368704346.4944</v>
      </c>
      <c r="AC65" s="43">
        <v>1128651943.405838</v>
      </c>
      <c r="AD65" s="43">
        <v>1273022087.902223</v>
      </c>
    </row>
    <row r="66" spans="1:34">
      <c r="A66" s="42" t="s">
        <v>291</v>
      </c>
      <c r="B66" s="43">
        <v>28595152.47139493</v>
      </c>
      <c r="C66" s="43">
        <v>33128392.01415397</v>
      </c>
      <c r="D66" s="43">
        <v>35131618.81703705</v>
      </c>
      <c r="E66" s="43">
        <v>31245566.03457078</v>
      </c>
      <c r="F66" s="43">
        <v>29244596.83967894</v>
      </c>
      <c r="G66" s="43">
        <v>26457075.75098193</v>
      </c>
      <c r="H66" s="43">
        <v>21419869.56947046</v>
      </c>
      <c r="AC66" s="43">
        <v>26433733.19146976</v>
      </c>
      <c r="AD66" s="43">
        <v>31245566.03457078</v>
      </c>
    </row>
    <row r="67" spans="1:34">
      <c r="A67" s="42" t="s">
        <v>292</v>
      </c>
      <c r="B67" s="43">
        <v>198486743.5004656</v>
      </c>
      <c r="C67" s="43">
        <v>160598830.0686152</v>
      </c>
      <c r="D67" s="43">
        <v>167570994.9852993</v>
      </c>
      <c r="E67" s="43">
        <v>174197893.2554979</v>
      </c>
      <c r="F67" s="43">
        <v>162552123.400327</v>
      </c>
      <c r="G67" s="43">
        <v>174332484.9247167</v>
      </c>
      <c r="H67" s="43">
        <v>200496055.7289866</v>
      </c>
      <c r="AC67" s="43">
        <v>196858673.780314</v>
      </c>
      <c r="AD67" s="43">
        <v>174197893.2554979</v>
      </c>
    </row>
    <row r="68" spans="1:34">
      <c r="A68" s="42" t="s">
        <v>293</v>
      </c>
      <c r="B68" s="43">
        <v>176235703.1597554</v>
      </c>
      <c r="C68" s="43">
        <v>74695148.03191321</v>
      </c>
      <c r="D68" s="43">
        <v>111236997.8463209</v>
      </c>
      <c r="E68" s="43">
        <v>101390613.8611348</v>
      </c>
      <c r="F68" s="43">
        <v>56304002.61438559</v>
      </c>
      <c r="G68" s="43">
        <v>55129356.89659584</v>
      </c>
      <c r="H68" s="43">
        <v>42616931.98502681</v>
      </c>
      <c r="AC68" s="43">
        <v>255904586.961007</v>
      </c>
      <c r="AD68" s="43">
        <v>101390613.8611348</v>
      </c>
    </row>
    <row r="69" spans="1:34">
      <c r="A69" s="42" t="s">
        <v>294</v>
      </c>
      <c r="I69" s="45">
        <v>25000000</v>
      </c>
      <c r="J69" s="43">
        <v>34821109.84583722</v>
      </c>
      <c r="K69" s="43">
        <v>178809418.7539701</v>
      </c>
      <c r="L69" s="43">
        <v>201392813.3516577</v>
      </c>
      <c r="M69" s="45">
        <v>201000000</v>
      </c>
      <c r="N69" s="43">
        <v>167885874.5711846</v>
      </c>
      <c r="O69" s="43">
        <v>64925815.22062835</v>
      </c>
      <c r="P69" s="43">
        <v>10727376.04748634</v>
      </c>
      <c r="Q69" s="45">
        <v>8000000</v>
      </c>
      <c r="R69" s="45">
        <v>7000000</v>
      </c>
      <c r="S69" s="45">
        <v>7000000</v>
      </c>
      <c r="AE69" s="45">
        <v>25000000</v>
      </c>
      <c r="AF69" s="45">
        <v>201000000</v>
      </c>
      <c r="AG69" s="45">
        <v>8000000</v>
      </c>
    </row>
    <row r="70" spans="1:34">
      <c r="A70" s="42" t="s">
        <v>295</v>
      </c>
      <c r="G70" s="43">
        <v>36017985.82686995</v>
      </c>
      <c r="H70" s="43">
        <v>143690359.0787928</v>
      </c>
    </row>
    <row r="71" spans="1:34">
      <c r="A71" s="47" t="s">
        <v>296</v>
      </c>
      <c r="B71" s="48">
        <v>20792500973.13585</v>
      </c>
      <c r="C71" s="48">
        <v>19180713912.19489</v>
      </c>
      <c r="D71" s="48">
        <v>18650150236.69235</v>
      </c>
      <c r="E71" s="48">
        <v>18964311493.51809</v>
      </c>
      <c r="F71" s="48">
        <v>18649322891.05261</v>
      </c>
      <c r="G71" s="48">
        <v>18421230098.47753</v>
      </c>
      <c r="H71" s="48">
        <v>18506017865.77749</v>
      </c>
      <c r="AC71" s="48">
        <v>21104705938.87335</v>
      </c>
      <c r="AD71" s="48">
        <v>18964311493.51809</v>
      </c>
    </row>
    <row r="72" spans="1:34">
      <c r="A72" s="42" t="s">
        <v>297</v>
      </c>
      <c r="B72" s="43">
        <v>166626239.1971006</v>
      </c>
      <c r="C72" s="43">
        <v>154291366.0659204</v>
      </c>
      <c r="D72" s="43">
        <v>141353564.9488183</v>
      </c>
      <c r="E72" s="45">
        <v>4532000000</v>
      </c>
      <c r="F72" s="43">
        <v>113793009.3386318</v>
      </c>
      <c r="G72" s="43">
        <v>110634880.7469971</v>
      </c>
      <c r="H72" s="43">
        <v>105904291.2945402</v>
      </c>
      <c r="I72" s="45">
        <v>4535000000</v>
      </c>
      <c r="J72" s="43">
        <v>95093613.04600564</v>
      </c>
      <c r="K72" s="43">
        <v>84465068.23627619</v>
      </c>
      <c r="L72" s="43">
        <v>65016095.63935708</v>
      </c>
      <c r="M72" s="45">
        <v>4507000000</v>
      </c>
      <c r="N72" s="43">
        <v>30738721.74427716</v>
      </c>
      <c r="O72" s="43">
        <v>25505036.77337736</v>
      </c>
      <c r="P72" s="43">
        <v>13769894.15416356</v>
      </c>
      <c r="Q72" s="45">
        <v>4504000000</v>
      </c>
      <c r="R72" s="45">
        <v>4505000000</v>
      </c>
      <c r="S72" s="45">
        <v>4506000000</v>
      </c>
      <c r="T72" s="45">
        <v>4504000000</v>
      </c>
      <c r="U72" s="45">
        <v>4506000000</v>
      </c>
      <c r="V72" s="45">
        <v>4508000000</v>
      </c>
      <c r="W72" s="45">
        <v>4511000000</v>
      </c>
      <c r="X72" s="45">
        <v>4506000000</v>
      </c>
      <c r="AC72" s="43">
        <v>176536593.3671626</v>
      </c>
      <c r="AD72" s="45">
        <v>4532000000</v>
      </c>
      <c r="AE72" s="45">
        <v>4535000000</v>
      </c>
      <c r="AF72" s="45">
        <v>4507000000</v>
      </c>
      <c r="AG72" s="45">
        <v>4504000000</v>
      </c>
      <c r="AH72" s="45">
        <v>4506000000</v>
      </c>
    </row>
    <row r="73" spans="1:34">
      <c r="A73" s="42" t="s">
        <v>298</v>
      </c>
      <c r="E73" s="45">
        <v>3525000000</v>
      </c>
      <c r="I73" s="45">
        <v>3649000000</v>
      </c>
      <c r="M73" s="45">
        <v>5947000000</v>
      </c>
      <c r="N73" s="43">
        <v>10792192116.30856</v>
      </c>
      <c r="O73" s="43">
        <v>11125723295.52358</v>
      </c>
      <c r="P73" s="43">
        <v>10950208359.52467</v>
      </c>
      <c r="Q73" s="45">
        <v>4445000000</v>
      </c>
      <c r="R73" s="45">
        <v>5308000000</v>
      </c>
      <c r="S73" s="45">
        <v>5912000000</v>
      </c>
      <c r="T73" s="45">
        <v>7422000000</v>
      </c>
      <c r="U73" s="45">
        <v>7146000000</v>
      </c>
      <c r="V73" s="45">
        <v>7167000000</v>
      </c>
      <c r="W73" s="45">
        <v>7183000000</v>
      </c>
      <c r="X73" s="45">
        <v>6906000000</v>
      </c>
      <c r="AD73" s="45">
        <v>3525000000</v>
      </c>
      <c r="AE73" s="45">
        <v>3649000000</v>
      </c>
      <c r="AF73" s="45">
        <v>5947000000</v>
      </c>
      <c r="AG73" s="45">
        <v>4445000000</v>
      </c>
      <c r="AH73" s="45">
        <v>7146000000</v>
      </c>
    </row>
    <row r="74" spans="1:34">
      <c r="A74" s="42" t="s">
        <v>299</v>
      </c>
      <c r="B74" s="43">
        <v>9034715392.344696</v>
      </c>
      <c r="C74" s="43">
        <v>7839382219.349345</v>
      </c>
      <c r="D74" s="43">
        <v>7378887150.302598</v>
      </c>
      <c r="E74" s="43">
        <v>7925427722.450874</v>
      </c>
      <c r="F74" s="43">
        <v>7932450126.198848</v>
      </c>
      <c r="G74" s="43">
        <v>7510371765.284369</v>
      </c>
      <c r="H74" s="43">
        <v>7771341359.359892</v>
      </c>
      <c r="I74" s="43">
        <v>8077224859.857221</v>
      </c>
      <c r="J74" s="43">
        <v>8384418727.681905</v>
      </c>
      <c r="K74" s="43">
        <v>9214479260.89427</v>
      </c>
      <c r="L74" s="43">
        <v>9963653755.477978</v>
      </c>
      <c r="AC74" s="43">
        <v>8883220519.266273</v>
      </c>
      <c r="AD74" s="43">
        <v>7925427722.450874</v>
      </c>
      <c r="AE74" s="43">
        <v>8077224859.857221</v>
      </c>
    </row>
    <row r="75" spans="1:34">
      <c r="A75" s="42" t="s">
        <v>300</v>
      </c>
      <c r="Q75" s="45">
        <v>226000000</v>
      </c>
      <c r="AG75" s="45">
        <v>226000000</v>
      </c>
    </row>
    <row r="76" spans="1:34">
      <c r="A76" s="42" t="s">
        <v>301</v>
      </c>
      <c r="B76" s="43">
        <v>2431101086.785021</v>
      </c>
      <c r="C76" s="43">
        <v>2454853625.048826</v>
      </c>
      <c r="D76" s="43">
        <v>2515402901.847645</v>
      </c>
      <c r="E76" s="43">
        <v>2216402859.891607</v>
      </c>
      <c r="F76" s="43">
        <v>2238103129.217169</v>
      </c>
      <c r="G76" s="43">
        <v>2289947678.536707</v>
      </c>
      <c r="H76" s="43">
        <v>2309244236.351209</v>
      </c>
      <c r="AC76" s="43">
        <v>2417409151.397786</v>
      </c>
      <c r="AD76" s="43">
        <v>2216402859.891607</v>
      </c>
    </row>
    <row r="77" spans="1:34">
      <c r="A77" s="42" t="s">
        <v>302</v>
      </c>
      <c r="AC77" s="43">
        <v>4909360.428485225</v>
      </c>
    </row>
    <row r="78" spans="1:34">
      <c r="A78" s="42" t="s">
        <v>303</v>
      </c>
      <c r="B78" s="43">
        <v>1502637166.600431</v>
      </c>
      <c r="C78" s="43">
        <v>1367952564.584452</v>
      </c>
      <c r="D78" s="43">
        <v>1388526032.953633</v>
      </c>
      <c r="E78" s="43">
        <v>1421548462.46823</v>
      </c>
      <c r="F78" s="43">
        <v>1414873163.978876</v>
      </c>
      <c r="G78" s="43">
        <v>2052669923.341882</v>
      </c>
      <c r="H78" s="43">
        <v>2136862392.407021</v>
      </c>
      <c r="AC78" s="43">
        <v>1623612325.925329</v>
      </c>
      <c r="AD78" s="43">
        <v>1421548462.46823</v>
      </c>
    </row>
    <row r="79" spans="1:34">
      <c r="A79" s="42" t="s">
        <v>304</v>
      </c>
      <c r="B79" s="43">
        <v>49011376.06842677</v>
      </c>
      <c r="C79" s="43">
        <v>41438902.01770461</v>
      </c>
      <c r="D79" s="43">
        <v>35210389.26281515</v>
      </c>
      <c r="E79" s="43">
        <v>42441200.57415452</v>
      </c>
      <c r="F79" s="43">
        <v>37420038.03798324</v>
      </c>
      <c r="G79" s="43">
        <v>34617808.83214974</v>
      </c>
      <c r="H79" s="43">
        <v>32246271.73011534</v>
      </c>
      <c r="AC79" s="43">
        <v>56557835.95673285</v>
      </c>
      <c r="AD79" s="43">
        <v>42441200.57415452</v>
      </c>
    </row>
    <row r="80" spans="1:34">
      <c r="A80" s="42" t="s">
        <v>305</v>
      </c>
      <c r="B80" s="43">
        <v>14569688.88836164</v>
      </c>
      <c r="C80" s="43">
        <v>3395234.001450601</v>
      </c>
      <c r="D80" s="43">
        <v>262568.1525936999</v>
      </c>
      <c r="E80" s="43">
        <v>2555266.906592893</v>
      </c>
      <c r="F80" s="43">
        <v>2185191.064972293</v>
      </c>
      <c r="G80" s="43">
        <v>2027121.917729263</v>
      </c>
      <c r="H80" s="43">
        <v>2076157.570563331</v>
      </c>
      <c r="AC80" s="43">
        <v>23845464.93835681</v>
      </c>
      <c r="AD80" s="43">
        <v>2555266.906592893</v>
      </c>
    </row>
    <row r="81" spans="1:30">
      <c r="A81" s="42" t="s">
        <v>306</v>
      </c>
      <c r="D81" s="43">
        <v>38374335.50156923</v>
      </c>
      <c r="E81" s="43">
        <v>45875954.69510962</v>
      </c>
      <c r="F81" s="43">
        <v>45693323.61233108</v>
      </c>
      <c r="G81" s="43">
        <v>46331229.81036884</v>
      </c>
      <c r="H81" s="43">
        <v>36074503.73827602</v>
      </c>
      <c r="AD81" s="43">
        <v>45875954.69510962</v>
      </c>
    </row>
    <row r="82" spans="1:30">
      <c r="A82" s="42" t="s">
        <v>307</v>
      </c>
      <c r="B82" s="43">
        <v>645373465.6472249</v>
      </c>
      <c r="C82" s="43">
        <v>589705266.2519493</v>
      </c>
      <c r="D82" s="43">
        <v>534864455.2409964</v>
      </c>
      <c r="E82" s="43">
        <v>287283310.0751787</v>
      </c>
      <c r="F82" s="43">
        <v>297740436.3004785</v>
      </c>
      <c r="G82" s="43">
        <v>276649896.3597937</v>
      </c>
      <c r="H82" s="43">
        <v>260167862.5863483</v>
      </c>
      <c r="AC82" s="43">
        <v>674469309.7515194</v>
      </c>
      <c r="AD82" s="43">
        <v>287283310.0751787</v>
      </c>
    </row>
    <row r="83" spans="1:30">
      <c r="A83" s="42" t="s">
        <v>308</v>
      </c>
      <c r="B83" s="43">
        <v>6006925680.79768</v>
      </c>
      <c r="C83" s="43">
        <v>5903672658.522322</v>
      </c>
      <c r="D83" s="43">
        <v>6306978924.154078</v>
      </c>
      <c r="E83" s="43">
        <v>6270209015.096493</v>
      </c>
      <c r="F83" s="43">
        <v>6553725023.369389</v>
      </c>
      <c r="G83" s="43">
        <v>6154342142.226044</v>
      </c>
      <c r="H83" s="43">
        <v>6390463640.183457</v>
      </c>
      <c r="AC83" s="43">
        <v>7007544262.497459</v>
      </c>
      <c r="AD83" s="43">
        <v>6270209015.096493</v>
      </c>
    </row>
    <row r="84" spans="1:30">
      <c r="A84" s="42" t="s">
        <v>309</v>
      </c>
      <c r="B84" s="43">
        <v>10806759.63437709</v>
      </c>
      <c r="C84" s="43">
        <v>10753942.00459458</v>
      </c>
      <c r="D84" s="43">
        <v>10752165.84871201</v>
      </c>
      <c r="E84" s="43">
        <v>35191373.53684445</v>
      </c>
      <c r="F84" s="43">
        <v>15535512.5962458</v>
      </c>
      <c r="G84" s="43">
        <v>9435521.09128621</v>
      </c>
      <c r="H84" s="43">
        <v>9428793.649729077</v>
      </c>
      <c r="AC84" s="43">
        <v>11739048.91573168</v>
      </c>
      <c r="AD84" s="43">
        <v>35191373.53684445</v>
      </c>
    </row>
    <row r="85" spans="1:30">
      <c r="A85" s="42" t="s">
        <v>310</v>
      </c>
      <c r="B85" s="43">
        <v>36665236.28469235</v>
      </c>
      <c r="C85" s="43">
        <v>35046202.01497335</v>
      </c>
      <c r="D85" s="43">
        <v>24051242.77758291</v>
      </c>
      <c r="E85" s="43">
        <v>8438323.272934671</v>
      </c>
      <c r="F85" s="43">
        <v>10414990.24996744</v>
      </c>
      <c r="G85" s="43">
        <v>11065577.89110974</v>
      </c>
      <c r="H85" s="43">
        <v>15150886.46615972</v>
      </c>
      <c r="AC85" s="43">
        <v>41161814.47692543</v>
      </c>
      <c r="AD85" s="43">
        <v>8438323.272934671</v>
      </c>
    </row>
    <row r="86" spans="1:30">
      <c r="A86" s="47" t="s">
        <v>311</v>
      </c>
      <c r="B86" s="48">
        <v>10697090460.70621</v>
      </c>
      <c r="C86" s="48">
        <v>10406818394.44627</v>
      </c>
      <c r="D86" s="48">
        <v>10854423015.73963</v>
      </c>
      <c r="E86" s="48">
        <v>10329945766.51714</v>
      </c>
      <c r="F86" s="48">
        <v>10615690808.42741</v>
      </c>
      <c r="G86" s="48">
        <v>10877086900.00707</v>
      </c>
      <c r="H86" s="48">
        <v>11191714744.68288</v>
      </c>
      <c r="AC86" s="48">
        <v>11861248574.28833</v>
      </c>
      <c r="AD86" s="48">
        <v>10329945766.51714</v>
      </c>
    </row>
    <row r="88" spans="1:30">
      <c r="A88" s="6" t="s">
        <v>230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0054EB"/>
  </sheetPr>
  <dimension ref="A1:AI111"/>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62.7109375" customWidth="1"/>
    <col min="2" max="36" width="19.7109375" customWidth="1"/>
  </cols>
  <sheetData>
    <row r="1" spans="1:35">
      <c r="A1" s="1" t="s">
        <v>312</v>
      </c>
    </row>
    <row r="2" spans="1:35">
      <c r="A2" s="2" t="s">
        <v>157</v>
      </c>
    </row>
    <row r="4" spans="1:35">
      <c r="A4" s="40" t="s">
        <v>158</v>
      </c>
      <c r="B4" s="41" t="s">
        <v>159</v>
      </c>
      <c r="C4" s="41" t="s">
        <v>160</v>
      </c>
      <c r="D4" s="41" t="s">
        <v>161</v>
      </c>
      <c r="E4" s="41" t="s">
        <v>162</v>
      </c>
      <c r="F4" s="41" t="s">
        <v>163</v>
      </c>
      <c r="G4" s="41" t="s">
        <v>164</v>
      </c>
      <c r="H4" s="41" t="s">
        <v>165</v>
      </c>
      <c r="I4" s="41" t="s">
        <v>166</v>
      </c>
      <c r="J4" s="41" t="s">
        <v>167</v>
      </c>
      <c r="K4" s="41" t="s">
        <v>168</v>
      </c>
      <c r="L4" s="41" t="s">
        <v>169</v>
      </c>
      <c r="M4" s="41" t="s">
        <v>170</v>
      </c>
      <c r="N4" s="41" t="s">
        <v>171</v>
      </c>
      <c r="O4" s="41" t="s">
        <v>172</v>
      </c>
      <c r="P4" s="41" t="s">
        <v>173</v>
      </c>
      <c r="Q4" s="41" t="s">
        <v>174</v>
      </c>
      <c r="R4" s="41" t="s">
        <v>175</v>
      </c>
      <c r="S4" s="41" t="s">
        <v>176</v>
      </c>
      <c r="T4" s="41" t="s">
        <v>177</v>
      </c>
      <c r="U4" s="41" t="s">
        <v>178</v>
      </c>
      <c r="V4" s="41" t="s">
        <v>179</v>
      </c>
      <c r="W4" s="41" t="s">
        <v>180</v>
      </c>
      <c r="X4" s="41" t="s">
        <v>181</v>
      </c>
      <c r="Y4" s="41" t="s">
        <v>182</v>
      </c>
      <c r="Z4" s="41" t="s">
        <v>183</v>
      </c>
      <c r="AA4" s="41" t="s">
        <v>184</v>
      </c>
      <c r="AB4" s="41"/>
      <c r="AC4" s="41" t="s">
        <v>185</v>
      </c>
      <c r="AD4" s="41" t="s">
        <v>186</v>
      </c>
      <c r="AE4" s="41" t="s">
        <v>187</v>
      </c>
      <c r="AF4" s="41" t="s">
        <v>188</v>
      </c>
      <c r="AG4" s="41" t="s">
        <v>189</v>
      </c>
      <c r="AH4" s="41" t="s">
        <v>190</v>
      </c>
      <c r="AI4" s="41" t="s">
        <v>191</v>
      </c>
    </row>
    <row r="5" spans="1:35">
      <c r="A5" s="42" t="s">
        <v>313</v>
      </c>
      <c r="B5" s="43">
        <v>103410614.8960595</v>
      </c>
      <c r="I5" s="44">
        <v>246166072.8516078</v>
      </c>
      <c r="J5" s="43">
        <v>247784649.9141695</v>
      </c>
      <c r="K5" s="44">
        <v>797407655.8055624</v>
      </c>
      <c r="L5" s="44">
        <v>679966592.5771459</v>
      </c>
      <c r="M5" s="44">
        <v>478964858.0632891</v>
      </c>
      <c r="N5" s="45">
        <v>341000000</v>
      </c>
      <c r="O5" s="46">
        <v>380000000</v>
      </c>
      <c r="P5" s="46">
        <v>-137000000</v>
      </c>
      <c r="Q5" s="46">
        <v>-1861000000</v>
      </c>
      <c r="R5" s="45">
        <v>657000000</v>
      </c>
      <c r="S5" s="46">
        <v>535000000</v>
      </c>
      <c r="T5" s="46">
        <v>1485000000</v>
      </c>
      <c r="U5" s="46">
        <v>-284000000</v>
      </c>
      <c r="V5" s="45">
        <v>-10000000</v>
      </c>
      <c r="W5" s="46">
        <v>58000000</v>
      </c>
      <c r="X5" s="46">
        <v>-198000000</v>
      </c>
      <c r="Y5" s="46">
        <v>-649000000</v>
      </c>
      <c r="Z5" s="45">
        <v>409000000</v>
      </c>
      <c r="AA5" s="46">
        <v>1205000000</v>
      </c>
      <c r="AE5" s="45">
        <v>16000000</v>
      </c>
      <c r="AF5" s="45">
        <v>2234000000</v>
      </c>
      <c r="AG5" s="45">
        <v>-1277000000</v>
      </c>
      <c r="AH5" s="45">
        <v>2393000000</v>
      </c>
      <c r="AI5" s="45">
        <v>-799000000</v>
      </c>
    </row>
    <row r="6" spans="1:35">
      <c r="A6" s="42" t="s">
        <v>201</v>
      </c>
      <c r="B6" s="43">
        <v>-23121252.26773807</v>
      </c>
      <c r="C6" s="44">
        <v>-34066626.94438617</v>
      </c>
      <c r="D6" s="44">
        <v>-61857543.75436027</v>
      </c>
      <c r="E6" s="44">
        <v>-62755283.11419826</v>
      </c>
      <c r="F6" s="43">
        <v>-57794126.24316882</v>
      </c>
      <c r="G6" s="44">
        <v>-15316626.36959667</v>
      </c>
      <c r="H6" s="44">
        <v>-44839298.21422464</v>
      </c>
      <c r="I6" s="44">
        <v>-159903428.8025971</v>
      </c>
      <c r="J6" s="43">
        <v>-114704867.4641473</v>
      </c>
      <c r="K6" s="44">
        <v>-131102658.824756</v>
      </c>
      <c r="L6" s="44">
        <v>-140430930.0024268</v>
      </c>
      <c r="M6" s="44">
        <v>-70052977.23020452</v>
      </c>
      <c r="N6" s="45">
        <v>-89000000</v>
      </c>
      <c r="O6" s="46">
        <v>-94000000</v>
      </c>
      <c r="P6" s="46">
        <v>-44000000</v>
      </c>
      <c r="Q6" s="46">
        <v>133000000</v>
      </c>
      <c r="R6" s="45">
        <v>-129000000</v>
      </c>
      <c r="S6" s="46">
        <v>-27000000</v>
      </c>
      <c r="T6" s="46">
        <v>-107000000</v>
      </c>
      <c r="U6" s="46">
        <v>-133000000</v>
      </c>
      <c r="V6" s="45">
        <v>-81000000</v>
      </c>
      <c r="W6" s="46">
        <v>6000000</v>
      </c>
      <c r="X6" s="46">
        <v>-32000000</v>
      </c>
      <c r="Y6" s="46">
        <v>-15000000</v>
      </c>
      <c r="Z6" s="45">
        <v>-101000000</v>
      </c>
      <c r="AA6" s="46">
        <v>-115000000</v>
      </c>
      <c r="AC6" s="43">
        <v>-165530400.2498654</v>
      </c>
      <c r="AD6" s="45">
        <v>-188000000</v>
      </c>
      <c r="AE6" s="45">
        <v>-287000000</v>
      </c>
      <c r="AF6" s="45">
        <v>-446000000</v>
      </c>
      <c r="AG6" s="45">
        <v>-94000000</v>
      </c>
      <c r="AH6" s="45">
        <v>-396000000</v>
      </c>
      <c r="AI6" s="45">
        <v>-122000000</v>
      </c>
    </row>
    <row r="7" spans="1:35">
      <c r="A7" s="42" t="s">
        <v>314</v>
      </c>
      <c r="B7" s="43">
        <v>710506312.6443791</v>
      </c>
      <c r="C7" s="44">
        <v>635949867.1670282</v>
      </c>
      <c r="D7" s="44">
        <v>646909742.9056993</v>
      </c>
      <c r="E7" s="44">
        <v>468851970.7565748</v>
      </c>
      <c r="F7" s="43">
        <v>687689099.8930614</v>
      </c>
      <c r="G7" s="44">
        <v>772238968.9833063</v>
      </c>
      <c r="H7" s="44">
        <v>715576758.1924953</v>
      </c>
      <c r="I7" s="44">
        <v>644142852.4181315</v>
      </c>
      <c r="J7" s="43">
        <v>589132228.3551906</v>
      </c>
      <c r="K7" s="44">
        <v>632073342.5136635</v>
      </c>
      <c r="L7" s="44">
        <v>660692192.9502764</v>
      </c>
      <c r="M7" s="44">
        <v>685599538.6527179</v>
      </c>
      <c r="N7" s="45">
        <v>709000000</v>
      </c>
      <c r="O7" s="46">
        <v>791000000</v>
      </c>
      <c r="P7" s="46">
        <v>798000000</v>
      </c>
      <c r="Q7" s="46">
        <v>718000000</v>
      </c>
      <c r="R7" s="45">
        <v>576000000</v>
      </c>
      <c r="S7" s="46">
        <v>561000000</v>
      </c>
      <c r="T7" s="46">
        <v>595000000</v>
      </c>
      <c r="U7" s="46">
        <v>714000000</v>
      </c>
      <c r="V7" s="45">
        <v>718000000</v>
      </c>
      <c r="W7" s="46">
        <v>704000000</v>
      </c>
      <c r="X7" s="46">
        <v>750000000</v>
      </c>
      <c r="Y7" s="46">
        <v>685000000</v>
      </c>
      <c r="Z7" s="45">
        <v>653000000</v>
      </c>
      <c r="AA7" s="46">
        <v>788000000</v>
      </c>
      <c r="AC7" s="43">
        <v>3030859966.623226</v>
      </c>
      <c r="AD7" s="45">
        <v>2460000000</v>
      </c>
      <c r="AE7" s="45">
        <v>2816000000</v>
      </c>
      <c r="AF7" s="45">
        <v>2551000000</v>
      </c>
      <c r="AG7" s="45">
        <v>3016000000</v>
      </c>
      <c r="AH7" s="45">
        <v>2446000000</v>
      </c>
      <c r="AI7" s="45">
        <v>2857000000</v>
      </c>
    </row>
    <row r="8" spans="1:35">
      <c r="A8" s="42" t="s">
        <v>315</v>
      </c>
      <c r="B8" s="43">
        <v>10893040.68106815</v>
      </c>
      <c r="C8" s="44">
        <v>10960566.92993294</v>
      </c>
      <c r="D8" s="44">
        <v>13655086.92149233</v>
      </c>
      <c r="E8" s="44">
        <v>12738572.40903745</v>
      </c>
      <c r="F8" s="43">
        <v>11771203.97681429</v>
      </c>
      <c r="G8" s="44">
        <v>12740793.44295151</v>
      </c>
      <c r="H8" s="44">
        <v>12820047.17185037</v>
      </c>
      <c r="I8" s="44">
        <v>13418191.11217013</v>
      </c>
      <c r="J8" s="43">
        <v>11086855.29009911</v>
      </c>
      <c r="K8" s="44">
        <v>12648248.75308994</v>
      </c>
      <c r="L8" s="44">
        <v>11957061.53660751</v>
      </c>
      <c r="M8" s="44">
        <v>12078738.01229165</v>
      </c>
      <c r="N8" s="45">
        <v>10000000</v>
      </c>
      <c r="O8" s="46">
        <v>9000000</v>
      </c>
      <c r="P8" s="46">
        <v>11000000</v>
      </c>
      <c r="Q8" s="46">
        <v>7000000</v>
      </c>
      <c r="R8" s="45">
        <v>10000000</v>
      </c>
      <c r="S8" s="46">
        <v>10000000</v>
      </c>
      <c r="T8" s="46">
        <v>11000000</v>
      </c>
      <c r="U8" s="46">
        <v>12000000</v>
      </c>
      <c r="V8" s="45">
        <v>14000000</v>
      </c>
      <c r="W8" s="46">
        <v>17000000</v>
      </c>
      <c r="X8" s="46">
        <v>13000000</v>
      </c>
      <c r="Y8" s="46">
        <v>17000000</v>
      </c>
      <c r="Z8" s="45">
        <v>17000000</v>
      </c>
      <c r="AA8" s="46">
        <v>14000000</v>
      </c>
      <c r="AC8" s="43">
        <v>49318419.95396341</v>
      </c>
      <c r="AD8" s="45">
        <v>48000000</v>
      </c>
      <c r="AE8" s="45">
        <v>51000000</v>
      </c>
      <c r="AF8" s="45">
        <v>43000000</v>
      </c>
      <c r="AG8" s="45">
        <v>37000000</v>
      </c>
      <c r="AH8" s="45">
        <v>43000000</v>
      </c>
      <c r="AI8" s="45">
        <v>61000000</v>
      </c>
    </row>
    <row r="9" spans="1:35">
      <c r="A9" s="42" t="s">
        <v>316</v>
      </c>
      <c r="B9" s="43">
        <v>77374782.23682487</v>
      </c>
      <c r="C9" s="44">
        <v>58165062.61330631</v>
      </c>
      <c r="D9" s="44">
        <v>64219873.79177844</v>
      </c>
      <c r="E9" s="44">
        <v>56142226.38762239</v>
      </c>
      <c r="F9" s="43">
        <v>47604465.98684782</v>
      </c>
      <c r="G9" s="44">
        <v>50750295.01753783</v>
      </c>
      <c r="H9" s="44">
        <v>52391396.62846072</v>
      </c>
      <c r="I9" s="44">
        <v>51024961.15800006</v>
      </c>
      <c r="J9" s="43">
        <v>50566190.24443682</v>
      </c>
      <c r="K9" s="44">
        <v>49965669.00181777</v>
      </c>
      <c r="L9" s="44">
        <v>56244660.22000757</v>
      </c>
      <c r="M9" s="44">
        <v>57955723.01247757</v>
      </c>
      <c r="N9" s="45">
        <v>56000000</v>
      </c>
      <c r="O9" s="46">
        <v>54000000</v>
      </c>
      <c r="P9" s="46">
        <v>55000000</v>
      </c>
      <c r="Q9" s="46">
        <v>55000000</v>
      </c>
      <c r="R9" s="45">
        <v>66000000</v>
      </c>
      <c r="S9" s="46">
        <v>67000000</v>
      </c>
      <c r="T9" s="46">
        <v>68000000</v>
      </c>
      <c r="U9" s="46">
        <v>69000000</v>
      </c>
      <c r="V9" s="45">
        <v>74000000</v>
      </c>
      <c r="W9" s="46">
        <v>67000000</v>
      </c>
      <c r="X9" s="46">
        <v>73000000</v>
      </c>
      <c r="Y9" s="46">
        <v>72000000</v>
      </c>
      <c r="Z9" s="45">
        <v>73000000</v>
      </c>
      <c r="AA9" s="46">
        <v>76000000</v>
      </c>
      <c r="AC9" s="43">
        <v>218318144.6066561</v>
      </c>
      <c r="AD9" s="45">
        <v>254000000</v>
      </c>
      <c r="AE9" s="45">
        <v>201000000</v>
      </c>
      <c r="AF9" s="45">
        <v>214000000</v>
      </c>
      <c r="AG9" s="45">
        <v>220000000</v>
      </c>
      <c r="AH9" s="45">
        <v>270000000</v>
      </c>
      <c r="AI9" s="45">
        <v>286000000</v>
      </c>
    </row>
    <row r="10" spans="1:35">
      <c r="A10" s="42" t="s">
        <v>317</v>
      </c>
      <c r="B10" s="43">
        <v>77130543.65653186</v>
      </c>
      <c r="C10" s="44">
        <v>38850766.29353258</v>
      </c>
      <c r="D10" s="44">
        <v>137397484.6040559</v>
      </c>
      <c r="E10" s="44">
        <v>86157253.23168413</v>
      </c>
      <c r="F10" s="43">
        <v>83245683.40225001</v>
      </c>
      <c r="G10" s="44">
        <v>87131274.12197246</v>
      </c>
      <c r="H10" s="44">
        <v>73576370.2455072</v>
      </c>
      <c r="I10" s="44">
        <v>95191514.54427518</v>
      </c>
      <c r="J10" s="43">
        <v>85383793.3212963</v>
      </c>
      <c r="K10" s="44">
        <v>99507469.07759365</v>
      </c>
      <c r="L10" s="44">
        <v>111191083.0369041</v>
      </c>
      <c r="M10" s="44">
        <v>75200482.34121691</v>
      </c>
      <c r="N10" s="45">
        <v>84000000</v>
      </c>
      <c r="O10" s="46">
        <v>79000000</v>
      </c>
      <c r="P10" s="46">
        <v>108000000</v>
      </c>
      <c r="Q10" s="46">
        <v>112000000</v>
      </c>
      <c r="R10" s="45">
        <v>90000000</v>
      </c>
      <c r="S10" s="46">
        <v>153000000</v>
      </c>
      <c r="T10" s="46">
        <v>145000000</v>
      </c>
      <c r="U10" s="46">
        <v>232000000</v>
      </c>
      <c r="V10" s="45">
        <v>99000000</v>
      </c>
      <c r="W10" s="46">
        <v>100000000</v>
      </c>
      <c r="X10" s="46">
        <v>138000000</v>
      </c>
      <c r="Y10" s="46">
        <v>343000000</v>
      </c>
      <c r="Z10" s="45">
        <v>56000000</v>
      </c>
      <c r="AA10" s="46">
        <v>92000000</v>
      </c>
      <c r="AC10" s="43">
        <v>397289580.1177743</v>
      </c>
      <c r="AD10" s="45">
        <v>339000000</v>
      </c>
      <c r="AE10" s="45">
        <v>342000000</v>
      </c>
      <c r="AF10" s="45">
        <v>375000000</v>
      </c>
      <c r="AG10" s="45">
        <v>383000000</v>
      </c>
      <c r="AH10" s="45">
        <v>620000000</v>
      </c>
      <c r="AI10" s="45">
        <v>680000000</v>
      </c>
    </row>
    <row r="11" spans="1:35">
      <c r="A11" s="42" t="s">
        <v>318</v>
      </c>
      <c r="B11" s="43">
        <v>-12277059.30272852</v>
      </c>
      <c r="C11" s="44">
        <v>-13093434.00819016</v>
      </c>
      <c r="D11" s="44">
        <v>121844340.6004761</v>
      </c>
      <c r="E11" s="44">
        <v>91307686.82591714</v>
      </c>
      <c r="F11" s="43">
        <v>112131449.7829738</v>
      </c>
      <c r="G11" s="44">
        <v>702180570.9536432</v>
      </c>
      <c r="H11" s="44">
        <v>155054663.6274358</v>
      </c>
      <c r="I11" s="44">
        <v>-264352300.7165446</v>
      </c>
      <c r="J11" s="43">
        <v>203221494.6829843</v>
      </c>
      <c r="K11" s="44">
        <v>182695984.5025746</v>
      </c>
      <c r="L11" s="44">
        <v>287721864.4644741</v>
      </c>
      <c r="M11" s="44">
        <v>164726335.6208748</v>
      </c>
      <c r="N11" s="45">
        <v>85000000</v>
      </c>
      <c r="O11" s="46">
        <v>75000000</v>
      </c>
      <c r="P11" s="46">
        <v>0</v>
      </c>
      <c r="Q11" s="46">
        <v>860000000</v>
      </c>
      <c r="R11" s="45">
        <v>-121000000</v>
      </c>
      <c r="S11" s="46">
        <v>-79000000</v>
      </c>
      <c r="T11" s="46">
        <v>-787000000</v>
      </c>
      <c r="U11" s="46">
        <v>-216000000</v>
      </c>
      <c r="V11" s="45">
        <v>38000000</v>
      </c>
      <c r="W11" s="46">
        <v>61000000</v>
      </c>
      <c r="X11" s="46">
        <v>579000000</v>
      </c>
      <c r="Y11" s="46">
        <v>1042000000</v>
      </c>
      <c r="Z11" s="45">
        <v>243000000</v>
      </c>
      <c r="AA11" s="46">
        <v>593000000</v>
      </c>
      <c r="AC11" s="43">
        <v>547800090.8871361</v>
      </c>
      <c r="AD11" s="45">
        <v>184000000</v>
      </c>
      <c r="AE11" s="45">
        <v>699000000</v>
      </c>
      <c r="AF11" s="45">
        <v>822000000</v>
      </c>
      <c r="AG11" s="45">
        <v>-381000000</v>
      </c>
      <c r="AH11" s="45">
        <v>-1373000000</v>
      </c>
      <c r="AI11" s="45">
        <v>1709000000</v>
      </c>
    </row>
    <row r="12" spans="1:35">
      <c r="A12" s="42" t="s">
        <v>319</v>
      </c>
      <c r="B12" s="43">
        <v>62883293.13943974</v>
      </c>
      <c r="C12" s="44">
        <v>182226830.9986013</v>
      </c>
      <c r="D12" s="44">
        <v>102809149.4319158</v>
      </c>
      <c r="E12" s="44">
        <v>56067220.07314326</v>
      </c>
      <c r="F12" s="43">
        <v>64651247.94559327</v>
      </c>
      <c r="G12" s="44">
        <v>79350555.65346991</v>
      </c>
      <c r="H12" s="44">
        <v>49387019.60263383</v>
      </c>
      <c r="I12" s="44">
        <v>316531943.0088264</v>
      </c>
      <c r="J12" s="43">
        <v>71783167.11939807</v>
      </c>
      <c r="K12" s="44">
        <v>105373815.0140134</v>
      </c>
      <c r="L12" s="44">
        <v>82356935.25985372</v>
      </c>
      <c r="M12" s="44">
        <v>-134001778.7352397</v>
      </c>
      <c r="N12" s="45">
        <v>99000000</v>
      </c>
      <c r="O12" s="46">
        <v>98000000</v>
      </c>
      <c r="P12" s="46">
        <v>111000000</v>
      </c>
      <c r="Q12" s="46">
        <v>118000000</v>
      </c>
      <c r="R12" s="45">
        <v>163000000</v>
      </c>
      <c r="S12" s="46">
        <v>199000000</v>
      </c>
      <c r="T12" s="46">
        <v>160000000</v>
      </c>
      <c r="U12" s="46">
        <v>226000000</v>
      </c>
      <c r="V12" s="45">
        <v>261000000</v>
      </c>
      <c r="W12" s="46">
        <v>247000000</v>
      </c>
      <c r="X12" s="46">
        <v>88000000</v>
      </c>
      <c r="Y12" s="46">
        <v>221000000</v>
      </c>
      <c r="Z12" s="45">
        <v>102000000</v>
      </c>
      <c r="AA12" s="46">
        <v>75000000</v>
      </c>
      <c r="AC12" s="43">
        <v>271936864.8683155</v>
      </c>
      <c r="AD12" s="45">
        <v>396000000</v>
      </c>
      <c r="AE12" s="45">
        <v>510000000</v>
      </c>
      <c r="AF12" s="45">
        <v>139000000</v>
      </c>
      <c r="AG12" s="45">
        <v>426000000</v>
      </c>
      <c r="AH12" s="45">
        <v>748000000</v>
      </c>
      <c r="AI12" s="45">
        <v>817000000</v>
      </c>
    </row>
    <row r="13" spans="1:35">
      <c r="A13" s="42" t="s">
        <v>198</v>
      </c>
      <c r="M13" s="44">
        <v>26657163.75834831</v>
      </c>
      <c r="Q13" s="46">
        <v>1782000000</v>
      </c>
      <c r="T13" s="46">
        <v>21000000</v>
      </c>
      <c r="U13" s="46">
        <v>61000000</v>
      </c>
      <c r="X13" s="46">
        <v>5000000</v>
      </c>
      <c r="Y13" s="46">
        <v>0</v>
      </c>
      <c r="AF13" s="45">
        <v>123000000</v>
      </c>
      <c r="AG13" s="45">
        <v>2288000000</v>
      </c>
      <c r="AH13" s="45">
        <v>87000000</v>
      </c>
      <c r="AI13" s="45">
        <v>-4000000</v>
      </c>
    </row>
    <row r="14" spans="1:35">
      <c r="A14" s="42" t="s">
        <v>320</v>
      </c>
      <c r="J14" s="43">
        <v>7175502.789277345</v>
      </c>
      <c r="K14" s="44">
        <v>118963052.7829163</v>
      </c>
      <c r="L14" s="44">
        <v>-146177105.7809692</v>
      </c>
      <c r="M14" s="44">
        <v>-110535574.3802408</v>
      </c>
      <c r="N14" s="45">
        <v>29000000</v>
      </c>
      <c r="O14" s="46">
        <v>-34000000</v>
      </c>
      <c r="P14" s="46">
        <v>-130000000</v>
      </c>
      <c r="Q14" s="46">
        <v>-557000000</v>
      </c>
      <c r="R14" s="45">
        <v>242000000</v>
      </c>
      <c r="S14" s="46">
        <v>71000000</v>
      </c>
      <c r="T14" s="46">
        <v>100000000</v>
      </c>
      <c r="U14" s="46">
        <v>30000000</v>
      </c>
      <c r="V14" s="45">
        <v>243000000</v>
      </c>
      <c r="W14" s="46">
        <v>299000000</v>
      </c>
      <c r="X14" s="46">
        <v>173000000</v>
      </c>
      <c r="Y14" s="46">
        <v>237000000</v>
      </c>
      <c r="Z14" s="45">
        <v>291000000</v>
      </c>
      <c r="AA14" s="46">
        <v>45000000</v>
      </c>
      <c r="AE14" s="45">
        <v>440000000</v>
      </c>
      <c r="AF14" s="45">
        <v>-73000000</v>
      </c>
      <c r="AG14" s="45">
        <v>709000000</v>
      </c>
      <c r="AH14" s="45">
        <v>613000000</v>
      </c>
      <c r="AI14" s="45">
        <v>963000000</v>
      </c>
    </row>
    <row r="15" spans="1:35">
      <c r="A15" s="42" t="s">
        <v>251</v>
      </c>
      <c r="B15" s="43">
        <v>2393538.086871476</v>
      </c>
      <c r="C15" s="44">
        <v>2266171.270648298</v>
      </c>
      <c r="D15" s="44">
        <v>928545.9106614786</v>
      </c>
      <c r="E15" s="44">
        <v>2162682.067481334</v>
      </c>
      <c r="F15" s="43">
        <v>1344312.162419291</v>
      </c>
      <c r="G15" s="44">
        <v>1298560.401035993</v>
      </c>
      <c r="H15" s="44">
        <v>524737.0832779844</v>
      </c>
      <c r="I15" s="44">
        <v>497707.3854662511</v>
      </c>
      <c r="J15" s="43">
        <v>497126.337034901</v>
      </c>
      <c r="K15" s="44">
        <v>483210.5756877525</v>
      </c>
      <c r="L15" s="44">
        <v>3422625.880928985</v>
      </c>
      <c r="M15" s="44">
        <v>2925560.458776823</v>
      </c>
      <c r="N15" s="45">
        <v>4000000</v>
      </c>
      <c r="O15" s="46">
        <v>8000000</v>
      </c>
      <c r="P15" s="46">
        <v>3000000</v>
      </c>
      <c r="Q15" s="46">
        <v>-12000000</v>
      </c>
      <c r="R15" s="45">
        <v>1000000</v>
      </c>
      <c r="S15" s="46">
        <v>1000000</v>
      </c>
      <c r="T15" s="46">
        <v>3000000</v>
      </c>
      <c r="U15" s="46">
        <v>2000000</v>
      </c>
      <c r="V15" s="45">
        <v>2000000</v>
      </c>
      <c r="W15" s="46">
        <v>3000000</v>
      </c>
      <c r="X15" s="46">
        <v>4000000</v>
      </c>
      <c r="Y15" s="46">
        <v>6000000</v>
      </c>
      <c r="Z15" s="45">
        <v>3000000</v>
      </c>
      <c r="AA15" s="46">
        <v>4000000</v>
      </c>
      <c r="AC15" s="43">
        <v>10241778.02750799</v>
      </c>
      <c r="AD15" s="45">
        <v>7000000</v>
      </c>
      <c r="AE15" s="45">
        <v>6000000</v>
      </c>
      <c r="AF15" s="45">
        <v>8000000</v>
      </c>
      <c r="AG15" s="45">
        <v>3000000</v>
      </c>
      <c r="AH15" s="45">
        <v>7000000</v>
      </c>
      <c r="AI15" s="45">
        <v>15000000</v>
      </c>
    </row>
    <row r="16" spans="1:35">
      <c r="A16" s="42" t="s">
        <v>321</v>
      </c>
      <c r="I16" s="44">
        <v>0</v>
      </c>
      <c r="V16" s="45">
        <v>-14000000</v>
      </c>
      <c r="W16" s="46">
        <v>-168000000</v>
      </c>
      <c r="X16" s="46">
        <v>-34000000</v>
      </c>
      <c r="Y16" s="46">
        <v>-3000000</v>
      </c>
      <c r="Z16" s="45">
        <v>-4000000</v>
      </c>
      <c r="AA16" s="46">
        <v>0</v>
      </c>
      <c r="AE16" s="45">
        <v>-57000000</v>
      </c>
      <c r="AH16" s="45">
        <v>-6000000</v>
      </c>
      <c r="AI16" s="45">
        <v>-219000000</v>
      </c>
    </row>
    <row r="17" spans="1:35">
      <c r="A17" s="42" t="s">
        <v>322</v>
      </c>
      <c r="V17" s="45">
        <v>200000000</v>
      </c>
      <c r="W17" s="46">
        <v>44000000</v>
      </c>
      <c r="X17" s="46">
        <v>-4000000</v>
      </c>
      <c r="Y17" s="46">
        <v>178000000</v>
      </c>
      <c r="Z17" s="45">
        <v>-14000000</v>
      </c>
      <c r="AA17" s="46">
        <v>147000000</v>
      </c>
      <c r="AH17" s="45">
        <v>260000000</v>
      </c>
      <c r="AI17" s="45">
        <v>418000000</v>
      </c>
    </row>
    <row r="18" spans="1:35">
      <c r="A18" s="42" t="s">
        <v>323</v>
      </c>
      <c r="X18" s="46">
        <v>0</v>
      </c>
      <c r="Y18" s="46">
        <v>0</v>
      </c>
      <c r="AI18" s="45">
        <v>-45000000</v>
      </c>
    </row>
    <row r="19" spans="1:35">
      <c r="A19" s="42" t="s">
        <v>324</v>
      </c>
      <c r="AC19" s="43">
        <v>-10345650.01561659</v>
      </c>
      <c r="AD19" s="45">
        <v>-52000000</v>
      </c>
      <c r="AE19" s="45">
        <v>-15000000</v>
      </c>
      <c r="AH19" s="45">
        <v>-5000000</v>
      </c>
    </row>
    <row r="20" spans="1:35">
      <c r="A20" s="42" t="s">
        <v>293</v>
      </c>
      <c r="B20" s="43">
        <v>250588783.380626</v>
      </c>
      <c r="C20" s="44">
        <v>175206143.5326714</v>
      </c>
      <c r="D20" s="44">
        <v>-118922151.9992767</v>
      </c>
      <c r="E20" s="44">
        <v>207054931.1196147</v>
      </c>
      <c r="F20" s="43">
        <v>20514881.40297001</v>
      </c>
      <c r="G20" s="44">
        <v>-162341338.0049259</v>
      </c>
      <c r="H20" s="44">
        <v>-122603276.1635385</v>
      </c>
      <c r="I20" s="44">
        <v>353402106.1241662</v>
      </c>
      <c r="J20" s="43">
        <v>-113241627.6796672</v>
      </c>
      <c r="K20" s="44">
        <v>-230576218.3882663</v>
      </c>
      <c r="L20" s="44">
        <v>-181598333.1090316</v>
      </c>
      <c r="M20" s="44">
        <v>71225670.24110663</v>
      </c>
      <c r="N20" s="45">
        <v>144000000</v>
      </c>
      <c r="O20" s="46">
        <v>-175000000</v>
      </c>
      <c r="P20" s="46">
        <v>-233000000</v>
      </c>
      <c r="Q20" s="46">
        <v>86000000</v>
      </c>
      <c r="R20" s="45">
        <v>-448000000</v>
      </c>
      <c r="S20" s="46">
        <v>-352000000</v>
      </c>
      <c r="T20" s="46">
        <v>-287000000</v>
      </c>
      <c r="U20" s="46">
        <v>279000000</v>
      </c>
      <c r="V20" s="45">
        <v>-14000000</v>
      </c>
      <c r="W20" s="46">
        <v>-271000000</v>
      </c>
      <c r="X20" s="46">
        <v>-250000000</v>
      </c>
      <c r="Y20" s="46">
        <v>176000000</v>
      </c>
      <c r="Z20" s="45">
        <v>-58000000</v>
      </c>
      <c r="AA20" s="46">
        <v>-330000000</v>
      </c>
      <c r="AC20" s="43">
        <v>-245823447.0578134</v>
      </c>
      <c r="AD20" s="45">
        <v>414000000</v>
      </c>
      <c r="AE20" s="45">
        <v>117000000</v>
      </c>
      <c r="AF20" s="45">
        <v>-397000000</v>
      </c>
      <c r="AG20" s="45">
        <v>-178000000</v>
      </c>
      <c r="AH20" s="45">
        <v>-808000000</v>
      </c>
      <c r="AI20" s="45">
        <v>-359000000</v>
      </c>
    </row>
    <row r="21" spans="1:35">
      <c r="A21" s="42" t="s">
        <v>292</v>
      </c>
      <c r="B21" s="43">
        <v>-65048875.21803774</v>
      </c>
      <c r="C21" s="44">
        <v>166807979.4120335</v>
      </c>
      <c r="D21" s="44">
        <v>25671563.41240559</v>
      </c>
      <c r="E21" s="44">
        <v>-45816357.09433</v>
      </c>
      <c r="F21" s="43">
        <v>-93344969.7316857</v>
      </c>
      <c r="G21" s="44">
        <v>55369763.98515768</v>
      </c>
      <c r="H21" s="44">
        <v>-29333831.85148105</v>
      </c>
      <c r="I21" s="44">
        <v>-159355950.6785843</v>
      </c>
      <c r="J21" s="43">
        <v>156144568.5399999</v>
      </c>
      <c r="K21" s="44">
        <v>-134807273.2383621</v>
      </c>
      <c r="L21" s="44">
        <v>-68931980.29586501</v>
      </c>
      <c r="M21" s="44">
        <v>944326.4772001137</v>
      </c>
      <c r="N21" s="45">
        <v>41000000</v>
      </c>
      <c r="O21" s="46">
        <v>-177000000</v>
      </c>
      <c r="P21" s="46">
        <v>143000000</v>
      </c>
      <c r="Q21" s="46">
        <v>-185000000</v>
      </c>
      <c r="R21" s="45">
        <v>-128000000</v>
      </c>
      <c r="S21" s="46">
        <v>-155000000</v>
      </c>
      <c r="T21" s="46">
        <v>-85000000</v>
      </c>
      <c r="U21" s="46">
        <v>-172000000</v>
      </c>
      <c r="V21" s="45">
        <v>-224000000</v>
      </c>
      <c r="W21" s="46">
        <v>-20000000</v>
      </c>
      <c r="X21" s="46">
        <v>-25000000</v>
      </c>
      <c r="Y21" s="46">
        <v>-161000000</v>
      </c>
      <c r="Z21" s="45">
        <v>1000000</v>
      </c>
      <c r="AA21" s="46">
        <v>115000000</v>
      </c>
      <c r="AC21" s="43">
        <v>-271646023.3016114</v>
      </c>
      <c r="AD21" s="45">
        <v>89000000</v>
      </c>
      <c r="AE21" s="45">
        <v>-241000000</v>
      </c>
      <c r="AF21" s="45">
        <v>-94000000</v>
      </c>
      <c r="AG21" s="45">
        <v>-178000000</v>
      </c>
      <c r="AH21" s="45">
        <v>-540000000</v>
      </c>
      <c r="AI21" s="45">
        <v>-430000000</v>
      </c>
    </row>
    <row r="22" spans="1:35">
      <c r="A22" s="42" t="s">
        <v>241</v>
      </c>
      <c r="B22" s="43">
        <v>-178326728.7579347</v>
      </c>
      <c r="C22" s="44">
        <v>82396802.47461751</v>
      </c>
      <c r="D22" s="44">
        <v>60901687.6698558</v>
      </c>
      <c r="E22" s="44">
        <v>178277508.4644584</v>
      </c>
      <c r="F22" s="43">
        <v>-25383776.71391719</v>
      </c>
      <c r="G22" s="44">
        <v>-86237183.35404603</v>
      </c>
      <c r="H22" s="44">
        <v>-94679032.16321594</v>
      </c>
      <c r="I22" s="44">
        <v>-79722769.00398409</v>
      </c>
      <c r="J22" s="43">
        <v>-2673226.529338619</v>
      </c>
      <c r="K22" s="44">
        <v>-209459068.4928594</v>
      </c>
      <c r="L22" s="44">
        <v>-271257853.7613847</v>
      </c>
      <c r="M22" s="44">
        <v>257751751.7278036</v>
      </c>
      <c r="N22" s="45">
        <v>-126000000</v>
      </c>
      <c r="O22" s="46">
        <v>-25000000</v>
      </c>
      <c r="P22" s="46">
        <v>127000000</v>
      </c>
      <c r="Q22" s="46">
        <v>68000000</v>
      </c>
      <c r="R22" s="45">
        <v>125000000</v>
      </c>
      <c r="S22" s="46">
        <v>1000000</v>
      </c>
      <c r="T22" s="46">
        <v>-156000000</v>
      </c>
      <c r="U22" s="46">
        <v>157000000</v>
      </c>
      <c r="V22" s="45">
        <v>-69000000</v>
      </c>
      <c r="W22" s="46">
        <v>132000000</v>
      </c>
      <c r="X22" s="46">
        <v>-54000000</v>
      </c>
      <c r="Y22" s="46">
        <v>85000000</v>
      </c>
      <c r="Z22" s="45">
        <v>-5000000</v>
      </c>
      <c r="AA22" s="46">
        <v>-200000000</v>
      </c>
      <c r="AC22" s="43">
        <v>139728598.4036891</v>
      </c>
      <c r="AD22" s="45">
        <v>162000000</v>
      </c>
      <c r="AE22" s="45">
        <v>-303000000</v>
      </c>
      <c r="AF22" s="45">
        <v>-232000000</v>
      </c>
      <c r="AG22" s="45">
        <v>44000000</v>
      </c>
      <c r="AH22" s="45">
        <v>127000000</v>
      </c>
      <c r="AI22" s="45">
        <v>94000000</v>
      </c>
    </row>
    <row r="23" spans="1:35">
      <c r="A23" s="42" t="s">
        <v>310</v>
      </c>
      <c r="B23" s="43">
        <v>-55458440.2985323</v>
      </c>
      <c r="C23" s="44">
        <v>-177383445.3417256</v>
      </c>
      <c r="D23" s="44">
        <v>-136154871.6942</v>
      </c>
      <c r="E23" s="44">
        <v>53929540.1104883</v>
      </c>
      <c r="F23" s="43">
        <v>190688985.7280473</v>
      </c>
      <c r="G23" s="44">
        <v>-63299497.58164796</v>
      </c>
      <c r="H23" s="44">
        <v>-52823533.04998376</v>
      </c>
      <c r="I23" s="44">
        <v>-56250888.7053957</v>
      </c>
      <c r="J23" s="43">
        <v>-18215459.36833543</v>
      </c>
      <c r="K23" s="44">
        <v>79729744.98847915</v>
      </c>
      <c r="L23" s="44">
        <v>312152331.959381</v>
      </c>
      <c r="M23" s="44">
        <v>220484802.2550305</v>
      </c>
      <c r="N23" s="45">
        <v>27000000</v>
      </c>
      <c r="O23" s="46">
        <v>118000000</v>
      </c>
      <c r="P23" s="46">
        <v>330000000</v>
      </c>
      <c r="Q23" s="46">
        <v>261000000</v>
      </c>
      <c r="R23" s="45">
        <v>41000000</v>
      </c>
      <c r="S23" s="46">
        <v>196000000</v>
      </c>
      <c r="T23" s="46">
        <v>477000000</v>
      </c>
      <c r="U23" s="46">
        <v>-12000000</v>
      </c>
      <c r="V23" s="45">
        <v>-282000000</v>
      </c>
      <c r="W23" s="46">
        <v>196000000</v>
      </c>
      <c r="X23" s="46">
        <v>-70000000</v>
      </c>
      <c r="Y23" s="46">
        <v>-124000000</v>
      </c>
      <c r="Z23" s="45">
        <v>81000000</v>
      </c>
      <c r="AA23" s="46">
        <v>-406000000</v>
      </c>
      <c r="AC23" s="43">
        <v>611494393.9953299</v>
      </c>
      <c r="AD23" s="45">
        <v>-490000000</v>
      </c>
      <c r="AE23" s="45">
        <v>-91000000</v>
      </c>
      <c r="AF23" s="45">
        <v>600000000</v>
      </c>
      <c r="AG23" s="45">
        <v>736000000</v>
      </c>
      <c r="AH23" s="45">
        <v>702000000</v>
      </c>
      <c r="AI23" s="45">
        <v>-280000000</v>
      </c>
    </row>
    <row r="24" spans="1:35">
      <c r="A24" s="42" t="s">
        <v>305</v>
      </c>
      <c r="B24" s="43">
        <v>5943138.787129856</v>
      </c>
      <c r="C24" s="44">
        <v>177738.9231881018</v>
      </c>
      <c r="D24" s="44">
        <v>22735719.72428473</v>
      </c>
      <c r="E24" s="44">
        <v>-14751241.84756055</v>
      </c>
      <c r="F24" s="43">
        <v>91130808.5229951</v>
      </c>
      <c r="G24" s="44">
        <v>-56827983.45189482</v>
      </c>
      <c r="H24" s="44">
        <v>-14949862.39221395</v>
      </c>
      <c r="I24" s="44">
        <v>-48914681.84362315</v>
      </c>
      <c r="J24" s="43">
        <v>177614798.4545828</v>
      </c>
      <c r="K24" s="44">
        <v>-58375228.49448883</v>
      </c>
      <c r="L24" s="44">
        <v>27108082.13882332</v>
      </c>
      <c r="M24" s="44">
        <v>-56091758.33199108</v>
      </c>
      <c r="N24" s="45">
        <v>-7000000</v>
      </c>
      <c r="O24" s="46">
        <v>61000000</v>
      </c>
      <c r="P24" s="46">
        <v>-6000000</v>
      </c>
      <c r="Q24" s="46">
        <v>26000000</v>
      </c>
      <c r="R24" s="45">
        <v>107000000</v>
      </c>
      <c r="S24" s="46">
        <v>37000000</v>
      </c>
      <c r="T24" s="46">
        <v>-14000000</v>
      </c>
      <c r="U24" s="46">
        <v>11000000</v>
      </c>
      <c r="V24" s="45">
        <v>-12000000</v>
      </c>
      <c r="W24" s="46">
        <v>65000000</v>
      </c>
      <c r="X24" s="46">
        <v>-23000000</v>
      </c>
      <c r="Y24" s="46">
        <v>-15000000</v>
      </c>
      <c r="Z24" s="45">
        <v>123000000</v>
      </c>
      <c r="AA24" s="46">
        <v>59000000</v>
      </c>
      <c r="AC24" s="43">
        <v>-23786685.27686946</v>
      </c>
      <c r="AD24" s="45">
        <v>27000000</v>
      </c>
      <c r="AE24" s="45">
        <v>-33000000</v>
      </c>
      <c r="AF24" s="45">
        <v>112000000</v>
      </c>
      <c r="AG24" s="45">
        <v>74000000</v>
      </c>
      <c r="AH24" s="45">
        <v>141000000</v>
      </c>
      <c r="AI24" s="45">
        <v>15000000</v>
      </c>
    </row>
    <row r="25" spans="1:35">
      <c r="A25" s="42" t="s">
        <v>306</v>
      </c>
      <c r="B25" s="43">
        <v>-28901565.33467259</v>
      </c>
      <c r="C25" s="44">
        <v>13804389.70094257</v>
      </c>
      <c r="D25" s="44">
        <v>83473546.35108264</v>
      </c>
      <c r="E25" s="44">
        <v>41766016.11245744</v>
      </c>
      <c r="F25" s="43">
        <v>-27665718.36777179</v>
      </c>
      <c r="G25" s="44">
        <v>13262346.39090858</v>
      </c>
      <c r="H25" s="44">
        <v>15505466.36274358</v>
      </c>
      <c r="I25" s="44">
        <v>16265077.35703709</v>
      </c>
      <c r="J25" s="43">
        <v>-33335603.80796298</v>
      </c>
      <c r="K25" s="44">
        <v>16963234.42019636</v>
      </c>
      <c r="L25" s="44">
        <v>32138752.07587842</v>
      </c>
      <c r="M25" s="44">
        <v>71250358.51502036</v>
      </c>
      <c r="N25" s="45">
        <v>-58000000</v>
      </c>
      <c r="O25" s="46">
        <v>21000000</v>
      </c>
      <c r="P25" s="46">
        <v>85000000</v>
      </c>
      <c r="Q25" s="46">
        <v>183000000</v>
      </c>
      <c r="R25" s="45">
        <v>-48000000</v>
      </c>
      <c r="S25" s="46">
        <v>98000000</v>
      </c>
      <c r="T25" s="46">
        <v>130000000</v>
      </c>
      <c r="U25" s="46">
        <v>99000000</v>
      </c>
      <c r="V25" s="45">
        <v>27000000</v>
      </c>
      <c r="W25" s="46">
        <v>-111000000</v>
      </c>
      <c r="X25" s="46">
        <v>27000000</v>
      </c>
      <c r="Y25" s="46">
        <v>54000000</v>
      </c>
      <c r="Z25" s="45">
        <v>64000000</v>
      </c>
      <c r="AA25" s="46">
        <v>-24000000</v>
      </c>
      <c r="AC25" s="43">
        <v>94191118.81687872</v>
      </c>
      <c r="AD25" s="45">
        <v>90000000</v>
      </c>
      <c r="AE25" s="45">
        <v>10000000</v>
      </c>
      <c r="AF25" s="45">
        <v>80000000</v>
      </c>
      <c r="AG25" s="45">
        <v>231000000</v>
      </c>
      <c r="AH25" s="45">
        <v>279000000</v>
      </c>
      <c r="AI25" s="45">
        <v>-3000000</v>
      </c>
    </row>
    <row r="26" spans="1:35">
      <c r="A26" s="42" t="s">
        <v>309</v>
      </c>
      <c r="B26" s="43">
        <v>2816884.959379356</v>
      </c>
      <c r="C26" s="44">
        <v>-325854.6925115199</v>
      </c>
      <c r="D26" s="44">
        <v>832960.3022110322</v>
      </c>
      <c r="E26" s="44">
        <v>109709235.9781283</v>
      </c>
      <c r="F26" s="43">
        <v>-26852353.02580381</v>
      </c>
      <c r="G26" s="44">
        <v>-16955792.77746178</v>
      </c>
      <c r="H26" s="44">
        <v>-24374551.96638324</v>
      </c>
      <c r="I26" s="44">
        <v>-18206136.16035546</v>
      </c>
      <c r="J26" s="43">
        <v>-18984598.22940829</v>
      </c>
      <c r="K26" s="44">
        <v>-4170870.232252179</v>
      </c>
      <c r="L26" s="44">
        <v>-2397313.386426552</v>
      </c>
      <c r="M26" s="44">
        <v>14387091.62322526</v>
      </c>
      <c r="N26" s="45">
        <v>-9000000</v>
      </c>
      <c r="O26" s="46">
        <v>35000000</v>
      </c>
      <c r="P26" s="46">
        <v>28000000</v>
      </c>
      <c r="Q26" s="46">
        <v>12000000</v>
      </c>
      <c r="R26" s="45">
        <v>-49000000</v>
      </c>
      <c r="S26" s="46">
        <v>1000000</v>
      </c>
      <c r="T26" s="46">
        <v>-1000000</v>
      </c>
      <c r="U26" s="46">
        <v>268000000</v>
      </c>
      <c r="V26" s="45">
        <v>-104000000</v>
      </c>
      <c r="W26" s="46">
        <v>-288000000</v>
      </c>
      <c r="X26" s="46">
        <v>87000000</v>
      </c>
      <c r="Y26" s="46">
        <v>-87000000</v>
      </c>
      <c r="Z26" s="45">
        <v>-80000000</v>
      </c>
      <c r="AA26" s="46">
        <v>56000000</v>
      </c>
      <c r="AC26" s="43">
        <v>16681841.29024121</v>
      </c>
      <c r="AD26" s="45">
        <v>109000000</v>
      </c>
      <c r="AE26" s="45">
        <v>-92000000</v>
      </c>
      <c r="AF26" s="45">
        <v>-14000000</v>
      </c>
      <c r="AG26" s="45">
        <v>66000000</v>
      </c>
      <c r="AH26" s="45">
        <v>219000000</v>
      </c>
      <c r="AI26" s="45">
        <v>-392000000</v>
      </c>
    </row>
    <row r="27" spans="1:35">
      <c r="A27" s="42" t="s">
        <v>325</v>
      </c>
      <c r="M27" s="44">
        <v>-57171870.3157167</v>
      </c>
      <c r="N27" s="45">
        <v>-48000000</v>
      </c>
      <c r="O27" s="46">
        <v>-57000000</v>
      </c>
      <c r="P27" s="46">
        <v>-333000000</v>
      </c>
      <c r="Q27" s="46">
        <v>-53000000</v>
      </c>
      <c r="R27" s="45">
        <v>-36000000</v>
      </c>
      <c r="S27" s="46">
        <v>-36000000</v>
      </c>
      <c r="T27" s="46">
        <v>-47000000</v>
      </c>
      <c r="U27" s="46">
        <v>-52000000</v>
      </c>
      <c r="V27" s="45">
        <v>-59000000</v>
      </c>
      <c r="W27" s="46">
        <v>-41000000</v>
      </c>
      <c r="X27" s="46">
        <v>-34000000</v>
      </c>
      <c r="Y27" s="46">
        <v>-32000000</v>
      </c>
      <c r="Z27" s="45">
        <v>-26000000</v>
      </c>
      <c r="AA27" s="46">
        <v>-32000000</v>
      </c>
      <c r="AE27" s="45">
        <v>-81000000</v>
      </c>
      <c r="AF27" s="45">
        <v>-159000000</v>
      </c>
      <c r="AG27" s="45">
        <v>-491000000</v>
      </c>
      <c r="AH27" s="45">
        <v>-171000000</v>
      </c>
      <c r="AI27" s="45">
        <v>-166000000</v>
      </c>
    </row>
    <row r="28" spans="1:35">
      <c r="A28" s="42" t="s">
        <v>242</v>
      </c>
      <c r="B28" s="43">
        <v>-8418089.734099003</v>
      </c>
      <c r="C28" s="44">
        <v>3762140.540814821</v>
      </c>
      <c r="D28" s="44">
        <v>95585.60845044632</v>
      </c>
      <c r="E28" s="44">
        <v>-6225524.101767078</v>
      </c>
      <c r="F28" s="43">
        <v>5422435.613119827</v>
      </c>
      <c r="G28" s="44">
        <v>-10941967.96938525</v>
      </c>
      <c r="H28" s="44">
        <v>2911776.364071953</v>
      </c>
      <c r="I28" s="44">
        <v>-3971704.936020683</v>
      </c>
      <c r="J28" s="43">
        <v>-3901972.758613563</v>
      </c>
      <c r="K28" s="44">
        <v>-3738523.927689453</v>
      </c>
      <c r="L28" s="44">
        <v>14140460.805476</v>
      </c>
      <c r="M28" s="44">
        <v>1623254.009827647</v>
      </c>
      <c r="N28" s="45">
        <v>-9000000</v>
      </c>
      <c r="O28" s="46">
        <v>1000000</v>
      </c>
      <c r="P28" s="46">
        <v>-3000000</v>
      </c>
      <c r="Q28" s="46">
        <v>-1000000</v>
      </c>
      <c r="R28" s="45">
        <v>-8000000</v>
      </c>
      <c r="S28" s="46">
        <v>-5000000</v>
      </c>
      <c r="T28" s="46">
        <v>-17000000</v>
      </c>
      <c r="U28" s="46">
        <v>7000000</v>
      </c>
      <c r="V28" s="45">
        <v>5000000</v>
      </c>
      <c r="W28" s="46">
        <v>0</v>
      </c>
      <c r="X28" s="46">
        <v>10000000</v>
      </c>
      <c r="Y28" s="46">
        <v>3000000</v>
      </c>
      <c r="Z28" s="45">
        <v>-2000000</v>
      </c>
      <c r="AA28" s="46">
        <v>-2000000</v>
      </c>
      <c r="AC28" s="43">
        <v>9244606.941665424</v>
      </c>
      <c r="AD28" s="45">
        <v>-8000000</v>
      </c>
      <c r="AE28" s="45">
        <v>-6000000</v>
      </c>
      <c r="AF28" s="45">
        <v>7000000</v>
      </c>
      <c r="AG28" s="45">
        <v>-12000000</v>
      </c>
      <c r="AH28" s="45">
        <v>-23000000</v>
      </c>
      <c r="AI28" s="45">
        <v>18000000</v>
      </c>
    </row>
    <row r="29" spans="1:35">
      <c r="A29" s="42" t="s">
        <v>302</v>
      </c>
      <c r="B29" s="43">
        <v>1400301.193679911</v>
      </c>
      <c r="C29" s="44">
        <v>-19329107.89670607</v>
      </c>
      <c r="D29" s="44">
        <v>42890628.02040741</v>
      </c>
      <c r="E29" s="44">
        <v>-17451469.16880891</v>
      </c>
      <c r="F29" s="43">
        <v>-6902308.665867114</v>
      </c>
      <c r="G29" s="44">
        <v>14124505.34569478</v>
      </c>
      <c r="H29" s="44">
        <v>103908231.4514581</v>
      </c>
      <c r="I29" s="44">
        <v>-39328837.59954315</v>
      </c>
      <c r="J29" s="43">
        <v>167728550.167134</v>
      </c>
      <c r="K29" s="44">
        <v>-18913031.47998905</v>
      </c>
      <c r="L29" s="44">
        <v>61098297.78391117</v>
      </c>
      <c r="M29" s="44">
        <v>-170077518.9916754</v>
      </c>
      <c r="N29" s="45">
        <v>17000000</v>
      </c>
      <c r="O29" s="46">
        <v>75000000</v>
      </c>
      <c r="P29" s="46">
        <v>-16000000</v>
      </c>
      <c r="Q29" s="46">
        <v>-51000000</v>
      </c>
      <c r="R29" s="45">
        <v>-16000000</v>
      </c>
      <c r="S29" s="46">
        <v>15000000</v>
      </c>
      <c r="T29" s="46">
        <v>9000000</v>
      </c>
      <c r="U29" s="46">
        <v>80000000</v>
      </c>
      <c r="V29" s="45">
        <v>45000000</v>
      </c>
      <c r="W29" s="46">
        <v>35000000</v>
      </c>
      <c r="X29" s="46">
        <v>-9000000</v>
      </c>
      <c r="Y29" s="46">
        <v>13000000</v>
      </c>
      <c r="Z29" s="45">
        <v>63000000</v>
      </c>
      <c r="AA29" s="46">
        <v>71000000</v>
      </c>
      <c r="AC29" s="43">
        <v>16120932.55445476</v>
      </c>
      <c r="AD29" s="45">
        <v>-22000000</v>
      </c>
      <c r="AE29" s="45">
        <v>56000000</v>
      </c>
      <c r="AF29" s="45">
        <v>-29000000</v>
      </c>
      <c r="AG29" s="45">
        <v>25000000</v>
      </c>
      <c r="AH29" s="45">
        <v>88000000</v>
      </c>
      <c r="AI29" s="45">
        <v>84000000</v>
      </c>
    </row>
    <row r="30" spans="1:35">
      <c r="A30" s="42" t="s">
        <v>326</v>
      </c>
      <c r="B30" s="43">
        <v>2116734.362539401</v>
      </c>
      <c r="C30" s="44">
        <v>29119560.24898401</v>
      </c>
      <c r="D30" s="44">
        <v>5434724.594753948</v>
      </c>
      <c r="E30" s="44">
        <v>1525128.394408802</v>
      </c>
      <c r="F30" s="43">
        <v>316308.7440986566</v>
      </c>
      <c r="G30" s="44">
        <v>40085069.42870123</v>
      </c>
      <c r="H30" s="44">
        <v>0</v>
      </c>
      <c r="I30" s="44">
        <v>12731354.9202267</v>
      </c>
      <c r="L30" s="44">
        <v>1888345.313615992</v>
      </c>
      <c r="M30" s="44">
        <v>26916390.63444246</v>
      </c>
      <c r="N30" s="45">
        <v>198000000</v>
      </c>
      <c r="O30" s="46">
        <v>73000000</v>
      </c>
      <c r="P30" s="46">
        <v>0</v>
      </c>
      <c r="Q30" s="46">
        <v>5000000</v>
      </c>
      <c r="T30" s="46">
        <v>1000000</v>
      </c>
      <c r="U30" s="46">
        <v>37000000</v>
      </c>
      <c r="X30" s="46">
        <v>21000000</v>
      </c>
      <c r="Y30" s="46">
        <v>38000000</v>
      </c>
      <c r="AC30" s="43">
        <v>16848036.47121496</v>
      </c>
      <c r="AD30" s="45">
        <v>38000000</v>
      </c>
      <c r="AE30" s="45">
        <v>56000000</v>
      </c>
      <c r="AF30" s="45">
        <v>94000000</v>
      </c>
      <c r="AG30" s="45">
        <v>276000000</v>
      </c>
      <c r="AH30" s="45">
        <v>174000000</v>
      </c>
      <c r="AI30" s="45">
        <v>224000000</v>
      </c>
    </row>
    <row r="31" spans="1:35">
      <c r="A31" s="42" t="s">
        <v>327</v>
      </c>
      <c r="E31" s="44">
        <v>9025759.842320945</v>
      </c>
      <c r="F31" s="43">
        <v>135560.8903279957</v>
      </c>
      <c r="G31" s="44">
        <v>5353900.669845119</v>
      </c>
      <c r="H31" s="44">
        <v>0</v>
      </c>
      <c r="I31" s="44">
        <v>13676998.95261258</v>
      </c>
      <c r="J31" s="43">
        <v>1088050.096151859</v>
      </c>
      <c r="K31" s="44">
        <v>0</v>
      </c>
      <c r="L31" s="44">
        <v>0</v>
      </c>
      <c r="M31" s="44">
        <v>0</v>
      </c>
      <c r="N31" s="43">
        <v>322810.3040333372</v>
      </c>
      <c r="O31" s="44">
        <v>0</v>
      </c>
      <c r="P31" s="44">
        <v>0</v>
      </c>
      <c r="Q31" s="44">
        <v>0</v>
      </c>
      <c r="V31" s="45">
        <v>1000000</v>
      </c>
      <c r="W31" s="46">
        <v>4000000</v>
      </c>
      <c r="X31" s="46">
        <v>0</v>
      </c>
      <c r="Y31" s="46">
        <v>0</v>
      </c>
      <c r="AC31" s="43">
        <v>15746993.3972638</v>
      </c>
      <c r="AD31" s="45">
        <v>51000000</v>
      </c>
      <c r="AE31" s="45">
        <v>19000000</v>
      </c>
      <c r="AF31" s="45">
        <v>1000000</v>
      </c>
      <c r="AG31" s="43">
        <v>211611.9968938892</v>
      </c>
      <c r="AI31" s="45">
        <v>5000000</v>
      </c>
    </row>
    <row r="32" spans="1:35">
      <c r="A32" s="42" t="s">
        <v>328</v>
      </c>
      <c r="B32" s="43">
        <v>-7262027.120712098</v>
      </c>
      <c r="C32" s="44">
        <v>-14959692.70166523</v>
      </c>
      <c r="D32" s="44">
        <v>-9667801.54041657</v>
      </c>
      <c r="E32" s="44">
        <v>-6775570.407947302</v>
      </c>
      <c r="F32" s="43">
        <v>-1457279.571025954</v>
      </c>
      <c r="G32" s="44">
        <v>-1373067.965029862</v>
      </c>
      <c r="H32" s="44">
        <v>-1327276.151820784</v>
      </c>
      <c r="I32" s="44">
        <v>-1274130.906793603</v>
      </c>
      <c r="J32" s="43">
        <v>-2401214.005300654</v>
      </c>
      <c r="K32" s="44">
        <v>-3925026.255147884</v>
      </c>
      <c r="L32" s="44">
        <v>-1866216.266972054</v>
      </c>
      <c r="M32" s="44">
        <v>-263763346.4257965</v>
      </c>
      <c r="N32" s="45">
        <v>-1000000</v>
      </c>
      <c r="O32" s="46">
        <v>-7000000</v>
      </c>
      <c r="P32" s="46">
        <v>-4000000</v>
      </c>
      <c r="Q32" s="46">
        <v>2000000</v>
      </c>
      <c r="R32" s="45">
        <v>-6000000</v>
      </c>
      <c r="S32" s="46">
        <v>-10000000</v>
      </c>
      <c r="T32" s="46">
        <v>-9000000</v>
      </c>
      <c r="U32" s="46">
        <v>-1000000</v>
      </c>
      <c r="V32" s="45">
        <v>-8000000</v>
      </c>
      <c r="W32" s="46">
        <v>-104000000</v>
      </c>
      <c r="X32" s="46">
        <v>-10000000</v>
      </c>
      <c r="Y32" s="46">
        <v>-11000000</v>
      </c>
      <c r="Z32" s="45">
        <v>-24000000</v>
      </c>
      <c r="AA32" s="46">
        <v>-10000000</v>
      </c>
      <c r="AC32" s="43">
        <v>-144485935.459063</v>
      </c>
      <c r="AD32" s="45">
        <v>-35000000</v>
      </c>
      <c r="AE32" s="45">
        <v>-5000000</v>
      </c>
      <c r="AF32" s="45">
        <v>-266000000</v>
      </c>
      <c r="AG32" s="45">
        <v>-10000000</v>
      </c>
      <c r="AH32" s="45">
        <v>-26000000</v>
      </c>
      <c r="AI32" s="45">
        <v>-133000000</v>
      </c>
    </row>
    <row r="33" spans="1:35">
      <c r="A33" s="42" t="s">
        <v>329</v>
      </c>
      <c r="B33" s="43">
        <v>959939033.4116184</v>
      </c>
      <c r="C33" s="44">
        <v>498335505.8886404</v>
      </c>
      <c r="D33" s="44">
        <v>665644522.1619867</v>
      </c>
      <c r="E33" s="44">
        <v>848433926.230582</v>
      </c>
      <c r="F33" s="43">
        <v>1053421085.257133</v>
      </c>
      <c r="G33" s="44">
        <v>1001083629.821617</v>
      </c>
      <c r="H33" s="44">
        <v>1085938249.36258</v>
      </c>
      <c r="I33" s="44">
        <v>1066766101.712944</v>
      </c>
      <c r="J33" s="43">
        <v>1431639432.980641</v>
      </c>
      <c r="K33" s="44">
        <v>1333050817.644696</v>
      </c>
      <c r="L33" s="44">
        <v>1586069912.808688</v>
      </c>
      <c r="M33" s="44">
        <v>1306997220.992785</v>
      </c>
      <c r="N33" s="45">
        <v>1497000000</v>
      </c>
      <c r="O33" s="46">
        <v>1309000000</v>
      </c>
      <c r="P33" s="46">
        <v>1399000000</v>
      </c>
      <c r="Q33" s="46">
        <v>1708000000</v>
      </c>
      <c r="R33" s="45">
        <v>1089000000</v>
      </c>
      <c r="S33" s="46">
        <v>1422000000</v>
      </c>
      <c r="T33" s="46">
        <v>1695000000</v>
      </c>
      <c r="U33" s="46">
        <v>1663000000</v>
      </c>
      <c r="V33" s="45">
        <v>850000000</v>
      </c>
      <c r="W33" s="46">
        <v>1146000000</v>
      </c>
      <c r="X33" s="46">
        <v>1225000000</v>
      </c>
      <c r="Y33" s="46">
        <v>1738000000</v>
      </c>
      <c r="Z33" s="45">
        <v>1865000000</v>
      </c>
      <c r="AA33" s="46">
        <v>2372000000</v>
      </c>
      <c r="AC33" s="43">
        <v>4510890376.387427</v>
      </c>
      <c r="AD33" s="45">
        <v>2915000000</v>
      </c>
      <c r="AE33" s="45">
        <v>4201000000</v>
      </c>
      <c r="AF33" s="45">
        <v>5693000000</v>
      </c>
      <c r="AG33" s="45">
        <v>5913000000</v>
      </c>
      <c r="AH33" s="45">
        <v>5869000000</v>
      </c>
      <c r="AI33" s="45">
        <v>4959000000</v>
      </c>
    </row>
    <row r="34" spans="1:35">
      <c r="A34" s="42" t="s">
        <v>330</v>
      </c>
      <c r="B34" s="43">
        <v>-790356045.8281733</v>
      </c>
      <c r="C34" s="44">
        <v>-286544767.3330848</v>
      </c>
      <c r="D34" s="44">
        <v>-191089286.3793637</v>
      </c>
      <c r="E34" s="44">
        <v>-409234451.7980865</v>
      </c>
      <c r="F34" s="43">
        <v>-492989771.1594777</v>
      </c>
      <c r="G34" s="44">
        <v>-500009618.0251378</v>
      </c>
      <c r="H34" s="44">
        <v>-701460301.7560759</v>
      </c>
      <c r="I34" s="44">
        <v>-756604813.2380855</v>
      </c>
      <c r="J34" s="43">
        <v>-784418461.1300328</v>
      </c>
      <c r="K34" s="44">
        <v>-819016493.655178</v>
      </c>
      <c r="L34" s="44">
        <v>-1050178166.581337</v>
      </c>
      <c r="M34" s="44">
        <v>-1293147099.327183</v>
      </c>
      <c r="N34" s="45">
        <v>-1262000000</v>
      </c>
      <c r="O34" s="46">
        <v>-1366000000</v>
      </c>
      <c r="P34" s="46">
        <v>-1500000000</v>
      </c>
      <c r="Q34" s="46">
        <v>-1545000000</v>
      </c>
      <c r="R34" s="45">
        <v>-1181000000</v>
      </c>
      <c r="S34" s="46">
        <v>-1354000000</v>
      </c>
      <c r="T34" s="46">
        <v>-1484000000</v>
      </c>
      <c r="U34" s="46">
        <v>-1373000000</v>
      </c>
      <c r="V34" s="45">
        <v>-1205000000</v>
      </c>
      <c r="W34" s="46">
        <v>-1304000000</v>
      </c>
      <c r="X34" s="46">
        <v>-1148000000</v>
      </c>
      <c r="Y34" s="46">
        <v>-1420000000</v>
      </c>
      <c r="Z34" s="45">
        <v>-1090000000</v>
      </c>
      <c r="AA34" s="46">
        <v>-1127000000</v>
      </c>
      <c r="AC34" s="43">
        <v>-3354130368.014812</v>
      </c>
      <c r="AD34" s="45">
        <v>-1650000000</v>
      </c>
      <c r="AE34" s="45">
        <v>-2448000000</v>
      </c>
      <c r="AF34" s="45">
        <v>-4006000000</v>
      </c>
      <c r="AG34" s="45">
        <v>-5673000000</v>
      </c>
      <c r="AH34" s="45">
        <v>-5392000000</v>
      </c>
      <c r="AI34" s="45">
        <v>-5077000000</v>
      </c>
    </row>
    <row r="35" spans="1:35">
      <c r="A35" s="42" t="s">
        <v>331</v>
      </c>
      <c r="T35" s="46">
        <v>-71000000</v>
      </c>
      <c r="U35" s="46">
        <v>-93000000</v>
      </c>
      <c r="V35" s="45">
        <v>-33000000</v>
      </c>
      <c r="W35" s="46">
        <v>-9000000</v>
      </c>
      <c r="X35" s="46">
        <v>-3000000</v>
      </c>
      <c r="Y35" s="46">
        <v>-1000000</v>
      </c>
      <c r="Z35" s="45">
        <v>-4000000</v>
      </c>
      <c r="AA35" s="46">
        <v>-4000000</v>
      </c>
      <c r="AH35" s="45">
        <v>-269000000</v>
      </c>
      <c r="AI35" s="45">
        <v>-46000000</v>
      </c>
    </row>
    <row r="36" spans="1:35">
      <c r="A36" s="42" t="s">
        <v>332</v>
      </c>
      <c r="M36" s="44">
        <v>-1419575.750039387</v>
      </c>
      <c r="N36" s="45">
        <v>-2000000</v>
      </c>
      <c r="O36" s="46">
        <v>-2000000</v>
      </c>
      <c r="P36" s="46">
        <v>0</v>
      </c>
      <c r="Q36" s="46">
        <v>-1000000</v>
      </c>
      <c r="V36" s="45">
        <v>-71000000</v>
      </c>
      <c r="W36" s="46">
        <v>-11000000</v>
      </c>
      <c r="X36" s="46">
        <v>0</v>
      </c>
      <c r="Y36" s="46">
        <v>-3000000</v>
      </c>
      <c r="Z36" s="45">
        <v>-34000000</v>
      </c>
      <c r="AA36" s="46">
        <v>-202000000</v>
      </c>
      <c r="AC36" s="43">
        <v>-100257242.922421</v>
      </c>
      <c r="AF36" s="45">
        <v>-2000000</v>
      </c>
      <c r="AG36" s="45">
        <v>-5000000</v>
      </c>
      <c r="AH36" s="43">
        <v>-32803.24693023578</v>
      </c>
      <c r="AI36" s="45">
        <v>-85000000</v>
      </c>
    </row>
    <row r="37" spans="1:35">
      <c r="A37" s="42" t="s">
        <v>333</v>
      </c>
      <c r="V37" s="45">
        <v>-243000000</v>
      </c>
      <c r="W37" s="46">
        <v>13000000</v>
      </c>
      <c r="X37" s="46">
        <v>-520000000</v>
      </c>
      <c r="Y37" s="46">
        <v>-17000000</v>
      </c>
      <c r="AI37" s="45">
        <v>-767000000</v>
      </c>
    </row>
    <row r="38" spans="1:35">
      <c r="A38" s="42" t="s">
        <v>334</v>
      </c>
      <c r="E38" s="44">
        <v>37503.15723956071</v>
      </c>
      <c r="F38" s="43">
        <v>13239780.28870091</v>
      </c>
      <c r="G38" s="44">
        <v>21809428.37477664</v>
      </c>
      <c r="H38" s="44">
        <v>4887257.148177306</v>
      </c>
      <c r="I38" s="44">
        <v>-19908.29541865004</v>
      </c>
      <c r="J38" s="43">
        <v>834797.0565303054</v>
      </c>
      <c r="K38" s="44">
        <v>17242987.91138401</v>
      </c>
      <c r="L38" s="44">
        <v>28907911.26586356</v>
      </c>
      <c r="M38" s="44">
        <v>49092632.67744906</v>
      </c>
      <c r="N38" s="45">
        <v>27000000</v>
      </c>
      <c r="O38" s="46">
        <v>21000000</v>
      </c>
      <c r="P38" s="46">
        <v>26000000</v>
      </c>
      <c r="Q38" s="46">
        <v>11000000</v>
      </c>
      <c r="R38" s="45">
        <v>17000000</v>
      </c>
      <c r="S38" s="46">
        <v>15000000</v>
      </c>
      <c r="T38" s="46">
        <v>2000000</v>
      </c>
      <c r="U38" s="46">
        <v>0</v>
      </c>
      <c r="V38" s="45">
        <v>1000000</v>
      </c>
      <c r="W38" s="46">
        <v>2000000</v>
      </c>
      <c r="X38" s="46">
        <v>1000000</v>
      </c>
      <c r="Y38" s="46">
        <v>0</v>
      </c>
      <c r="Z38" s="45">
        <v>1000000</v>
      </c>
      <c r="AA38" s="46">
        <v>1000000</v>
      </c>
      <c r="AC38" s="43">
        <v>22083184.67188842</v>
      </c>
      <c r="AD38" s="43">
        <v>255222.4020635661</v>
      </c>
      <c r="AE38" s="45">
        <v>41000000</v>
      </c>
      <c r="AF38" s="45">
        <v>99000000</v>
      </c>
      <c r="AG38" s="45">
        <v>85000000</v>
      </c>
      <c r="AH38" s="45">
        <v>34000000</v>
      </c>
      <c r="AI38" s="45">
        <v>4000000</v>
      </c>
    </row>
    <row r="39" spans="1:35">
      <c r="A39" s="42" t="s">
        <v>335</v>
      </c>
      <c r="Q39" s="46">
        <v>1000000</v>
      </c>
      <c r="R39" s="45">
        <v>2000000</v>
      </c>
      <c r="S39" s="46">
        <v>2000000</v>
      </c>
      <c r="T39" s="46">
        <v>63000000</v>
      </c>
      <c r="U39" s="46">
        <v>75000000</v>
      </c>
      <c r="V39" s="45">
        <v>71000000</v>
      </c>
      <c r="W39" s="46">
        <v>0</v>
      </c>
      <c r="X39" s="46">
        <v>7000000</v>
      </c>
      <c r="Y39" s="46">
        <v>219000000</v>
      </c>
      <c r="Z39" s="45">
        <v>514000000</v>
      </c>
      <c r="AA39" s="46">
        <v>54000000</v>
      </c>
      <c r="AF39" s="45">
        <v>8000000</v>
      </c>
      <c r="AG39" s="45">
        <v>15000000</v>
      </c>
      <c r="AH39" s="45">
        <v>142000000</v>
      </c>
      <c r="AI39" s="45">
        <v>297000000</v>
      </c>
    </row>
    <row r="40" spans="1:35">
      <c r="A40" s="42" t="s">
        <v>336</v>
      </c>
      <c r="B40" s="43">
        <v>-686864018.072016</v>
      </c>
      <c r="C40" s="44">
        <v>-49055942.7999161</v>
      </c>
      <c r="D40" s="44">
        <v>-279355768.2398902</v>
      </c>
      <c r="E40" s="44">
        <v>-540132971.6165665</v>
      </c>
      <c r="F40" s="43">
        <v>-523106882.294014</v>
      </c>
      <c r="G40" s="44">
        <v>-531324082.7779894</v>
      </c>
      <c r="H40" s="44">
        <v>-788515212.7681352</v>
      </c>
      <c r="I40" s="44">
        <v>-708048480.7119981</v>
      </c>
      <c r="J40" s="43">
        <v>-837601599.450559</v>
      </c>
      <c r="K40" s="44">
        <v>-1020354233.525075</v>
      </c>
      <c r="L40" s="44">
        <v>-990680536.5046711</v>
      </c>
      <c r="M40" s="44">
        <v>-1105158237.611098</v>
      </c>
      <c r="N40" s="45">
        <v>-1189000000</v>
      </c>
      <c r="O40" s="46">
        <v>-1259000000</v>
      </c>
      <c r="P40" s="46">
        <v>-1321000000</v>
      </c>
      <c r="Q40" s="46">
        <v>-1563000000</v>
      </c>
      <c r="R40" s="45">
        <v>-1208000000</v>
      </c>
      <c r="S40" s="46">
        <v>-1464000000</v>
      </c>
      <c r="T40" s="46">
        <v>-1439000000</v>
      </c>
      <c r="U40" s="46">
        <v>-1400000000</v>
      </c>
      <c r="V40" s="45">
        <v>-1383000000</v>
      </c>
      <c r="W40" s="46">
        <v>-1258000000</v>
      </c>
      <c r="X40" s="46">
        <v>-1662000000</v>
      </c>
      <c r="Y40" s="46">
        <v>-1224000000</v>
      </c>
      <c r="Z40" s="45">
        <v>-709000000</v>
      </c>
      <c r="AA40" s="46">
        <v>-2031000000</v>
      </c>
      <c r="AC40" s="43">
        <v>-3404487507.849861</v>
      </c>
      <c r="AD40" s="45">
        <v>-1517000000</v>
      </c>
      <c r="AE40" s="45">
        <v>-2547000000</v>
      </c>
      <c r="AF40" s="45">
        <v>-4016000000</v>
      </c>
      <c r="AG40" s="45">
        <v>-5332000000</v>
      </c>
      <c r="AH40" s="45">
        <v>-5511000000</v>
      </c>
      <c r="AI40" s="45">
        <v>-5527000000</v>
      </c>
    </row>
    <row r="41" spans="1:35">
      <c r="A41" s="42" t="s">
        <v>337</v>
      </c>
      <c r="B41" s="43">
        <v>-341347839.8175077</v>
      </c>
      <c r="C41" s="44">
        <v>-860448938.7305331</v>
      </c>
      <c r="D41" s="44">
        <v>-691097604.1836483</v>
      </c>
      <c r="E41" s="44">
        <v>-565610116.4346415</v>
      </c>
      <c r="F41" s="43">
        <v>-536233695.1741082</v>
      </c>
      <c r="G41" s="44">
        <v>-543373020.2695693</v>
      </c>
      <c r="H41" s="44">
        <v>-221490493.9553955</v>
      </c>
      <c r="I41" s="44">
        <v>-377620547.500954</v>
      </c>
      <c r="J41" s="43">
        <v>-457234293.4234022</v>
      </c>
      <c r="K41" s="44">
        <v>-232119101.2790588</v>
      </c>
      <c r="L41" s="44">
        <v>-66291247.39635514</v>
      </c>
      <c r="M41" s="44">
        <v>-58029787.83421876</v>
      </c>
      <c r="N41" s="45">
        <v>-133000000</v>
      </c>
      <c r="O41" s="46">
        <v>-371000000</v>
      </c>
      <c r="P41" s="46">
        <v>-571000000</v>
      </c>
      <c r="Q41" s="46">
        <v>-321000000</v>
      </c>
      <c r="R41" s="45">
        <v>-554000000</v>
      </c>
      <c r="S41" s="46">
        <v>-448000000</v>
      </c>
      <c r="T41" s="46">
        <v>-992000000</v>
      </c>
      <c r="U41" s="46">
        <v>-108000000</v>
      </c>
      <c r="V41" s="45">
        <v>-1087000000</v>
      </c>
      <c r="W41" s="46">
        <v>-294000000</v>
      </c>
      <c r="X41" s="46">
        <v>-494000000</v>
      </c>
      <c r="Y41" s="46">
        <v>-996000000</v>
      </c>
      <c r="Z41" s="45">
        <v>-1173000000</v>
      </c>
      <c r="AA41" s="46">
        <v>-400000000</v>
      </c>
      <c r="AC41" s="43">
        <v>-1941492104.135469</v>
      </c>
      <c r="AD41" s="45">
        <v>-2283000000</v>
      </c>
      <c r="AE41" s="45">
        <v>-1653000000</v>
      </c>
      <c r="AF41" s="45">
        <v>-780000000</v>
      </c>
      <c r="AG41" s="45">
        <v>-1396000000</v>
      </c>
      <c r="AH41" s="45">
        <v>-2102000000</v>
      </c>
      <c r="AI41" s="45">
        <v>-2871000000</v>
      </c>
    </row>
    <row r="42" spans="1:35">
      <c r="A42" s="42" t="s">
        <v>338</v>
      </c>
      <c r="B42" s="43">
        <v>-261221302.9093816</v>
      </c>
      <c r="C42" s="44">
        <v>-200607997.9716375</v>
      </c>
      <c r="D42" s="44">
        <v>-250625465.3570703</v>
      </c>
      <c r="E42" s="44">
        <v>-159263407.7440012</v>
      </c>
      <c r="F42" s="43">
        <v>-199534333.821949</v>
      </c>
      <c r="G42" s="44">
        <v>-130718199.0583855</v>
      </c>
      <c r="H42" s="44">
        <v>-182423303.6572287</v>
      </c>
      <c r="I42" s="44">
        <v>-107305712.3065237</v>
      </c>
      <c r="J42" s="43">
        <v>-173281357.5543917</v>
      </c>
      <c r="K42" s="44">
        <v>-126262075.6893576</v>
      </c>
      <c r="L42" s="44">
        <v>-182726914.4878725</v>
      </c>
      <c r="M42" s="44">
        <v>-92476102.0123484</v>
      </c>
      <c r="N42" s="45">
        <v>-157000000</v>
      </c>
      <c r="O42" s="46">
        <v>-144000000</v>
      </c>
      <c r="P42" s="46">
        <v>-192000000</v>
      </c>
      <c r="Q42" s="46">
        <v>-130000000</v>
      </c>
      <c r="R42" s="45">
        <v>-202000000</v>
      </c>
      <c r="S42" s="46">
        <v>-124000000</v>
      </c>
      <c r="T42" s="46">
        <v>-275000000</v>
      </c>
      <c r="U42" s="46">
        <v>-106000000</v>
      </c>
      <c r="V42" s="45">
        <v>-221000000</v>
      </c>
      <c r="W42" s="46">
        <v>-100000000</v>
      </c>
      <c r="X42" s="46">
        <v>-217000000</v>
      </c>
      <c r="Y42" s="46">
        <v>-132000000</v>
      </c>
      <c r="Z42" s="45">
        <v>-257000000</v>
      </c>
      <c r="AA42" s="46">
        <v>-115000000</v>
      </c>
      <c r="AC42" s="43">
        <v>-864339587.4492847</v>
      </c>
      <c r="AD42" s="45">
        <v>-873000000</v>
      </c>
      <c r="AE42" s="45">
        <v>-615000000</v>
      </c>
      <c r="AF42" s="45">
        <v>-543000000</v>
      </c>
      <c r="AG42" s="45">
        <v>-623000000</v>
      </c>
      <c r="AH42" s="45">
        <v>-707000000</v>
      </c>
      <c r="AI42" s="45">
        <v>-670000000</v>
      </c>
    </row>
    <row r="43" spans="1:35">
      <c r="A43" s="42" t="s">
        <v>339</v>
      </c>
      <c r="B43" s="43">
        <v>410662748.9046633</v>
      </c>
      <c r="C43" s="44">
        <v>834884156.9453112</v>
      </c>
      <c r="D43" s="44">
        <v>288067713.6958022</v>
      </c>
      <c r="E43" s="44">
        <v>454213238.380733</v>
      </c>
      <c r="F43" s="43">
        <v>290473097.7503127</v>
      </c>
      <c r="G43" s="44">
        <v>225736631.0259946</v>
      </c>
      <c r="H43" s="44">
        <v>276433553.2633257</v>
      </c>
      <c r="I43" s="44">
        <v>205025580.3689675</v>
      </c>
      <c r="J43" s="43">
        <v>353897673.5156003</v>
      </c>
      <c r="K43" s="44">
        <v>8629971.334212841</v>
      </c>
      <c r="L43" s="44">
        <v>46618524.9298948</v>
      </c>
      <c r="M43" s="44">
        <v>25904171.40397959</v>
      </c>
      <c r="N43" s="45">
        <v>472000000</v>
      </c>
      <c r="O43" s="46">
        <v>820000000</v>
      </c>
      <c r="P43" s="46">
        <v>976000000</v>
      </c>
      <c r="Q43" s="46">
        <v>399000000</v>
      </c>
      <c r="R43" s="45">
        <v>1114000000</v>
      </c>
      <c r="S43" s="46">
        <v>321000000</v>
      </c>
      <c r="T43" s="46">
        <v>1217000000</v>
      </c>
      <c r="U43" s="46">
        <v>315000000</v>
      </c>
      <c r="V43" s="45">
        <v>1767000000</v>
      </c>
      <c r="W43" s="46">
        <v>514000000</v>
      </c>
      <c r="X43" s="46">
        <v>1311000000</v>
      </c>
      <c r="Y43" s="46">
        <v>889000000</v>
      </c>
      <c r="Z43" s="45">
        <v>769000000</v>
      </c>
      <c r="AA43" s="46">
        <v>341000000</v>
      </c>
      <c r="AC43" s="43">
        <v>2022408382.872069</v>
      </c>
      <c r="AD43" s="45">
        <v>1803000000</v>
      </c>
      <c r="AE43" s="45">
        <v>963000000</v>
      </c>
      <c r="AF43" s="45">
        <v>402000000</v>
      </c>
      <c r="AG43" s="45">
        <v>2667000000</v>
      </c>
      <c r="AH43" s="45">
        <v>2967000000</v>
      </c>
      <c r="AI43" s="45">
        <v>4481000000</v>
      </c>
    </row>
    <row r="44" spans="1:35">
      <c r="A44" s="42" t="s">
        <v>340</v>
      </c>
      <c r="J44" s="43">
        <v>-7447515.31331531</v>
      </c>
      <c r="K44" s="44">
        <v>53678760.79394471</v>
      </c>
      <c r="L44" s="44">
        <v>-46707041.11647055</v>
      </c>
      <c r="M44" s="44">
        <v>77070619.09018184</v>
      </c>
      <c r="N44" s="45">
        <v>-70000000</v>
      </c>
      <c r="O44" s="46">
        <v>0</v>
      </c>
      <c r="P44" s="46">
        <v>33000000</v>
      </c>
      <c r="Q44" s="46">
        <v>34000000</v>
      </c>
      <c r="R44" s="45">
        <v>56000000</v>
      </c>
      <c r="S44" s="46">
        <v>143000000</v>
      </c>
      <c r="T44" s="46">
        <v>-247000000</v>
      </c>
      <c r="U44" s="46">
        <v>0</v>
      </c>
      <c r="Z44" s="45">
        <v>-3000000</v>
      </c>
      <c r="AA44" s="46">
        <v>0</v>
      </c>
      <c r="AD44" s="45">
        <v>2000000</v>
      </c>
      <c r="AE44" s="45">
        <v>8000000</v>
      </c>
      <c r="AF44" s="45">
        <v>71000000</v>
      </c>
      <c r="AG44" s="45">
        <v>-3000000</v>
      </c>
      <c r="AH44" s="45">
        <v>-48000000</v>
      </c>
      <c r="AI44" s="45">
        <v>4000000</v>
      </c>
    </row>
    <row r="45" spans="1:35">
      <c r="A45" s="42" t="s">
        <v>341</v>
      </c>
      <c r="M45" s="44">
        <v>-20960344.55275547</v>
      </c>
      <c r="AC45" s="43">
        <v>-5816831.334081615</v>
      </c>
      <c r="AD45" s="45">
        <v>-6000000</v>
      </c>
      <c r="AF45" s="45">
        <v>-28000000</v>
      </c>
      <c r="AI45" s="45">
        <v>-10000000</v>
      </c>
    </row>
    <row r="46" spans="1:35">
      <c r="A46" s="42" t="s">
        <v>342</v>
      </c>
      <c r="B46" s="43">
        <v>-96653347.50795294</v>
      </c>
      <c r="C46" s="44">
        <v>-61068131.69204531</v>
      </c>
      <c r="D46" s="44">
        <v>-73887675.33219501</v>
      </c>
      <c r="E46" s="44">
        <v>-97758229.87112159</v>
      </c>
      <c r="F46" s="43">
        <v>-76625793.25789955</v>
      </c>
      <c r="G46" s="44">
        <v>-76604419.72341019</v>
      </c>
      <c r="H46" s="44">
        <v>-71930136.25875272</v>
      </c>
      <c r="I46" s="44">
        <v>-75203585.94395053</v>
      </c>
      <c r="J46" s="43">
        <v>-85121160.53946654</v>
      </c>
      <c r="K46" s="44">
        <v>-80280774.59233361</v>
      </c>
      <c r="L46" s="44">
        <v>-92831350.67131741</v>
      </c>
      <c r="M46" s="44">
        <v>-85359707.05671617</v>
      </c>
      <c r="N46" s="45">
        <v>-92000000</v>
      </c>
      <c r="O46" s="46">
        <v>-89000000</v>
      </c>
      <c r="P46" s="46">
        <v>-86000000</v>
      </c>
      <c r="Q46" s="46">
        <v>-92000000</v>
      </c>
      <c r="R46" s="45">
        <v>-101000000</v>
      </c>
      <c r="S46" s="46">
        <v>-97000000</v>
      </c>
      <c r="T46" s="46">
        <v>-100000000</v>
      </c>
      <c r="U46" s="46">
        <v>-102000000</v>
      </c>
      <c r="V46" s="45">
        <v>-105000000</v>
      </c>
      <c r="W46" s="46">
        <v>-99000000</v>
      </c>
      <c r="X46" s="46">
        <v>-102000000</v>
      </c>
      <c r="Y46" s="46">
        <v>-100000000</v>
      </c>
      <c r="Z46" s="45">
        <v>-96000000</v>
      </c>
      <c r="AA46" s="46">
        <v>-98000000</v>
      </c>
      <c r="AC46" s="43">
        <v>-315937039.0311186</v>
      </c>
      <c r="AD46" s="45">
        <v>-331000000</v>
      </c>
      <c r="AE46" s="45">
        <v>-302000000</v>
      </c>
      <c r="AF46" s="45">
        <v>-341000000</v>
      </c>
      <c r="AG46" s="45">
        <v>-359000000</v>
      </c>
      <c r="AH46" s="45">
        <v>-400000000</v>
      </c>
      <c r="AI46" s="45">
        <v>-406000000</v>
      </c>
    </row>
    <row r="47" spans="1:35">
      <c r="A47" s="42" t="s">
        <v>343</v>
      </c>
      <c r="B47" s="43">
        <v>-4298599.013156937</v>
      </c>
      <c r="C47" s="44">
        <v>-2606837.54009216</v>
      </c>
      <c r="D47" s="44">
        <v>-2294054.602810712</v>
      </c>
      <c r="E47" s="44">
        <v>-1100092.612360448</v>
      </c>
      <c r="F47" s="43">
        <v>-79077.18602466416</v>
      </c>
      <c r="G47" s="44">
        <v>-149015.1279877369</v>
      </c>
      <c r="H47" s="44">
        <v>-267513.0228475999</v>
      </c>
      <c r="I47" s="44">
        <v>-358349.3175357007</v>
      </c>
      <c r="J47" s="43">
        <v>-440847.883785667</v>
      </c>
      <c r="K47" s="44">
        <v>-2449962.392522113</v>
      </c>
      <c r="L47" s="44">
        <v>-2426818.781951802</v>
      </c>
      <c r="M47" s="44">
        <v>-3419325.937051393</v>
      </c>
      <c r="N47" s="45">
        <v>-3000000</v>
      </c>
      <c r="O47" s="46">
        <v>-2000000</v>
      </c>
      <c r="P47" s="46">
        <v>-2000000</v>
      </c>
      <c r="Q47" s="46">
        <v>-1000000</v>
      </c>
      <c r="R47" s="45">
        <v>-1000000</v>
      </c>
      <c r="S47" s="46">
        <v>-1000000</v>
      </c>
      <c r="T47" s="46">
        <v>-1000000</v>
      </c>
      <c r="U47" s="46">
        <v>0</v>
      </c>
      <c r="X47" s="46">
        <v>-1000000</v>
      </c>
      <c r="Y47" s="46">
        <v>-9000000</v>
      </c>
      <c r="Z47" s="45">
        <v>-27000000</v>
      </c>
      <c r="AA47" s="46">
        <v>-29000000</v>
      </c>
      <c r="AC47" s="43">
        <v>-12111473.81346279</v>
      </c>
      <c r="AD47" s="45">
        <v>-10000000</v>
      </c>
      <c r="AE47" s="45">
        <v>-1000000</v>
      </c>
      <c r="AF47" s="45">
        <v>-8000000</v>
      </c>
      <c r="AG47" s="45">
        <v>-8000000</v>
      </c>
      <c r="AH47" s="45">
        <v>-3000000</v>
      </c>
      <c r="AI47" s="45">
        <v>-11000000</v>
      </c>
    </row>
    <row r="48" spans="1:35">
      <c r="A48" s="42" t="s">
        <v>344</v>
      </c>
      <c r="B48" s="43">
        <v>-292858340.3433359</v>
      </c>
      <c r="C48" s="44">
        <v>-289847748.988997</v>
      </c>
      <c r="D48" s="44">
        <v>-729837085.7799221</v>
      </c>
      <c r="E48" s="44">
        <v>-376394187.1086445</v>
      </c>
      <c r="F48" s="43">
        <v>-521999801.6896687</v>
      </c>
      <c r="G48" s="44">
        <v>-525108023.1533581</v>
      </c>
      <c r="H48" s="44">
        <v>-199677893.6308989</v>
      </c>
      <c r="I48" s="44">
        <v>-355462614.6999965</v>
      </c>
      <c r="J48" s="43">
        <v>-369627501.1987612</v>
      </c>
      <c r="K48" s="44">
        <v>-378803181.8251145</v>
      </c>
      <c r="L48" s="44">
        <v>-350612615.0265442</v>
      </c>
      <c r="M48" s="44">
        <v>-157270476.8989288</v>
      </c>
      <c r="N48" s="45">
        <v>17000000</v>
      </c>
      <c r="O48" s="46">
        <v>214000000</v>
      </c>
      <c r="P48" s="46">
        <v>158000000</v>
      </c>
      <c r="Q48" s="46">
        <v>-111000000</v>
      </c>
      <c r="R48" s="45">
        <v>312000000</v>
      </c>
      <c r="S48" s="46">
        <v>-206000000</v>
      </c>
      <c r="T48" s="46">
        <v>-398000000</v>
      </c>
      <c r="U48" s="46">
        <v>-1000000</v>
      </c>
      <c r="V48" s="45">
        <v>354000000</v>
      </c>
      <c r="W48" s="46">
        <v>20000000</v>
      </c>
      <c r="X48" s="46">
        <v>497000000</v>
      </c>
      <c r="Y48" s="46">
        <v>-354000000</v>
      </c>
      <c r="Z48" s="45">
        <v>-787000000</v>
      </c>
      <c r="AA48" s="46">
        <v>-328000000</v>
      </c>
      <c r="AC48" s="43">
        <v>-1165069767.421304</v>
      </c>
      <c r="AD48" s="45">
        <v>-1698000000</v>
      </c>
      <c r="AE48" s="45">
        <v>-1600000000</v>
      </c>
      <c r="AF48" s="45">
        <v>-1227000000</v>
      </c>
      <c r="AG48" s="45">
        <v>278000000</v>
      </c>
      <c r="AH48" s="45">
        <v>-293000000</v>
      </c>
      <c r="AI48" s="45">
        <v>517000000</v>
      </c>
    </row>
    <row r="49" spans="1:35">
      <c r="A49" s="42" t="s">
        <v>345</v>
      </c>
      <c r="J49" s="43">
        <v>15073245.72858653</v>
      </c>
      <c r="K49" s="44">
        <v>26186622.25086785</v>
      </c>
      <c r="L49" s="44">
        <v>45054738.96705656</v>
      </c>
      <c r="M49" s="44">
        <v>42340389.76204432</v>
      </c>
      <c r="N49" s="45">
        <v>-84000000</v>
      </c>
      <c r="O49" s="46">
        <v>-111000000</v>
      </c>
      <c r="P49" s="46">
        <v>-107000000</v>
      </c>
      <c r="Q49" s="46">
        <v>-207000000</v>
      </c>
      <c r="R49" s="45">
        <v>-7000000</v>
      </c>
      <c r="S49" s="46">
        <v>-20000000</v>
      </c>
      <c r="T49" s="46">
        <v>-22000000</v>
      </c>
      <c r="U49" s="46">
        <v>-21000000</v>
      </c>
      <c r="V49" s="45">
        <v>-1000000</v>
      </c>
      <c r="W49" s="46">
        <v>-72000000</v>
      </c>
      <c r="X49" s="46">
        <v>-35000000</v>
      </c>
      <c r="Y49" s="46">
        <v>-26000000</v>
      </c>
      <c r="Z49" s="45">
        <v>24000000</v>
      </c>
      <c r="AA49" s="46">
        <v>-21000000</v>
      </c>
      <c r="AD49" s="45">
        <v>-156000000</v>
      </c>
      <c r="AE49" s="45">
        <v>-93000000</v>
      </c>
      <c r="AF49" s="45">
        <v>-288000000</v>
      </c>
      <c r="AG49" s="45">
        <v>-509000000</v>
      </c>
      <c r="AH49" s="45">
        <v>-70000000</v>
      </c>
      <c r="AI49" s="45">
        <v>-134000000</v>
      </c>
    </row>
    <row r="50" spans="1:35">
      <c r="A50" s="42" t="s">
        <v>346</v>
      </c>
      <c r="B50" s="43">
        <v>49368758.36322664</v>
      </c>
      <c r="C50" s="44">
        <v>213420012.0181132</v>
      </c>
      <c r="D50" s="44">
        <v>-326356577.4236668</v>
      </c>
      <c r="E50" s="44">
        <v>-62792786.27143782</v>
      </c>
      <c r="F50" s="43">
        <v>18729996.34698474</v>
      </c>
      <c r="G50" s="44">
        <v>-49036621.04567885</v>
      </c>
      <c r="H50" s="44">
        <v>101130211.59881</v>
      </c>
      <c r="I50" s="44">
        <v>11745894.29700353</v>
      </c>
      <c r="J50" s="43">
        <v>239483578.0599074</v>
      </c>
      <c r="K50" s="44">
        <v>-39919975.45462503</v>
      </c>
      <c r="L50" s="44">
        <v>289831500.2445295</v>
      </c>
      <c r="M50" s="44">
        <v>86908896.24480264</v>
      </c>
      <c r="N50" s="45">
        <v>241000000</v>
      </c>
      <c r="O50" s="44">
        <v>376677314.5498674</v>
      </c>
      <c r="P50" s="44">
        <v>492236432.9942556</v>
      </c>
      <c r="Q50" s="46">
        <v>-173000000</v>
      </c>
      <c r="R50" s="45">
        <v>186000000</v>
      </c>
      <c r="S50" s="46">
        <v>-268000000</v>
      </c>
      <c r="T50" s="46">
        <v>-164000000</v>
      </c>
      <c r="U50" s="46">
        <v>241000000</v>
      </c>
      <c r="V50" s="45">
        <v>-180000000</v>
      </c>
      <c r="W50" s="46">
        <v>-164000000</v>
      </c>
      <c r="X50" s="46">
        <v>25000000</v>
      </c>
      <c r="Y50" s="46">
        <v>134000000</v>
      </c>
      <c r="Z50" s="45">
        <v>393000000</v>
      </c>
      <c r="AA50" s="46">
        <v>-8000000</v>
      </c>
      <c r="AC50" s="43">
        <v>416983709.0631649</v>
      </c>
      <c r="AD50" s="45">
        <v>-456000000</v>
      </c>
      <c r="AE50" s="45">
        <v>-39000000</v>
      </c>
      <c r="AF50" s="45">
        <v>162000000</v>
      </c>
      <c r="AG50" s="45">
        <v>350000000</v>
      </c>
      <c r="AH50" s="45">
        <v>-5000000</v>
      </c>
      <c r="AI50" s="45">
        <v>-185000000</v>
      </c>
    </row>
    <row r="51" spans="1:35">
      <c r="A51" s="42" t="s">
        <v>347</v>
      </c>
      <c r="B51" s="43">
        <v>1103771171.166236</v>
      </c>
      <c r="C51" s="44">
        <v>1074953823.084543</v>
      </c>
      <c r="D51" s="44">
        <v>1186783446.507049</v>
      </c>
      <c r="E51" s="44">
        <v>782991359.4420427</v>
      </c>
      <c r="F51" s="43">
        <v>649132873.9734449</v>
      </c>
      <c r="G51" s="44">
        <v>611810011.8028892</v>
      </c>
      <c r="H51" s="44">
        <v>539893620.4492438</v>
      </c>
      <c r="I51" s="44">
        <v>622827015.9731889</v>
      </c>
      <c r="J51" s="43">
        <v>610407070.9560915</v>
      </c>
      <c r="K51" s="44">
        <v>794714126.6497544</v>
      </c>
      <c r="L51" s="44">
        <v>666879506.694147</v>
      </c>
      <c r="M51" s="44">
        <v>835009040.0422103</v>
      </c>
      <c r="N51" s="45">
        <v>773000000</v>
      </c>
      <c r="O51" s="46">
        <v>1014000000</v>
      </c>
      <c r="P51" s="46">
        <v>1167000000</v>
      </c>
      <c r="Q51" s="46">
        <v>1296000000</v>
      </c>
      <c r="R51" s="45">
        <v>1123000000</v>
      </c>
      <c r="S51" s="46">
        <v>1309000000</v>
      </c>
      <c r="T51" s="46">
        <v>1041000000</v>
      </c>
      <c r="U51" s="46">
        <v>877000000</v>
      </c>
      <c r="V51" s="45">
        <v>1118000000</v>
      </c>
      <c r="W51" s="46">
        <v>938000000</v>
      </c>
      <c r="X51" s="46">
        <v>774000000</v>
      </c>
      <c r="Y51" s="46">
        <v>799000000</v>
      </c>
      <c r="Z51" s="45">
        <v>933000000</v>
      </c>
      <c r="AA51" s="46">
        <v>1326000000</v>
      </c>
      <c r="AC51" s="43">
        <v>1221193327.038086</v>
      </c>
      <c r="AD51" s="45">
        <v>1106000000</v>
      </c>
      <c r="AE51" s="45">
        <v>650000000</v>
      </c>
      <c r="AF51" s="45">
        <v>611000000</v>
      </c>
      <c r="AG51" s="45">
        <v>773000000</v>
      </c>
      <c r="AH51" s="45">
        <v>1123000000</v>
      </c>
      <c r="AI51" s="45">
        <v>1118000000</v>
      </c>
    </row>
    <row r="52" spans="1:35">
      <c r="A52" s="42" t="s">
        <v>348</v>
      </c>
      <c r="B52" s="43">
        <v>1074953823.084543</v>
      </c>
      <c r="C52" s="44">
        <v>1186783446.507049</v>
      </c>
      <c r="D52" s="44">
        <v>782991359.4420427</v>
      </c>
      <c r="E52" s="46">
        <v>650000000</v>
      </c>
      <c r="F52" s="43">
        <v>611810011.8028892</v>
      </c>
      <c r="G52" s="44">
        <v>539893620.4492438</v>
      </c>
      <c r="H52" s="44">
        <v>622827015.9731889</v>
      </c>
      <c r="I52" s="46">
        <v>611000000</v>
      </c>
      <c r="J52" s="43">
        <v>794714126.6497544</v>
      </c>
      <c r="K52" s="44">
        <v>666879506.694147</v>
      </c>
      <c r="L52" s="44">
        <v>835009040.0422103</v>
      </c>
      <c r="M52" s="46">
        <v>773000000</v>
      </c>
      <c r="N52" s="45">
        <v>1014000000</v>
      </c>
      <c r="O52" s="46">
        <v>1167000000</v>
      </c>
      <c r="P52" s="46">
        <v>1296000000</v>
      </c>
      <c r="Q52" s="46">
        <v>1123000000</v>
      </c>
      <c r="R52" s="45">
        <v>1309000000</v>
      </c>
      <c r="S52" s="46">
        <v>1041000000</v>
      </c>
      <c r="T52" s="46">
        <v>877000000</v>
      </c>
      <c r="U52" s="46">
        <v>1118000000</v>
      </c>
      <c r="V52" s="45">
        <v>938000000</v>
      </c>
      <c r="W52" s="46">
        <v>774000000</v>
      </c>
      <c r="X52" s="46">
        <v>799000000</v>
      </c>
      <c r="Y52" s="46">
        <v>933000000</v>
      </c>
      <c r="Z52" s="45">
        <v>1326000000</v>
      </c>
      <c r="AA52" s="46">
        <v>1318000000</v>
      </c>
      <c r="AC52" s="43">
        <v>1103771171.166236</v>
      </c>
      <c r="AD52" s="45">
        <v>650000000</v>
      </c>
      <c r="AE52" s="45">
        <v>611000000</v>
      </c>
      <c r="AF52" s="45">
        <v>773000000</v>
      </c>
      <c r="AG52" s="45">
        <v>1123000000</v>
      </c>
      <c r="AH52" s="45">
        <v>1118000000</v>
      </c>
      <c r="AI52" s="45">
        <v>933000000</v>
      </c>
    </row>
    <row r="54" spans="1:35">
      <c r="A54" s="5" t="s">
        <v>220</v>
      </c>
    </row>
    <row r="55" spans="1:35">
      <c r="A55" s="42" t="s">
        <v>349</v>
      </c>
      <c r="B55" s="43">
        <v>103410614.8960595</v>
      </c>
      <c r="F55" s="43">
        <v>-25383776.71391719</v>
      </c>
      <c r="AC55" s="43">
        <v>-693428618.2153938</v>
      </c>
      <c r="AD55" s="43">
        <v>-1006951629.297126</v>
      </c>
    </row>
    <row r="56" spans="1:35">
      <c r="A56" s="42" t="s">
        <v>350</v>
      </c>
      <c r="D56" s="44">
        <v>-482461531.1101671</v>
      </c>
      <c r="E56" s="44">
        <v>537695266.395995</v>
      </c>
      <c r="F56" s="43">
        <v>-25383776.71391719</v>
      </c>
      <c r="G56" s="44">
        <v>-492409846.4977632</v>
      </c>
      <c r="H56" s="44">
        <v>236347755.6858545</v>
      </c>
      <c r="I56" s="44">
        <v>246166072.8516078</v>
      </c>
      <c r="J56" s="43">
        <v>247784649.9141695</v>
      </c>
      <c r="K56" s="44">
        <v>797407655.8055624</v>
      </c>
      <c r="AC56" s="43">
        <v>-693428618.2153938</v>
      </c>
      <c r="AD56" s="45">
        <v>-1021000000</v>
      </c>
      <c r="AE56" s="45">
        <v>16000000</v>
      </c>
      <c r="AF56" s="45">
        <v>2234000000</v>
      </c>
    </row>
    <row r="57" spans="1:35">
      <c r="A57" s="42" t="s">
        <v>351</v>
      </c>
      <c r="B57" s="43">
        <v>-23121252.26773807</v>
      </c>
      <c r="C57" s="44">
        <v>-34066626.94438617</v>
      </c>
      <c r="D57" s="44">
        <v>-61857543.75436027</v>
      </c>
    </row>
    <row r="58" spans="1:35">
      <c r="A58" s="42" t="s">
        <v>352</v>
      </c>
      <c r="AE58" s="43">
        <v>118447059.0646758</v>
      </c>
      <c r="AF58" s="43">
        <v>141130188.3214591</v>
      </c>
      <c r="AG58" s="43">
        <v>5510011197.767397</v>
      </c>
    </row>
    <row r="59" spans="1:35">
      <c r="A59" s="42" t="s">
        <v>223</v>
      </c>
      <c r="AE59" s="45">
        <v>115000000</v>
      </c>
      <c r="AF59" s="45">
        <v>123000000</v>
      </c>
      <c r="AG59" s="45">
        <v>2288000000</v>
      </c>
    </row>
    <row r="60" spans="1:35">
      <c r="A60" s="42" t="s">
        <v>353</v>
      </c>
      <c r="AC60" s="43">
        <v>860662519.0702401</v>
      </c>
      <c r="AD60" s="45">
        <v>53000000</v>
      </c>
      <c r="AE60" s="45">
        <v>115000000</v>
      </c>
      <c r="AF60" s="45">
        <v>123000000</v>
      </c>
    </row>
    <row r="61" spans="1:35">
      <c r="A61" s="42" t="s">
        <v>354</v>
      </c>
      <c r="AC61" s="43">
        <v>860662519.0702401</v>
      </c>
    </row>
    <row r="62" spans="1:35">
      <c r="A62" s="42" t="s">
        <v>355</v>
      </c>
      <c r="AC62" s="43">
        <v>860662519.0702401</v>
      </c>
      <c r="AD62" s="43">
        <v>-97140482.02986063</v>
      </c>
    </row>
    <row r="63" spans="1:35">
      <c r="A63" s="42" t="s">
        <v>356</v>
      </c>
      <c r="AD63" s="45">
        <v>224000000</v>
      </c>
      <c r="AE63" s="45">
        <v>440000000</v>
      </c>
      <c r="AF63" s="45">
        <v>-73000000</v>
      </c>
    </row>
    <row r="64" spans="1:35">
      <c r="A64" s="42" t="s">
        <v>357</v>
      </c>
      <c r="B64" s="43">
        <v>160220508.6722131</v>
      </c>
      <c r="C64" s="44">
        <v>-112567984.6857978</v>
      </c>
      <c r="D64" s="44">
        <v>91352531.5047837</v>
      </c>
      <c r="E64" s="44">
        <v>-72343590.31511261</v>
      </c>
      <c r="F64" s="43">
        <v>43085769.6425813</v>
      </c>
      <c r="G64" s="44">
        <v>121074791.4900362</v>
      </c>
      <c r="H64" s="44">
        <v>102539799.4499685</v>
      </c>
      <c r="I64" s="44">
        <v>83425711.95185301</v>
      </c>
      <c r="J64" s="43">
        <v>7175502.789277345</v>
      </c>
      <c r="K64" s="44">
        <v>118963052.7829163</v>
      </c>
      <c r="L64" s="44">
        <v>-146177105.7809692</v>
      </c>
      <c r="AC64" s="43">
        <v>-123379147.4753954</v>
      </c>
      <c r="AD64" s="43">
        <v>44564667.20476602</v>
      </c>
      <c r="AE64" s="43">
        <v>352837144.5010631</v>
      </c>
    </row>
    <row r="65" spans="1:35">
      <c r="A65" s="42" t="s">
        <v>358</v>
      </c>
      <c r="B65" s="43">
        <v>2393538.086871476</v>
      </c>
      <c r="C65" s="44">
        <v>2266171.270648298</v>
      </c>
      <c r="D65" s="44">
        <v>928545.9106614786</v>
      </c>
    </row>
    <row r="66" spans="1:35">
      <c r="A66" s="42" t="s">
        <v>359</v>
      </c>
      <c r="B66" s="43">
        <v>-7457417.984946504</v>
      </c>
      <c r="C66" s="44">
        <v>-40450416.6022255</v>
      </c>
      <c r="D66" s="44">
        <v>0</v>
      </c>
      <c r="E66" s="44">
        <v>-5675477.795586854</v>
      </c>
      <c r="AC66" s="43">
        <v>-10345650.01561659</v>
      </c>
      <c r="AD66" s="43">
        <v>-51654178.3731984</v>
      </c>
    </row>
    <row r="67" spans="1:35">
      <c r="A67" s="42" t="s">
        <v>360</v>
      </c>
      <c r="B67" s="43">
        <v>-103492027.7561572</v>
      </c>
      <c r="C67" s="44">
        <v>-87047637.63137285</v>
      </c>
      <c r="D67" s="44">
        <v>0</v>
      </c>
    </row>
    <row r="68" spans="1:35">
      <c r="A68" s="42" t="s">
        <v>361</v>
      </c>
      <c r="E68" s="44">
        <v>0</v>
      </c>
      <c r="F68" s="43">
        <v>-20955454.296536</v>
      </c>
      <c r="G68" s="44">
        <v>0</v>
      </c>
      <c r="H68" s="44">
        <v>0</v>
      </c>
      <c r="I68" s="44">
        <v>0</v>
      </c>
      <c r="AD68" s="45">
        <v>29000000</v>
      </c>
      <c r="AE68" s="45">
        <v>-21000000</v>
      </c>
    </row>
    <row r="69" spans="1:35">
      <c r="A69" s="42" t="s">
        <v>362</v>
      </c>
      <c r="H69" s="44">
        <v>-24981600.74899895</v>
      </c>
      <c r="I69" s="44">
        <v>0</v>
      </c>
      <c r="AE69" s="43">
        <v>-58381837.87083729</v>
      </c>
    </row>
    <row r="70" spans="1:35">
      <c r="A70" s="42" t="s">
        <v>363</v>
      </c>
      <c r="B70" s="43">
        <v>-103492027.7561572</v>
      </c>
      <c r="C70" s="44">
        <v>-87047637.63137285</v>
      </c>
      <c r="D70" s="44">
        <v>0</v>
      </c>
      <c r="E70" s="44">
        <v>0</v>
      </c>
      <c r="H70" s="44">
        <v>-10566764.4024802</v>
      </c>
      <c r="I70" s="44">
        <v>-5325469.024488887</v>
      </c>
      <c r="AC70" s="43">
        <v>-16162481.3496982</v>
      </c>
      <c r="AD70" s="43">
        <v>-173451980.2468669</v>
      </c>
      <c r="AE70" s="43">
        <v>-21400010.49365346</v>
      </c>
    </row>
    <row r="71" spans="1:35">
      <c r="A71" s="42" t="s">
        <v>364</v>
      </c>
      <c r="AE71" s="45">
        <v>-21000000</v>
      </c>
    </row>
    <row r="72" spans="1:35">
      <c r="A72" s="42" t="s">
        <v>365</v>
      </c>
      <c r="E72" s="44">
        <v>0</v>
      </c>
      <c r="AD72" s="45">
        <v>-18000000</v>
      </c>
    </row>
    <row r="73" spans="1:35">
      <c r="A73" s="42" t="s">
        <v>366</v>
      </c>
      <c r="AC73" s="43">
        <v>-16162481.3496982</v>
      </c>
    </row>
    <row r="74" spans="1:35">
      <c r="A74" s="42" t="s">
        <v>367</v>
      </c>
      <c r="AI74" s="45">
        <v>-335000000</v>
      </c>
    </row>
    <row r="75" spans="1:35">
      <c r="A75" s="42" t="s">
        <v>368</v>
      </c>
      <c r="AD75" s="45">
        <v>-192000000</v>
      </c>
      <c r="AE75" s="45">
        <v>-21000000</v>
      </c>
    </row>
    <row r="76" spans="1:35">
      <c r="A76" s="42" t="s">
        <v>369</v>
      </c>
      <c r="B76" s="43">
        <v>-21997754.79839024</v>
      </c>
      <c r="C76" s="44">
        <v>-4265734.156514443</v>
      </c>
      <c r="D76" s="44">
        <v>-3823424.338017853</v>
      </c>
      <c r="E76" s="44">
        <v>-11050930.33325722</v>
      </c>
      <c r="F76" s="43">
        <v>-20571365.10727334</v>
      </c>
      <c r="G76" s="44">
        <v>-9930793.886611324</v>
      </c>
      <c r="H76" s="44">
        <v>-14126745.39883672</v>
      </c>
      <c r="I76" s="44">
        <v>-40204802.59796377</v>
      </c>
      <c r="J76" s="43">
        <v>-30108972.48834023</v>
      </c>
      <c r="K76" s="44">
        <v>-31612144.50420402</v>
      </c>
      <c r="L76" s="44">
        <v>-47415170.60907654</v>
      </c>
      <c r="M76" s="44">
        <v>-57171870.3157167</v>
      </c>
      <c r="N76" s="43">
        <v>-49030719.88841833</v>
      </c>
      <c r="O76" s="44">
        <v>-60797979.07242569</v>
      </c>
      <c r="AC76" s="43">
        <v>-101005121.2368029</v>
      </c>
      <c r="AD76" s="45">
        <v>-33000000</v>
      </c>
      <c r="AE76" s="45">
        <v>-81000000</v>
      </c>
      <c r="AF76" s="45">
        <v>-159000000</v>
      </c>
    </row>
    <row r="77" spans="1:35">
      <c r="A77" s="42" t="s">
        <v>370</v>
      </c>
      <c r="B77" s="43">
        <v>4021795.288824862</v>
      </c>
      <c r="C77" s="44">
        <v>11212363.73778275</v>
      </c>
      <c r="D77" s="44">
        <v>27719826.45062944</v>
      </c>
    </row>
    <row r="78" spans="1:35">
      <c r="A78" s="42" t="s">
        <v>371</v>
      </c>
      <c r="B78" s="43">
        <v>4021795.288824862</v>
      </c>
      <c r="C78" s="44">
        <v>11212363.73778275</v>
      </c>
      <c r="F78" s="43">
        <v>135560.8903279957</v>
      </c>
      <c r="G78" s="44">
        <v>5353900.669845119</v>
      </c>
      <c r="AC78" s="43">
        <v>15746993.3972638</v>
      </c>
      <c r="AD78" s="43">
        <v>53256407.89726412</v>
      </c>
    </row>
    <row r="79" spans="1:35">
      <c r="A79" s="42" t="s">
        <v>372</v>
      </c>
      <c r="D79" s="44">
        <v>37046250.81800869</v>
      </c>
      <c r="E79" s="44">
        <v>93095337.32100287</v>
      </c>
      <c r="F79" s="43">
        <v>104562633.4063273</v>
      </c>
      <c r="G79" s="44">
        <v>120106193.158116</v>
      </c>
      <c r="H79" s="44">
        <v>102601533.2244718</v>
      </c>
      <c r="I79" s="44">
        <v>80748046.21804458</v>
      </c>
      <c r="J79" s="43">
        <v>32575844.68909832</v>
      </c>
      <c r="K79" s="44">
        <v>194810158.4088518</v>
      </c>
      <c r="L79" s="44">
        <v>168239765.2849748</v>
      </c>
      <c r="M79" s="44">
        <v>252869645.5613638</v>
      </c>
      <c r="N79" s="45">
        <v>128000000</v>
      </c>
      <c r="O79" s="46">
        <v>199000000</v>
      </c>
      <c r="P79" s="46">
        <v>224000000</v>
      </c>
      <c r="Q79" s="46">
        <v>32000000</v>
      </c>
      <c r="R79" s="45">
        <v>84000000</v>
      </c>
      <c r="S79" s="46">
        <v>28000000</v>
      </c>
      <c r="T79" s="46">
        <v>93000000</v>
      </c>
      <c r="U79" s="46">
        <v>24000000</v>
      </c>
      <c r="V79" s="45">
        <v>97000000</v>
      </c>
      <c r="W79" s="46">
        <v>51000000</v>
      </c>
      <c r="X79" s="46">
        <v>62000000</v>
      </c>
      <c r="Y79" s="46">
        <v>11000000</v>
      </c>
      <c r="Z79" s="45">
        <v>49000000</v>
      </c>
      <c r="AC79" s="43">
        <v>19881098.52398609</v>
      </c>
      <c r="AD79" s="45">
        <v>557000000</v>
      </c>
      <c r="AE79" s="45">
        <v>406000000</v>
      </c>
      <c r="AF79" s="45">
        <v>643000000</v>
      </c>
      <c r="AG79" s="45">
        <v>583000000</v>
      </c>
      <c r="AH79" s="45">
        <v>229000000</v>
      </c>
      <c r="AI79" s="45">
        <v>221000000</v>
      </c>
    </row>
    <row r="80" spans="1:35">
      <c r="A80" s="42" t="s">
        <v>373</v>
      </c>
      <c r="D80" s="44">
        <v>-125517558.9823575</v>
      </c>
      <c r="E80" s="44">
        <v>-224031360.2967225</v>
      </c>
      <c r="F80" s="43">
        <v>-147919524.8295646</v>
      </c>
      <c r="G80" s="44">
        <v>-190622280.5094557</v>
      </c>
      <c r="H80" s="44">
        <v>-208701313.6707968</v>
      </c>
      <c r="I80" s="44">
        <v>-47003485.48343275</v>
      </c>
      <c r="J80" s="43">
        <v>-88253994.43700723</v>
      </c>
      <c r="K80" s="44">
        <v>-415188090.4365502</v>
      </c>
      <c r="L80" s="44">
        <v>-139818693.0452778</v>
      </c>
      <c r="M80" s="44">
        <v>-96666936.50920381</v>
      </c>
      <c r="N80" s="45">
        <v>-82000000</v>
      </c>
      <c r="O80" s="46">
        <v>-121000000</v>
      </c>
      <c r="P80" s="46">
        <v>-73000000</v>
      </c>
      <c r="Q80" s="46">
        <v>-61000000</v>
      </c>
      <c r="R80" s="45">
        <v>-130000000</v>
      </c>
      <c r="S80" s="46">
        <v>-50000000</v>
      </c>
      <c r="T80" s="46">
        <v>-42000000</v>
      </c>
      <c r="U80" s="46">
        <v>-33000000</v>
      </c>
      <c r="Y80" s="46">
        <v>-13000000</v>
      </c>
      <c r="Z80" s="45">
        <v>-145000000</v>
      </c>
      <c r="AD80" s="45">
        <v>-641000000</v>
      </c>
      <c r="AE80" s="45">
        <v>-594000000</v>
      </c>
      <c r="AF80" s="45">
        <v>-740000000</v>
      </c>
      <c r="AG80" s="45">
        <v>-337000000</v>
      </c>
      <c r="AH80" s="45">
        <v>-255000000</v>
      </c>
      <c r="AI80" s="45">
        <v>-74000000</v>
      </c>
    </row>
    <row r="81" spans="1:33">
      <c r="A81" s="42" t="s">
        <v>374</v>
      </c>
      <c r="F81" s="43">
        <v>-147919524.8295646</v>
      </c>
      <c r="G81" s="44">
        <v>-190622280.5094557</v>
      </c>
      <c r="H81" s="44">
        <v>-208701313.6707968</v>
      </c>
      <c r="J81" s="43">
        <v>-88253994.43700723</v>
      </c>
      <c r="K81" s="44">
        <v>-415188090.4365502</v>
      </c>
      <c r="L81" s="44">
        <v>-139818693.0452778</v>
      </c>
    </row>
    <row r="82" spans="1:33">
      <c r="A82" s="42" t="s">
        <v>375</v>
      </c>
      <c r="J82" s="43">
        <v>1660214.370852405</v>
      </c>
      <c r="K82" s="44">
        <v>1797204.246417606</v>
      </c>
      <c r="L82" s="44">
        <v>2463700.526358364</v>
      </c>
      <c r="M82" s="44">
        <v>1956545.707662981</v>
      </c>
      <c r="N82" s="45">
        <v>2000000</v>
      </c>
      <c r="O82" s="46">
        <v>10000000</v>
      </c>
      <c r="P82" s="44">
        <v>1952059.932755746</v>
      </c>
      <c r="R82" s="45">
        <v>2000000</v>
      </c>
      <c r="S82" s="46">
        <v>2000000</v>
      </c>
      <c r="AD82" s="45">
        <v>217000000</v>
      </c>
      <c r="AE82" s="45">
        <v>48000000</v>
      </c>
      <c r="AF82" s="45">
        <v>8000000</v>
      </c>
    </row>
    <row r="83" spans="1:33">
      <c r="A83" s="42" t="s">
        <v>376</v>
      </c>
      <c r="B83" s="43">
        <v>103492027.7561572</v>
      </c>
      <c r="AC83" s="43">
        <v>7935819.891497062</v>
      </c>
      <c r="AD83" s="43">
        <v>196620502.745304</v>
      </c>
    </row>
    <row r="84" spans="1:33">
      <c r="A84" s="42" t="s">
        <v>377</v>
      </c>
      <c r="AF84" s="45">
        <v>-18000000</v>
      </c>
    </row>
    <row r="85" spans="1:33">
      <c r="A85" s="42" t="s">
        <v>378</v>
      </c>
      <c r="D85" s="44">
        <v>-125517558.9823575</v>
      </c>
    </row>
    <row r="86" spans="1:33">
      <c r="A86" s="42" t="s">
        <v>379</v>
      </c>
      <c r="H86" s="44">
        <v>14157612.28608836</v>
      </c>
      <c r="J86" s="43">
        <v>1660214.370852405</v>
      </c>
      <c r="K86" s="44">
        <v>1797204.246417606</v>
      </c>
      <c r="L86" s="44">
        <v>2463700.526358364</v>
      </c>
    </row>
    <row r="87" spans="1:33">
      <c r="A87" s="42" t="s">
        <v>380</v>
      </c>
      <c r="AC87" s="43">
        <v>7935819.891497062</v>
      </c>
    </row>
    <row r="88" spans="1:33">
      <c r="A88" s="42" t="s">
        <v>381</v>
      </c>
      <c r="B88" s="43">
        <v>103492027.7561572</v>
      </c>
      <c r="C88" s="44">
        <v>111249754.3388194</v>
      </c>
      <c r="D88" s="44">
        <v>0</v>
      </c>
    </row>
    <row r="89" spans="1:33">
      <c r="A89" s="42" t="s">
        <v>382</v>
      </c>
      <c r="AE89" s="45">
        <v>41000000</v>
      </c>
      <c r="AF89" s="45">
        <v>99000000</v>
      </c>
      <c r="AG89" s="45">
        <v>85000000</v>
      </c>
    </row>
    <row r="90" spans="1:33">
      <c r="A90" s="42" t="s">
        <v>383</v>
      </c>
      <c r="AE90" s="45">
        <v>48000000</v>
      </c>
      <c r="AF90" s="45">
        <v>8000000</v>
      </c>
      <c r="AG90" s="45">
        <v>15000000</v>
      </c>
    </row>
    <row r="91" spans="1:33">
      <c r="A91" s="42" t="s">
        <v>384</v>
      </c>
      <c r="E91" s="44">
        <v>0</v>
      </c>
      <c r="I91" s="44">
        <v>14831680.08689428</v>
      </c>
      <c r="AC91" s="43">
        <v>7935819.891497062</v>
      </c>
      <c r="AD91" s="43">
        <v>196620502.745304</v>
      </c>
      <c r="AE91" s="43">
        <v>47345155.9594103</v>
      </c>
    </row>
    <row r="92" spans="1:33">
      <c r="A92" s="42" t="s">
        <v>385</v>
      </c>
      <c r="AC92" s="43">
        <v>-1941492104.135469</v>
      </c>
    </row>
    <row r="93" spans="1:33">
      <c r="A93" s="42" t="s">
        <v>386</v>
      </c>
      <c r="AC93" s="43">
        <v>-12111473.81346279</v>
      </c>
    </row>
    <row r="94" spans="1:33">
      <c r="A94" s="42" t="s">
        <v>387</v>
      </c>
      <c r="D94" s="44">
        <v>-250625465.3570703</v>
      </c>
      <c r="AE94" s="45">
        <v>-615000000</v>
      </c>
      <c r="AF94" s="45">
        <v>-543000000</v>
      </c>
      <c r="AG94" s="45">
        <v>-623000000</v>
      </c>
    </row>
    <row r="95" spans="1:33">
      <c r="A95" s="42" t="s">
        <v>388</v>
      </c>
      <c r="B95" s="43">
        <v>-4298599.013156937</v>
      </c>
      <c r="C95" s="44">
        <v>-2606837.54009216</v>
      </c>
      <c r="D95" s="44">
        <v>-2294054.602810712</v>
      </c>
    </row>
    <row r="96" spans="1:33">
      <c r="A96" s="42" t="s">
        <v>389</v>
      </c>
      <c r="B96" s="43">
        <v>69152083.36696027</v>
      </c>
      <c r="C96" s="44">
        <v>53988197.91838592</v>
      </c>
      <c r="D96" s="44">
        <v>17191754.43415885</v>
      </c>
      <c r="F96" s="43">
        <v>10415595.07353434</v>
      </c>
    </row>
    <row r="97" spans="1:34">
      <c r="A97" s="42" t="s">
        <v>390</v>
      </c>
      <c r="AC97" s="43">
        <v>-47781114.52995612</v>
      </c>
    </row>
    <row r="98" spans="1:34">
      <c r="A98" s="42" t="s">
        <v>391</v>
      </c>
      <c r="AE98" s="45">
        <v>-1000000</v>
      </c>
      <c r="AF98" s="45">
        <v>-8000000</v>
      </c>
      <c r="AG98" s="45">
        <v>-8000000</v>
      </c>
    </row>
    <row r="99" spans="1:34">
      <c r="A99" s="42" t="s">
        <v>392</v>
      </c>
      <c r="D99" s="44">
        <v>17191754.43415885</v>
      </c>
      <c r="E99" s="44">
        <v>5300446.223191246</v>
      </c>
      <c r="F99" s="43">
        <v>10415595.07353434</v>
      </c>
      <c r="G99" s="44">
        <v>6311855.064052</v>
      </c>
      <c r="H99" s="44">
        <v>3385068.635263861</v>
      </c>
      <c r="I99" s="44">
        <v>8490887.996054243</v>
      </c>
      <c r="J99" s="43">
        <v>15073245.72858653</v>
      </c>
      <c r="K99" s="44">
        <v>26186622.25086785</v>
      </c>
      <c r="L99" s="44">
        <v>45054738.96705656</v>
      </c>
      <c r="AC99" s="43">
        <v>475650607.9469024</v>
      </c>
      <c r="AD99" s="43">
        <v>135764138.8754803</v>
      </c>
      <c r="AE99" s="43">
        <v>28375530.13833991</v>
      </c>
    </row>
    <row r="100" spans="1:34">
      <c r="A100" s="42" t="s">
        <v>393</v>
      </c>
      <c r="AC100" s="43">
        <v>475650607.9469024</v>
      </c>
      <c r="AD100" s="43">
        <v>135764138.8754803</v>
      </c>
    </row>
    <row r="101" spans="1:34">
      <c r="A101" s="42" t="s">
        <v>394</v>
      </c>
      <c r="D101" s="44">
        <v>-326356577.4236668</v>
      </c>
      <c r="E101" s="44">
        <v>-62792786.27143782</v>
      </c>
      <c r="AC101" s="43">
        <v>416983709.0631649</v>
      </c>
      <c r="AD101" s="43">
        <v>-162803534.4718814</v>
      </c>
    </row>
    <row r="102" spans="1:34">
      <c r="A102" s="42" t="s">
        <v>395</v>
      </c>
      <c r="B102" s="43">
        <v>1125646768.854414</v>
      </c>
      <c r="C102" s="44">
        <v>213420012.0181132</v>
      </c>
      <c r="D102" s="44">
        <v>-326356577.4236668</v>
      </c>
    </row>
    <row r="103" spans="1:34">
      <c r="A103" s="42" t="s">
        <v>396</v>
      </c>
      <c r="AE103" s="43">
        <v>382664592.7554916</v>
      </c>
      <c r="AF103" s="43">
        <v>717866855.7752409</v>
      </c>
      <c r="AG103" s="43">
        <v>1454614040.455146</v>
      </c>
      <c r="AH103" s="43">
        <v>540001583.7577196</v>
      </c>
    </row>
    <row r="104" spans="1:34">
      <c r="A104" s="42" t="s">
        <v>397</v>
      </c>
      <c r="AH104" s="43">
        <v>20432049.07127952</v>
      </c>
    </row>
    <row r="105" spans="1:34">
      <c r="A105" s="42" t="s">
        <v>398</v>
      </c>
      <c r="AE105" s="43">
        <v>35235317.17957003</v>
      </c>
      <c r="AF105" s="43">
        <v>362441195.0907044</v>
      </c>
      <c r="AG105" s="43">
        <v>1397226232.136213</v>
      </c>
      <c r="AH105" s="43">
        <v>192210625.3877165</v>
      </c>
    </row>
    <row r="106" spans="1:34">
      <c r="A106" s="42" t="s">
        <v>399</v>
      </c>
      <c r="AE106" s="43">
        <v>291909189.3541864</v>
      </c>
      <c r="AF106" s="43">
        <v>347161728.7803277</v>
      </c>
      <c r="AG106" s="43">
        <v>788026010.9492229</v>
      </c>
      <c r="AH106" s="43">
        <v>480458223.37152</v>
      </c>
    </row>
    <row r="107" spans="1:34">
      <c r="A107" s="42" t="s">
        <v>400</v>
      </c>
      <c r="AE107" s="43">
        <v>43831093.27264518</v>
      </c>
      <c r="AF107" s="43">
        <v>56974410.9688682</v>
      </c>
      <c r="AG107" s="43">
        <v>69913873.29636173</v>
      </c>
      <c r="AH107" s="43">
        <v>59751114.28342447</v>
      </c>
    </row>
    <row r="108" spans="1:34">
      <c r="A108" s="42" t="s">
        <v>401</v>
      </c>
      <c r="AE108" s="43">
        <v>10731568.684133</v>
      </c>
      <c r="AF108" s="43">
        <v>13709395.83738058</v>
      </c>
      <c r="AG108" s="43">
        <v>12379301.81829252</v>
      </c>
      <c r="AH108" s="43">
        <v>8997930.632963672</v>
      </c>
    </row>
    <row r="109" spans="1:34">
      <c r="A109" s="42" t="s">
        <v>402</v>
      </c>
      <c r="AF109" s="43">
        <v>635687.0695545182</v>
      </c>
    </row>
    <row r="111" spans="1:34">
      <c r="A111" s="6" t="s">
        <v>230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0054EB"/>
  </sheetPr>
  <dimension ref="A1:AK80"/>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62.7109375" customWidth="1"/>
    <col min="2" max="36" width="19.7109375" customWidth="1"/>
  </cols>
  <sheetData>
    <row r="1" spans="1:37">
      <c r="A1" s="1" t="s">
        <v>64</v>
      </c>
    </row>
    <row r="2" spans="1:37">
      <c r="A2" s="2" t="s">
        <v>403</v>
      </c>
    </row>
    <row r="4" spans="1:37">
      <c r="A4" s="40"/>
      <c r="B4" s="41" t="s">
        <v>159</v>
      </c>
      <c r="C4" s="41" t="s">
        <v>160</v>
      </c>
      <c r="D4" s="41" t="s">
        <v>161</v>
      </c>
      <c r="E4" s="41" t="s">
        <v>162</v>
      </c>
      <c r="F4" s="41" t="s">
        <v>163</v>
      </c>
      <c r="G4" s="41" t="s">
        <v>164</v>
      </c>
      <c r="H4" s="41" t="s">
        <v>165</v>
      </c>
      <c r="I4" s="41" t="s">
        <v>166</v>
      </c>
      <c r="J4" s="41" t="s">
        <v>167</v>
      </c>
      <c r="K4" s="41" t="s">
        <v>168</v>
      </c>
      <c r="L4" s="41" t="s">
        <v>169</v>
      </c>
      <c r="M4" s="41" t="s">
        <v>170</v>
      </c>
      <c r="N4" s="41" t="s">
        <v>171</v>
      </c>
      <c r="O4" s="41" t="s">
        <v>172</v>
      </c>
      <c r="P4" s="41" t="s">
        <v>173</v>
      </c>
      <c r="Q4" s="41" t="s">
        <v>174</v>
      </c>
      <c r="R4" s="41" t="s">
        <v>175</v>
      </c>
      <c r="S4" s="41" t="s">
        <v>176</v>
      </c>
      <c r="T4" s="41" t="s">
        <v>177</v>
      </c>
      <c r="U4" s="41" t="s">
        <v>178</v>
      </c>
      <c r="V4" s="41" t="s">
        <v>179</v>
      </c>
      <c r="W4" s="41" t="s">
        <v>180</v>
      </c>
      <c r="X4" s="41" t="s">
        <v>181</v>
      </c>
      <c r="Y4" s="41" t="s">
        <v>182</v>
      </c>
      <c r="Z4" s="41" t="s">
        <v>183</v>
      </c>
      <c r="AA4" s="41" t="s">
        <v>184</v>
      </c>
      <c r="AC4" s="41" t="s">
        <v>185</v>
      </c>
      <c r="AD4" s="41" t="s">
        <v>186</v>
      </c>
      <c r="AE4" s="41" t="s">
        <v>187</v>
      </c>
      <c r="AF4" s="41" t="s">
        <v>188</v>
      </c>
      <c r="AG4" s="41" t="s">
        <v>189</v>
      </c>
      <c r="AH4" s="41" t="s">
        <v>190</v>
      </c>
      <c r="AI4" s="41" t="s">
        <v>191</v>
      </c>
    </row>
    <row r="5" spans="1:37">
      <c r="A5" s="5" t="s">
        <v>404</v>
      </c>
    </row>
    <row r="6" spans="1:37">
      <c r="A6" s="42" t="s">
        <v>405</v>
      </c>
      <c r="B6" s="49">
        <f>IFERROR('Resultados'!B7/'Resultados'!B5,"")</f>
        <v/>
      </c>
      <c r="C6" s="49">
        <f>IFERROR('Resultados'!C7/'Resultados'!C5,"")</f>
        <v/>
      </c>
      <c r="D6" s="49">
        <f>IFERROR('Resultados'!D7/'Resultados'!D5,"")</f>
        <v/>
      </c>
      <c r="E6" s="49">
        <f>IFERROR('Resultados'!E7/'Resultados'!E5,"")</f>
        <v/>
      </c>
      <c r="F6" s="49">
        <f>IFERROR('Resultados'!F7/'Resultados'!F5,"")</f>
        <v/>
      </c>
      <c r="G6" s="49">
        <f>IFERROR('Resultados'!G7/'Resultados'!G5,"")</f>
        <v/>
      </c>
      <c r="H6" s="49">
        <f>IFERROR('Resultados'!H7/'Resultados'!H5,"")</f>
        <v/>
      </c>
      <c r="I6" s="49">
        <f>IFERROR('Resultados'!I7/'Resultados'!I5,"")</f>
        <v/>
      </c>
      <c r="J6" s="49">
        <f>IFERROR('Resultados'!J7/'Resultados'!J5,"")</f>
        <v/>
      </c>
      <c r="K6" s="49">
        <f>IFERROR('Resultados'!K7/'Resultados'!K5,"")</f>
        <v/>
      </c>
      <c r="L6" s="49">
        <f>IFERROR('Resultados'!L7/'Resultados'!L5,"")</f>
        <v/>
      </c>
      <c r="M6" s="49">
        <f>IFERROR('Resultados'!M7/'Resultados'!M5,"")</f>
        <v/>
      </c>
      <c r="N6" s="49">
        <f>IFERROR('Resultados'!N7/'Resultados'!N5,"")</f>
        <v/>
      </c>
      <c r="O6" s="49">
        <f>IFERROR('Resultados'!O7/'Resultados'!O5,"")</f>
        <v/>
      </c>
      <c r="P6" s="49">
        <f>IFERROR('Resultados'!P7/'Resultados'!P5,"")</f>
        <v/>
      </c>
      <c r="Q6" s="49">
        <f>IFERROR('Resultados'!Q7/'Resultados'!Q5,"")</f>
        <v/>
      </c>
      <c r="R6" s="49">
        <f>IFERROR('Resultados'!R7/'Resultados'!R5,"")</f>
        <v/>
      </c>
      <c r="S6" s="49">
        <f>IFERROR('Resultados'!S7/'Resultados'!S5,"")</f>
        <v/>
      </c>
      <c r="T6" s="49">
        <f>IFERROR('Resultados'!T7/'Resultados'!T5,"")</f>
        <v/>
      </c>
      <c r="U6" s="49">
        <f>IFERROR('Resultados'!U7/'Resultados'!U5,"")</f>
        <v/>
      </c>
      <c r="V6" s="49">
        <f>IFERROR('Resultados'!V7/'Resultados'!V5,"")</f>
        <v/>
      </c>
      <c r="W6" s="49">
        <f>IFERROR('Resultados'!W7/'Resultados'!W5,"")</f>
        <v/>
      </c>
      <c r="X6" s="49">
        <f>IFERROR('Resultados'!X7/'Resultados'!X5,"")</f>
        <v/>
      </c>
      <c r="Y6" s="49">
        <f>IFERROR('Resultados'!Y7/'Resultados'!Y5,"")</f>
        <v/>
      </c>
      <c r="Z6" s="49">
        <f>IFERROR('Resultados'!Z7/'Resultados'!Z5,"")</f>
        <v/>
      </c>
      <c r="AA6" s="49">
        <f>IFERROR('Resultados'!AA7/'Resultados'!AA5,"")</f>
        <v/>
      </c>
      <c r="AC6" s="49">
        <f>IFERROR('Resultados'!AC7/'Resultados'!AC5,"")</f>
        <v/>
      </c>
      <c r="AD6" s="49">
        <f>IFERROR('Resultados'!AD7/'Resultados'!AD5,"")</f>
        <v/>
      </c>
      <c r="AE6" s="49">
        <f>IFERROR('Resultados'!AE7/'Resultados'!AE5,"")</f>
        <v/>
      </c>
      <c r="AF6" s="49">
        <f>IFERROR('Resultados'!AF7/'Resultados'!AF5,"")</f>
        <v/>
      </c>
      <c r="AG6" s="49">
        <f>IFERROR('Resultados'!AG7/'Resultados'!AG5,"")</f>
        <v/>
      </c>
      <c r="AH6" s="49">
        <f>IFERROR('Resultados'!AH7/'Resultados'!AH5,"")</f>
        <v/>
      </c>
      <c r="AI6" s="49">
        <f>IFERROR('Resultados'!AI7/'Resultados'!AI5,"")</f>
        <v/>
      </c>
    </row>
    <row r="7" spans="1:37">
      <c r="A7" s="42" t="s">
        <v>406</v>
      </c>
      <c r="B7" s="49">
        <f>IFERROR('Resultados'!B13/'Resultados'!B5,"")</f>
        <v/>
      </c>
      <c r="C7" s="49">
        <f>IFERROR('Resultados'!C13/'Resultados'!C5,"")</f>
        <v/>
      </c>
      <c r="D7" s="49">
        <f>IFERROR('Resultados'!D13/'Resultados'!D5,"")</f>
        <v/>
      </c>
      <c r="E7" s="49">
        <f>IFERROR('Resultados'!E13/'Resultados'!E5,"")</f>
        <v/>
      </c>
      <c r="F7" s="49">
        <f>IFERROR('Resultados'!F13/'Resultados'!F5,"")</f>
        <v/>
      </c>
      <c r="G7" s="49">
        <f>IFERROR('Resultados'!G13/'Resultados'!G5,"")</f>
        <v/>
      </c>
      <c r="H7" s="49">
        <f>IFERROR('Resultados'!H13/'Resultados'!H5,"")</f>
        <v/>
      </c>
      <c r="I7" s="49">
        <f>IFERROR('Resultados'!I13/'Resultados'!I5,"")</f>
        <v/>
      </c>
      <c r="J7" s="49">
        <f>IFERROR('Resultados'!J13/'Resultados'!J5,"")</f>
        <v/>
      </c>
      <c r="K7" s="49">
        <f>IFERROR('Resultados'!K13/'Resultados'!K5,"")</f>
        <v/>
      </c>
      <c r="L7" s="49">
        <f>IFERROR('Resultados'!L13/'Resultados'!L5,"")</f>
        <v/>
      </c>
      <c r="M7" s="49">
        <f>IFERROR('Resultados'!M13/'Resultados'!M5,"")</f>
        <v/>
      </c>
      <c r="N7" s="49">
        <f>IFERROR('Resultados'!N13/'Resultados'!N5,"")</f>
        <v/>
      </c>
      <c r="O7" s="49">
        <f>IFERROR('Resultados'!O13/'Resultados'!O5,"")</f>
        <v/>
      </c>
      <c r="P7" s="49">
        <f>IFERROR('Resultados'!P13/'Resultados'!P5,"")</f>
        <v/>
      </c>
      <c r="Q7" s="49">
        <f>IFERROR('Resultados'!Q13/'Resultados'!Q5,"")</f>
        <v/>
      </c>
      <c r="R7" s="49">
        <f>IFERROR('Resultados'!R13/'Resultados'!R5,"")</f>
        <v/>
      </c>
      <c r="S7" s="49">
        <f>IFERROR('Resultados'!S13/'Resultados'!S5,"")</f>
        <v/>
      </c>
      <c r="T7" s="49">
        <f>IFERROR('Resultados'!T13/'Resultados'!T5,"")</f>
        <v/>
      </c>
      <c r="U7" s="49">
        <f>IFERROR('Resultados'!U13/'Resultados'!U5,"")</f>
        <v/>
      </c>
      <c r="V7" s="49">
        <f>IFERROR('Resultados'!V13/'Resultados'!V5,"")</f>
        <v/>
      </c>
      <c r="W7" s="49">
        <f>IFERROR('Resultados'!W13/'Resultados'!W5,"")</f>
        <v/>
      </c>
      <c r="X7" s="49">
        <f>IFERROR('Resultados'!X13/'Resultados'!X5,"")</f>
        <v/>
      </c>
      <c r="Y7" s="49">
        <f>IFERROR('Resultados'!Y13/'Resultados'!Y5,"")</f>
        <v/>
      </c>
      <c r="Z7" s="49">
        <f>IFERROR('Resultados'!Z13/'Resultados'!Z5,"")</f>
        <v/>
      </c>
      <c r="AA7" s="49">
        <f>IFERROR('Resultados'!AA13/'Resultados'!AA5,"")</f>
        <v/>
      </c>
      <c r="AC7" s="49">
        <f>IFERROR('Resultados'!AC13/'Resultados'!AC5,"")</f>
        <v/>
      </c>
      <c r="AD7" s="49">
        <f>IFERROR('Resultados'!AD13/'Resultados'!AD5,"")</f>
        <v/>
      </c>
      <c r="AE7" s="49">
        <f>IFERROR('Resultados'!AE13/'Resultados'!AE5,"")</f>
        <v/>
      </c>
      <c r="AF7" s="49">
        <f>IFERROR('Resultados'!AF13/'Resultados'!AF5,"")</f>
        <v/>
      </c>
      <c r="AG7" s="49">
        <f>IFERROR('Resultados'!AG13/'Resultados'!AG5,"")</f>
        <v/>
      </c>
      <c r="AH7" s="49">
        <f>IFERROR('Resultados'!AH13/'Resultados'!AH5,"")</f>
        <v/>
      </c>
      <c r="AI7" s="49">
        <f>IFERROR('Resultados'!AI13/'Resultados'!AI5,"")</f>
        <v/>
      </c>
    </row>
    <row r="8" spans="1:37">
      <c r="A8" s="42" t="s">
        <v>407</v>
      </c>
      <c r="B8" s="49">
        <f>IFERROR(('Resultados'!B13+('Flujo de efectivo'!B7+'Flujo de efectivo'!B8+'Flujo de efectivo'!B9))/'Resultados'!B5,"")</f>
        <v/>
      </c>
      <c r="C8" s="49">
        <f>IFERROR(('Resultados'!C13+('Flujo de efectivo'!C7+'Flujo de efectivo'!C8+'Flujo de efectivo'!C9))/'Resultados'!C5,"")</f>
        <v/>
      </c>
      <c r="D8" s="49">
        <f>IFERROR(('Resultados'!D13+('Flujo de efectivo'!D7+'Flujo de efectivo'!D8+'Flujo de efectivo'!D9))/'Resultados'!D5,"")</f>
        <v/>
      </c>
      <c r="E8" s="49">
        <f>IFERROR(('Resultados'!E13+('Flujo de efectivo'!E7+'Flujo de efectivo'!E8+'Flujo de efectivo'!E9))/'Resultados'!E5,"")</f>
        <v/>
      </c>
      <c r="F8" s="49">
        <f>IFERROR(('Resultados'!F13+('Flujo de efectivo'!F7+'Flujo de efectivo'!F8+'Flujo de efectivo'!F9))/'Resultados'!F5,"")</f>
        <v/>
      </c>
      <c r="G8" s="49">
        <f>IFERROR(('Resultados'!G13+('Flujo de efectivo'!G7+'Flujo de efectivo'!G8+'Flujo de efectivo'!G9))/'Resultados'!G5,"")</f>
        <v/>
      </c>
      <c r="H8" s="49">
        <f>IFERROR(('Resultados'!H13+('Flujo de efectivo'!H7+'Flujo de efectivo'!H8+'Flujo de efectivo'!H9))/'Resultados'!H5,"")</f>
        <v/>
      </c>
      <c r="I8" s="49">
        <f>IFERROR(('Resultados'!I13+('Flujo de efectivo'!I7+'Flujo de efectivo'!I8+'Flujo de efectivo'!I9))/'Resultados'!I5,"")</f>
        <v/>
      </c>
      <c r="J8" s="49">
        <f>IFERROR(('Resultados'!J13+('Flujo de efectivo'!J7+'Flujo de efectivo'!J8+'Flujo de efectivo'!J9))/'Resultados'!J5,"")</f>
        <v/>
      </c>
      <c r="K8" s="49">
        <f>IFERROR(('Resultados'!K13+('Flujo de efectivo'!K7+'Flujo de efectivo'!K8+'Flujo de efectivo'!K9))/'Resultados'!K5,"")</f>
        <v/>
      </c>
      <c r="L8" s="49">
        <f>IFERROR(('Resultados'!L13+('Flujo de efectivo'!L7+'Flujo de efectivo'!L8+'Flujo de efectivo'!L9))/'Resultados'!L5,"")</f>
        <v/>
      </c>
      <c r="M8" s="49">
        <f>IFERROR(('Resultados'!M13+('Flujo de efectivo'!M7+'Flujo de efectivo'!M8+'Flujo de efectivo'!M9))/'Resultados'!M5,"")</f>
        <v/>
      </c>
      <c r="N8" s="49">
        <f>IFERROR(('Resultados'!N13+('Flujo de efectivo'!N7+'Flujo de efectivo'!N8+'Flujo de efectivo'!N9))/'Resultados'!N5,"")</f>
        <v/>
      </c>
      <c r="O8" s="49">
        <f>IFERROR(('Resultados'!O13+('Flujo de efectivo'!O7+'Flujo de efectivo'!O8+'Flujo de efectivo'!O9))/'Resultados'!O5,"")</f>
        <v/>
      </c>
      <c r="P8" s="49">
        <f>IFERROR(('Resultados'!P13+('Flujo de efectivo'!P7+'Flujo de efectivo'!P8+'Flujo de efectivo'!P9))/'Resultados'!P5,"")</f>
        <v/>
      </c>
      <c r="Q8" s="49">
        <f>IFERROR(('Resultados'!Q13+('Flujo de efectivo'!Q7+'Flujo de efectivo'!Q8+'Flujo de efectivo'!Q9))/'Resultados'!Q5,"")</f>
        <v/>
      </c>
      <c r="R8" s="49">
        <f>IFERROR(('Resultados'!R13+('Flujo de efectivo'!R7+'Flujo de efectivo'!R8+'Flujo de efectivo'!R9))/'Resultados'!R5,"")</f>
        <v/>
      </c>
      <c r="S8" s="49">
        <f>IFERROR(('Resultados'!S13+('Flujo de efectivo'!S7+'Flujo de efectivo'!S8+'Flujo de efectivo'!S9))/'Resultados'!S5,"")</f>
        <v/>
      </c>
      <c r="T8" s="49">
        <f>IFERROR(('Resultados'!T13+('Flujo de efectivo'!T7+'Flujo de efectivo'!T8+'Flujo de efectivo'!T9))/'Resultados'!T5,"")</f>
        <v/>
      </c>
      <c r="U8" s="49">
        <f>IFERROR(('Resultados'!U13+('Flujo de efectivo'!U7+'Flujo de efectivo'!U8+'Flujo de efectivo'!U9))/'Resultados'!U5,"")</f>
        <v/>
      </c>
      <c r="V8" s="49">
        <f>IFERROR(('Resultados'!V13+('Flujo de efectivo'!V7+'Flujo de efectivo'!V8+'Flujo de efectivo'!V9))/'Resultados'!V5,"")</f>
        <v/>
      </c>
      <c r="W8" s="49">
        <f>IFERROR(('Resultados'!W13+('Flujo de efectivo'!W7+'Flujo de efectivo'!W8+'Flujo de efectivo'!W9))/'Resultados'!W5,"")</f>
        <v/>
      </c>
      <c r="X8" s="49">
        <f>IFERROR(('Resultados'!X13+('Flujo de efectivo'!X7+'Flujo de efectivo'!X8+'Flujo de efectivo'!X9))/'Resultados'!X5,"")</f>
        <v/>
      </c>
      <c r="Y8" s="49">
        <f>IFERROR(('Resultados'!Y13+('Flujo de efectivo'!Y7+'Flujo de efectivo'!Y8+'Flujo de efectivo'!Y9))/'Resultados'!Y5,"")</f>
        <v/>
      </c>
      <c r="Z8" s="49">
        <f>IFERROR(('Resultados'!Z13+('Flujo de efectivo'!Z7+'Flujo de efectivo'!Z8+'Flujo de efectivo'!Z9))/'Resultados'!Z5,"")</f>
        <v/>
      </c>
      <c r="AA8" s="49">
        <f>IFERROR(('Resultados'!AA13+('Flujo de efectivo'!AA7+'Flujo de efectivo'!AA8+'Flujo de efectivo'!AA9))/'Resultados'!AA5,"")</f>
        <v/>
      </c>
      <c r="AC8" s="49">
        <f>IFERROR(('Resultados'!AC13+('Flujo de efectivo'!AC7+'Flujo de efectivo'!AC8+'Flujo de efectivo'!AC9))/'Resultados'!AC5,"")</f>
        <v/>
      </c>
      <c r="AD8" s="49">
        <f>IFERROR(('Resultados'!AD13+('Flujo de efectivo'!AD7+'Flujo de efectivo'!AD8+'Flujo de efectivo'!AD9))/'Resultados'!AD5,"")</f>
        <v/>
      </c>
      <c r="AE8" s="49">
        <f>IFERROR(('Resultados'!AE13+('Flujo de efectivo'!AE7+'Flujo de efectivo'!AE8+'Flujo de efectivo'!AE9))/'Resultados'!AE5,"")</f>
        <v/>
      </c>
      <c r="AF8" s="49">
        <f>IFERROR(('Resultados'!AF13+('Flujo de efectivo'!AF7+'Flujo de efectivo'!AF8+'Flujo de efectivo'!AF9))/'Resultados'!AF5,"")</f>
        <v/>
      </c>
      <c r="AG8" s="49">
        <f>IFERROR(('Resultados'!AG13+('Flujo de efectivo'!AG7+'Flujo de efectivo'!AG8+'Flujo de efectivo'!AG9))/'Resultados'!AG5,"")</f>
        <v/>
      </c>
      <c r="AH8" s="49">
        <f>IFERROR(('Resultados'!AH13+('Flujo de efectivo'!AH7+'Flujo de efectivo'!AH8+'Flujo de efectivo'!AH9))/'Resultados'!AH5,"")</f>
        <v/>
      </c>
      <c r="AI8" s="49">
        <f>IFERROR(('Resultados'!AI13+('Flujo de efectivo'!AI7+'Flujo de efectivo'!AI8+'Flujo de efectivo'!AI9))/'Resultados'!AI5,"")</f>
        <v/>
      </c>
    </row>
    <row r="9" spans="1:37">
      <c r="A9" s="42" t="s">
        <v>408</v>
      </c>
      <c r="B9" s="49">
        <f>IFERROR('Resultados'!B21/'Resultados'!B5,"")</f>
        <v/>
      </c>
      <c r="C9" s="49">
        <f>IFERROR('Resultados'!C21/'Resultados'!C5,"")</f>
        <v/>
      </c>
      <c r="D9" s="49">
        <f>IFERROR('Resultados'!D21/'Resultados'!D5,"")</f>
        <v/>
      </c>
      <c r="E9" s="49">
        <f>IFERROR('Resultados'!E21/'Resultados'!E5,"")</f>
        <v/>
      </c>
      <c r="F9" s="49">
        <f>IFERROR('Resultados'!F21/'Resultados'!F5,"")</f>
        <v/>
      </c>
      <c r="G9" s="49">
        <f>IFERROR('Resultados'!G21/'Resultados'!G5,"")</f>
        <v/>
      </c>
      <c r="H9" s="49">
        <f>IFERROR('Resultados'!H21/'Resultados'!H5,"")</f>
        <v/>
      </c>
      <c r="I9" s="49">
        <f>IFERROR('Resultados'!I21/'Resultados'!I5,"")</f>
        <v/>
      </c>
      <c r="J9" s="49">
        <f>IFERROR('Resultados'!J21/'Resultados'!J5,"")</f>
        <v/>
      </c>
      <c r="K9" s="49">
        <f>IFERROR('Resultados'!K21/'Resultados'!K5,"")</f>
        <v/>
      </c>
      <c r="L9" s="49">
        <f>IFERROR('Resultados'!L21/'Resultados'!L5,"")</f>
        <v/>
      </c>
      <c r="M9" s="49">
        <f>IFERROR('Resultados'!M21/'Resultados'!M5,"")</f>
        <v/>
      </c>
      <c r="N9" s="49">
        <f>IFERROR('Resultados'!N21/'Resultados'!N5,"")</f>
        <v/>
      </c>
      <c r="O9" s="49">
        <f>IFERROR('Resultados'!O21/'Resultados'!O5,"")</f>
        <v/>
      </c>
      <c r="P9" s="49">
        <f>IFERROR('Resultados'!P21/'Resultados'!P5,"")</f>
        <v/>
      </c>
      <c r="Q9" s="49">
        <f>IFERROR('Resultados'!Q21/'Resultados'!Q5,"")</f>
        <v/>
      </c>
      <c r="R9" s="49">
        <f>IFERROR('Resultados'!R21/'Resultados'!R5,"")</f>
        <v/>
      </c>
      <c r="S9" s="49">
        <f>IFERROR('Resultados'!S21/'Resultados'!S5,"")</f>
        <v/>
      </c>
      <c r="T9" s="49">
        <f>IFERROR('Resultados'!T21/'Resultados'!T5,"")</f>
        <v/>
      </c>
      <c r="U9" s="49">
        <f>IFERROR('Resultados'!U21/'Resultados'!U5,"")</f>
        <v/>
      </c>
      <c r="V9" s="49">
        <f>IFERROR('Resultados'!V21/'Resultados'!V5,"")</f>
        <v/>
      </c>
      <c r="W9" s="49">
        <f>IFERROR('Resultados'!W21/'Resultados'!W5,"")</f>
        <v/>
      </c>
      <c r="X9" s="49">
        <f>IFERROR('Resultados'!X21/'Resultados'!X5,"")</f>
        <v/>
      </c>
      <c r="Y9" s="49">
        <f>IFERROR('Resultados'!Y21/'Resultados'!Y5,"")</f>
        <v/>
      </c>
      <c r="Z9" s="49">
        <f>IFERROR('Resultados'!Z21/'Resultados'!Z5,"")</f>
        <v/>
      </c>
      <c r="AA9" s="49">
        <f>IFERROR('Resultados'!AA21/'Resultados'!AA5,"")</f>
        <v/>
      </c>
      <c r="AC9" s="49">
        <f>IFERROR('Resultados'!AC21/'Resultados'!AC5,"")</f>
        <v/>
      </c>
      <c r="AD9" s="49">
        <f>IFERROR('Resultados'!AD21/'Resultados'!AD5,"")</f>
        <v/>
      </c>
      <c r="AE9" s="49">
        <f>IFERROR('Resultados'!AE21/'Resultados'!AE5,"")</f>
        <v/>
      </c>
      <c r="AF9" s="49">
        <f>IFERROR('Resultados'!AF21/'Resultados'!AF5,"")</f>
        <v/>
      </c>
      <c r="AG9" s="49">
        <f>IFERROR('Resultados'!AG21/'Resultados'!AG5,"")</f>
        <v/>
      </c>
      <c r="AH9" s="49">
        <f>IFERROR('Resultados'!AH21/'Resultados'!AH5,"")</f>
        <v/>
      </c>
      <c r="AI9" s="49">
        <f>IFERROR('Resultados'!AI21/'Resultados'!AI5,"")</f>
        <v/>
      </c>
    </row>
    <row r="10" spans="1:37">
      <c r="A10" s="42" t="s">
        <v>409</v>
      </c>
      <c r="B10" s="49">
        <f>IFERROR(-'Resultados'!B20/'Resultados'!B19,"")</f>
        <v/>
      </c>
      <c r="C10" s="49">
        <f>IFERROR(-'Resultados'!C20/'Resultados'!C19,"")</f>
        <v/>
      </c>
      <c r="D10" s="49">
        <f>IFERROR(-'Resultados'!D20/'Resultados'!D19,"")</f>
        <v/>
      </c>
      <c r="E10" s="49">
        <f>IFERROR(-'Resultados'!E20/'Resultados'!E19,"")</f>
        <v/>
      </c>
      <c r="F10" s="49">
        <f>IFERROR(-'Resultados'!F20/'Resultados'!F19,"")</f>
        <v/>
      </c>
      <c r="G10" s="49">
        <f>IFERROR(-'Resultados'!G20/'Resultados'!G19,"")</f>
        <v/>
      </c>
      <c r="H10" s="49">
        <f>IFERROR(-'Resultados'!H20/'Resultados'!H19,"")</f>
        <v/>
      </c>
      <c r="I10" s="49">
        <f>IFERROR(-'Resultados'!I20/'Resultados'!I19,"")</f>
        <v/>
      </c>
      <c r="J10" s="49">
        <f>IFERROR(-'Resultados'!J20/'Resultados'!J19,"")</f>
        <v/>
      </c>
      <c r="K10" s="49">
        <f>IFERROR(-'Resultados'!K20/'Resultados'!K19,"")</f>
        <v/>
      </c>
      <c r="L10" s="49">
        <f>IFERROR(-'Resultados'!L20/'Resultados'!L19,"")</f>
        <v/>
      </c>
      <c r="M10" s="49">
        <f>IFERROR(-'Resultados'!M20/'Resultados'!M19,"")</f>
        <v/>
      </c>
      <c r="N10" s="49">
        <f>IFERROR(-'Resultados'!N20/'Resultados'!N19,"")</f>
        <v/>
      </c>
      <c r="O10" s="49">
        <f>IFERROR(-'Resultados'!O20/'Resultados'!O19,"")</f>
        <v/>
      </c>
      <c r="P10" s="49">
        <f>IFERROR(-'Resultados'!P20/'Resultados'!P19,"")</f>
        <v/>
      </c>
      <c r="Q10" s="49">
        <f>IFERROR(-'Resultados'!Q20/'Resultados'!Q19,"")</f>
        <v/>
      </c>
      <c r="R10" s="49">
        <f>IFERROR(-'Resultados'!R20/'Resultados'!R19,"")</f>
        <v/>
      </c>
      <c r="S10" s="49">
        <f>IFERROR(-'Resultados'!S20/'Resultados'!S19,"")</f>
        <v/>
      </c>
      <c r="T10" s="49">
        <f>IFERROR(-'Resultados'!T20/'Resultados'!T19,"")</f>
        <v/>
      </c>
      <c r="U10" s="49">
        <f>IFERROR(-'Resultados'!U20/'Resultados'!U19,"")</f>
        <v/>
      </c>
      <c r="V10" s="49">
        <f>IFERROR(-'Resultados'!V20/'Resultados'!V19,"")</f>
        <v/>
      </c>
      <c r="W10" s="49">
        <f>IFERROR(-'Resultados'!W20/'Resultados'!W19,"")</f>
        <v/>
      </c>
      <c r="X10" s="49">
        <f>IFERROR(-'Resultados'!X20/'Resultados'!X19,"")</f>
        <v/>
      </c>
      <c r="Y10" s="49">
        <f>IFERROR(-'Resultados'!Y20/'Resultados'!Y19,"")</f>
        <v/>
      </c>
      <c r="Z10" s="49">
        <f>IFERROR(-'Resultados'!Z20/'Resultados'!Z19,"")</f>
        <v/>
      </c>
      <c r="AA10" s="49">
        <f>IFERROR(-'Resultados'!AA20/'Resultados'!AA19,"")</f>
        <v/>
      </c>
      <c r="AC10" s="49">
        <f>IFERROR(-'Resultados'!AC20/'Resultados'!AC19,"")</f>
        <v/>
      </c>
      <c r="AD10" s="49">
        <f>IFERROR(-'Resultados'!AD20/'Resultados'!AD19,"")</f>
        <v/>
      </c>
      <c r="AE10" s="49">
        <f>IFERROR(-'Resultados'!AE20/'Resultados'!AE19,"")</f>
        <v/>
      </c>
      <c r="AF10" s="49">
        <f>IFERROR(-'Resultados'!AF20/'Resultados'!AF19,"")</f>
        <v/>
      </c>
      <c r="AG10" s="49">
        <f>IFERROR(-'Resultados'!AG20/'Resultados'!AG19,"")</f>
        <v/>
      </c>
      <c r="AH10" s="49">
        <f>IFERROR(-'Resultados'!AH20/'Resultados'!AH19,"")</f>
        <v/>
      </c>
      <c r="AI10" s="49">
        <f>IFERROR(-'Resultados'!AI20/'Resultados'!AI19,"")</f>
        <v/>
      </c>
      <c r="AK10" s="6" t="s">
        <v>410</v>
      </c>
    </row>
    <row r="12" spans="1:37">
      <c r="A12" s="5" t="s">
        <v>411</v>
      </c>
    </row>
    <row r="13" spans="1:37">
      <c r="A13" s="42" t="s">
        <v>412</v>
      </c>
      <c r="B13" s="45">
        <f>('Resultados'!B13+('Flujo de efectivo'!B7+'Flujo de efectivo'!B8+'Flujo de efectivo'!B9))</f>
        <v/>
      </c>
      <c r="C13" s="45">
        <f>('Resultados'!C13+('Flujo de efectivo'!C7+'Flujo de efectivo'!C8+'Flujo de efectivo'!C9))</f>
        <v/>
      </c>
      <c r="D13" s="45">
        <f>('Resultados'!D13+('Flujo de efectivo'!D7+'Flujo de efectivo'!D8+'Flujo de efectivo'!D9))</f>
        <v/>
      </c>
      <c r="E13" s="45">
        <f>('Resultados'!E13+('Flujo de efectivo'!E7+'Flujo de efectivo'!E8+'Flujo de efectivo'!E9))</f>
        <v/>
      </c>
      <c r="F13" s="45">
        <f>('Resultados'!F13+('Flujo de efectivo'!F7+'Flujo de efectivo'!F8+'Flujo de efectivo'!F9))</f>
        <v/>
      </c>
      <c r="G13" s="45">
        <f>('Resultados'!G13+('Flujo de efectivo'!G7+'Flujo de efectivo'!G8+'Flujo de efectivo'!G9))</f>
        <v/>
      </c>
      <c r="H13" s="45">
        <f>('Resultados'!H13+('Flujo de efectivo'!H7+'Flujo de efectivo'!H8+'Flujo de efectivo'!H9))</f>
        <v/>
      </c>
      <c r="I13" s="45">
        <f>('Resultados'!I13+('Flujo de efectivo'!I7+'Flujo de efectivo'!I8+'Flujo de efectivo'!I9))</f>
        <v/>
      </c>
      <c r="J13" s="45">
        <f>('Resultados'!J13+('Flujo de efectivo'!J7+'Flujo de efectivo'!J8+'Flujo de efectivo'!J9))</f>
        <v/>
      </c>
      <c r="K13" s="45">
        <f>('Resultados'!K13+('Flujo de efectivo'!K7+'Flujo de efectivo'!K8+'Flujo de efectivo'!K9))</f>
        <v/>
      </c>
      <c r="L13" s="45">
        <f>('Resultados'!L13+('Flujo de efectivo'!L7+'Flujo de efectivo'!L8+'Flujo de efectivo'!L9))</f>
        <v/>
      </c>
      <c r="M13" s="45">
        <f>('Resultados'!M13+('Flujo de efectivo'!M7+'Flujo de efectivo'!M8+'Flujo de efectivo'!M9))</f>
        <v/>
      </c>
      <c r="N13" s="45">
        <f>('Resultados'!N13+('Flujo de efectivo'!N7+'Flujo de efectivo'!N8+'Flujo de efectivo'!N9))</f>
        <v/>
      </c>
      <c r="O13" s="45">
        <f>('Resultados'!O13+('Flujo de efectivo'!O7+'Flujo de efectivo'!O8+'Flujo de efectivo'!O9))</f>
        <v/>
      </c>
      <c r="P13" s="45">
        <f>('Resultados'!P13+('Flujo de efectivo'!P7+'Flujo de efectivo'!P8+'Flujo de efectivo'!P9))</f>
        <v/>
      </c>
      <c r="Q13" s="45">
        <f>('Resultados'!Q13+('Flujo de efectivo'!Q7+'Flujo de efectivo'!Q8+'Flujo de efectivo'!Q9))</f>
        <v/>
      </c>
      <c r="R13" s="45">
        <f>('Resultados'!R13+('Flujo de efectivo'!R7+'Flujo de efectivo'!R8+'Flujo de efectivo'!R9))</f>
        <v/>
      </c>
      <c r="S13" s="45">
        <f>('Resultados'!S13+('Flujo de efectivo'!S7+'Flujo de efectivo'!S8+'Flujo de efectivo'!S9))</f>
        <v/>
      </c>
      <c r="T13" s="45">
        <f>('Resultados'!T13+('Flujo de efectivo'!T7+'Flujo de efectivo'!T8+'Flujo de efectivo'!T9))</f>
        <v/>
      </c>
      <c r="U13" s="45">
        <f>('Resultados'!U13+('Flujo de efectivo'!U7+'Flujo de efectivo'!U8+'Flujo de efectivo'!U9))</f>
        <v/>
      </c>
      <c r="V13" s="45">
        <f>('Resultados'!V13+('Flujo de efectivo'!V7+'Flujo de efectivo'!V8+'Flujo de efectivo'!V9))</f>
        <v/>
      </c>
      <c r="W13" s="45">
        <f>('Resultados'!W13+('Flujo de efectivo'!W7+'Flujo de efectivo'!W8+'Flujo de efectivo'!W9))</f>
        <v/>
      </c>
      <c r="X13" s="45">
        <f>('Resultados'!X13+('Flujo de efectivo'!X7+'Flujo de efectivo'!X8+'Flujo de efectivo'!X9))</f>
        <v/>
      </c>
      <c r="Y13" s="45">
        <f>('Resultados'!Y13+('Flujo de efectivo'!Y7+'Flujo de efectivo'!Y8+'Flujo de efectivo'!Y9))</f>
        <v/>
      </c>
      <c r="Z13" s="45">
        <f>('Resultados'!Z13+('Flujo de efectivo'!Z7+'Flujo de efectivo'!Z8+'Flujo de efectivo'!Z9))</f>
        <v/>
      </c>
      <c r="AA13" s="45">
        <f>('Resultados'!AA13+('Flujo de efectivo'!AA7+'Flujo de efectivo'!AA8+'Flujo de efectivo'!AA9))</f>
        <v/>
      </c>
      <c r="AC13" s="45">
        <f>('Resultados'!AC13+('Flujo de efectivo'!AC7+'Flujo de efectivo'!AC8+'Flujo de efectivo'!AC9))</f>
        <v/>
      </c>
      <c r="AD13" s="45">
        <f>('Resultados'!AD13+('Flujo de efectivo'!AD7+'Flujo de efectivo'!AD8+'Flujo de efectivo'!AD9))</f>
        <v/>
      </c>
      <c r="AE13" s="45">
        <f>('Resultados'!AE13+('Flujo de efectivo'!AE7+'Flujo de efectivo'!AE8+'Flujo de efectivo'!AE9))</f>
        <v/>
      </c>
      <c r="AF13" s="45">
        <f>('Resultados'!AF13+('Flujo de efectivo'!AF7+'Flujo de efectivo'!AF8+'Flujo de efectivo'!AF9))</f>
        <v/>
      </c>
      <c r="AG13" s="45">
        <f>('Resultados'!AG13+('Flujo de efectivo'!AG7+'Flujo de efectivo'!AG8+'Flujo de efectivo'!AG9))</f>
        <v/>
      </c>
      <c r="AH13" s="45">
        <f>('Resultados'!AH13+('Flujo de efectivo'!AH7+'Flujo de efectivo'!AH8+'Flujo de efectivo'!AH9))</f>
        <v/>
      </c>
      <c r="AI13" s="45">
        <f>('Resultados'!AI13+('Flujo de efectivo'!AI7+'Flujo de efectivo'!AI8+'Flujo de efectivo'!AI9))</f>
        <v/>
      </c>
    </row>
    <row r="14" spans="1:37">
      <c r="A14" s="42" t="s">
        <v>413</v>
      </c>
      <c r="B14" s="45">
        <f>('Flujo de efectivo'!B7+'Flujo de efectivo'!B8+'Flujo de efectivo'!B9)</f>
        <v/>
      </c>
      <c r="C14" s="45">
        <f>('Flujo de efectivo'!C7+'Flujo de efectivo'!C8+'Flujo de efectivo'!C9)</f>
        <v/>
      </c>
      <c r="D14" s="45">
        <f>('Flujo de efectivo'!D7+'Flujo de efectivo'!D8+'Flujo de efectivo'!D9)</f>
        <v/>
      </c>
      <c r="E14" s="45">
        <f>('Flujo de efectivo'!E7+'Flujo de efectivo'!E8+'Flujo de efectivo'!E9)</f>
        <v/>
      </c>
      <c r="F14" s="45">
        <f>('Flujo de efectivo'!F7+'Flujo de efectivo'!F8+'Flujo de efectivo'!F9)</f>
        <v/>
      </c>
      <c r="G14" s="45">
        <f>('Flujo de efectivo'!G7+'Flujo de efectivo'!G8+'Flujo de efectivo'!G9)</f>
        <v/>
      </c>
      <c r="H14" s="45">
        <f>('Flujo de efectivo'!H7+'Flujo de efectivo'!H8+'Flujo de efectivo'!H9)</f>
        <v/>
      </c>
      <c r="I14" s="45">
        <f>('Flujo de efectivo'!I7+'Flujo de efectivo'!I8+'Flujo de efectivo'!I9)</f>
        <v/>
      </c>
      <c r="J14" s="45">
        <f>('Flujo de efectivo'!J7+'Flujo de efectivo'!J8+'Flujo de efectivo'!J9)</f>
        <v/>
      </c>
      <c r="K14" s="45">
        <f>('Flujo de efectivo'!K7+'Flujo de efectivo'!K8+'Flujo de efectivo'!K9)</f>
        <v/>
      </c>
      <c r="L14" s="45">
        <f>('Flujo de efectivo'!L7+'Flujo de efectivo'!L8+'Flujo de efectivo'!L9)</f>
        <v/>
      </c>
      <c r="M14" s="45">
        <f>('Flujo de efectivo'!M7+'Flujo de efectivo'!M8+'Flujo de efectivo'!M9)</f>
        <v/>
      </c>
      <c r="N14" s="45">
        <f>('Flujo de efectivo'!N7+'Flujo de efectivo'!N8+'Flujo de efectivo'!N9)</f>
        <v/>
      </c>
      <c r="O14" s="45">
        <f>('Flujo de efectivo'!O7+'Flujo de efectivo'!O8+'Flujo de efectivo'!O9)</f>
        <v/>
      </c>
      <c r="P14" s="45">
        <f>('Flujo de efectivo'!P7+'Flujo de efectivo'!P8+'Flujo de efectivo'!P9)</f>
        <v/>
      </c>
      <c r="Q14" s="45">
        <f>('Flujo de efectivo'!Q7+'Flujo de efectivo'!Q8+'Flujo de efectivo'!Q9)</f>
        <v/>
      </c>
      <c r="R14" s="45">
        <f>('Flujo de efectivo'!R7+'Flujo de efectivo'!R8+'Flujo de efectivo'!R9)</f>
        <v/>
      </c>
      <c r="S14" s="45">
        <f>('Flujo de efectivo'!S7+'Flujo de efectivo'!S8+'Flujo de efectivo'!S9)</f>
        <v/>
      </c>
      <c r="T14" s="45">
        <f>('Flujo de efectivo'!T7+'Flujo de efectivo'!T8+'Flujo de efectivo'!T9)</f>
        <v/>
      </c>
      <c r="U14" s="45">
        <f>('Flujo de efectivo'!U7+'Flujo de efectivo'!U8+'Flujo de efectivo'!U9)</f>
        <v/>
      </c>
      <c r="V14" s="45">
        <f>('Flujo de efectivo'!V7+'Flujo de efectivo'!V8+'Flujo de efectivo'!V9)</f>
        <v/>
      </c>
      <c r="W14" s="45">
        <f>('Flujo de efectivo'!W7+'Flujo de efectivo'!W8+'Flujo de efectivo'!W9)</f>
        <v/>
      </c>
      <c r="X14" s="45">
        <f>('Flujo de efectivo'!X7+'Flujo de efectivo'!X8+'Flujo de efectivo'!X9)</f>
        <v/>
      </c>
      <c r="Y14" s="45">
        <f>('Flujo de efectivo'!Y7+'Flujo de efectivo'!Y8+'Flujo de efectivo'!Y9)</f>
        <v/>
      </c>
      <c r="Z14" s="45">
        <f>('Flujo de efectivo'!Z7+'Flujo de efectivo'!Z8+'Flujo de efectivo'!Z9)</f>
        <v/>
      </c>
      <c r="AA14" s="45">
        <f>('Flujo de efectivo'!AA7+'Flujo de efectivo'!AA8+'Flujo de efectivo'!AA9)</f>
        <v/>
      </c>
      <c r="AC14" s="45">
        <f>('Flujo de efectivo'!AC7+'Flujo de efectivo'!AC8+'Flujo de efectivo'!AC9)</f>
        <v/>
      </c>
      <c r="AD14" s="45">
        <f>('Flujo de efectivo'!AD7+'Flujo de efectivo'!AD8+'Flujo de efectivo'!AD9)</f>
        <v/>
      </c>
      <c r="AE14" s="45">
        <f>('Flujo de efectivo'!AE7+'Flujo de efectivo'!AE8+'Flujo de efectivo'!AE9)</f>
        <v/>
      </c>
      <c r="AF14" s="45">
        <f>('Flujo de efectivo'!AF7+'Flujo de efectivo'!AF8+'Flujo de efectivo'!AF9)</f>
        <v/>
      </c>
      <c r="AG14" s="45">
        <f>('Flujo de efectivo'!AG7+'Flujo de efectivo'!AG8+'Flujo de efectivo'!AG9)</f>
        <v/>
      </c>
      <c r="AH14" s="45">
        <f>('Flujo de efectivo'!AH7+'Flujo de efectivo'!AH8+'Flujo de efectivo'!AH9)</f>
        <v/>
      </c>
      <c r="AI14" s="45">
        <f>('Flujo de efectivo'!AI7+'Flujo de efectivo'!AI8+'Flujo de efectivo'!AI9)</f>
        <v/>
      </c>
    </row>
    <row r="15" spans="1:37">
      <c r="A15" s="42" t="s">
        <v>414</v>
      </c>
      <c r="B15" s="45">
        <f>'Flujo de efectivo'!B33+'Flujo de efectivo'!B34</f>
        <v/>
      </c>
      <c r="C15" s="45">
        <f>'Flujo de efectivo'!C33+'Flujo de efectivo'!C34</f>
        <v/>
      </c>
      <c r="D15" s="45">
        <f>'Flujo de efectivo'!D33+'Flujo de efectivo'!D34</f>
        <v/>
      </c>
      <c r="E15" s="45">
        <f>'Flujo de efectivo'!E33+'Flujo de efectivo'!E34</f>
        <v/>
      </c>
      <c r="F15" s="45">
        <f>'Flujo de efectivo'!F33+'Flujo de efectivo'!F34</f>
        <v/>
      </c>
      <c r="G15" s="45">
        <f>'Flujo de efectivo'!G33+'Flujo de efectivo'!G34</f>
        <v/>
      </c>
      <c r="H15" s="45">
        <f>'Flujo de efectivo'!H33+'Flujo de efectivo'!H34</f>
        <v/>
      </c>
      <c r="I15" s="45">
        <f>'Flujo de efectivo'!I33+'Flujo de efectivo'!I34</f>
        <v/>
      </c>
      <c r="J15" s="45">
        <f>'Flujo de efectivo'!J33+'Flujo de efectivo'!J34</f>
        <v/>
      </c>
      <c r="K15" s="45">
        <f>'Flujo de efectivo'!K33+'Flujo de efectivo'!K34</f>
        <v/>
      </c>
      <c r="L15" s="45">
        <f>'Flujo de efectivo'!L33+'Flujo de efectivo'!L34</f>
        <v/>
      </c>
      <c r="M15" s="45">
        <f>'Flujo de efectivo'!M33+'Flujo de efectivo'!M34</f>
        <v/>
      </c>
      <c r="N15" s="45">
        <f>'Flujo de efectivo'!N33+'Flujo de efectivo'!N34</f>
        <v/>
      </c>
      <c r="O15" s="45">
        <f>'Flujo de efectivo'!O33+'Flujo de efectivo'!O34</f>
        <v/>
      </c>
      <c r="P15" s="45">
        <f>'Flujo de efectivo'!P33+'Flujo de efectivo'!P34</f>
        <v/>
      </c>
      <c r="Q15" s="45">
        <f>'Flujo de efectivo'!Q33+'Flujo de efectivo'!Q34</f>
        <v/>
      </c>
      <c r="R15" s="45">
        <f>'Flujo de efectivo'!R33+'Flujo de efectivo'!R34</f>
        <v/>
      </c>
      <c r="S15" s="45">
        <f>'Flujo de efectivo'!S33+'Flujo de efectivo'!S34</f>
        <v/>
      </c>
      <c r="T15" s="45">
        <f>'Flujo de efectivo'!T33+'Flujo de efectivo'!T34</f>
        <v/>
      </c>
      <c r="U15" s="45">
        <f>'Flujo de efectivo'!U33+'Flujo de efectivo'!U34</f>
        <v/>
      </c>
      <c r="V15" s="45">
        <f>'Flujo de efectivo'!V33+'Flujo de efectivo'!V34</f>
        <v/>
      </c>
      <c r="W15" s="45">
        <f>'Flujo de efectivo'!W33+'Flujo de efectivo'!W34</f>
        <v/>
      </c>
      <c r="X15" s="45">
        <f>'Flujo de efectivo'!X33+'Flujo de efectivo'!X34</f>
        <v/>
      </c>
      <c r="Y15" s="45">
        <f>'Flujo de efectivo'!Y33+'Flujo de efectivo'!Y34</f>
        <v/>
      </c>
      <c r="Z15" s="45">
        <f>'Flujo de efectivo'!Z33+'Flujo de efectivo'!Z34</f>
        <v/>
      </c>
      <c r="AA15" s="45">
        <f>'Flujo de efectivo'!AA33+'Flujo de efectivo'!AA34</f>
        <v/>
      </c>
      <c r="AC15" s="45">
        <f>'Flujo de efectivo'!AC33+'Flujo de efectivo'!AC34</f>
        <v/>
      </c>
      <c r="AD15" s="45">
        <f>'Flujo de efectivo'!AD33+'Flujo de efectivo'!AD34</f>
        <v/>
      </c>
      <c r="AE15" s="45">
        <f>'Flujo de efectivo'!AE33+'Flujo de efectivo'!AE34</f>
        <v/>
      </c>
      <c r="AF15" s="45">
        <f>'Flujo de efectivo'!AF33+'Flujo de efectivo'!AF34</f>
        <v/>
      </c>
      <c r="AG15" s="45">
        <f>'Flujo de efectivo'!AG33+'Flujo de efectivo'!AG34</f>
        <v/>
      </c>
      <c r="AH15" s="45">
        <f>'Flujo de efectivo'!AH33+'Flujo de efectivo'!AH34</f>
        <v/>
      </c>
      <c r="AI15" s="45">
        <f>'Flujo de efectivo'!AI33+'Flujo de efectivo'!AI34</f>
        <v/>
      </c>
      <c r="AK15" s="6" t="s">
        <v>415</v>
      </c>
    </row>
    <row r="16" spans="1:37">
      <c r="A16" s="42" t="s">
        <v>416</v>
      </c>
      <c r="B16" s="45">
        <f>IF(COUNT(('Balance'!B43+'Balance'!B54))=0,"",('Balance'!B43+'Balance'!B54))</f>
        <v/>
      </c>
      <c r="C16" s="45">
        <f>IF(COUNT(('Balance'!C43+'Balance'!C54))=0,"",('Balance'!C43+'Balance'!C54))</f>
        <v/>
      </c>
      <c r="D16" s="45">
        <f>IF(COUNT(('Balance'!D43+'Balance'!D54))=0,"",('Balance'!D43+'Balance'!D54))</f>
        <v/>
      </c>
      <c r="E16" s="45">
        <f>IF(COUNT(('Balance'!E43+'Balance'!E54))=0,"",('Balance'!E43+'Balance'!E54))</f>
        <v/>
      </c>
      <c r="F16" s="45">
        <f>IF(COUNT(('Balance'!F43+'Balance'!F54))=0,"",('Balance'!F43+'Balance'!F54))</f>
        <v/>
      </c>
      <c r="G16" s="45">
        <f>IF(COUNT(('Balance'!G43+'Balance'!G54))=0,"",('Balance'!G43+'Balance'!G54))</f>
        <v/>
      </c>
      <c r="H16" s="45">
        <f>IF(COUNT(('Balance'!H43+'Balance'!H54))=0,"",('Balance'!H43+'Balance'!H54))</f>
        <v/>
      </c>
      <c r="I16" s="45">
        <f>IF(COUNT(('Balance'!I43+'Balance'!I54))=0,"",('Balance'!I43+'Balance'!I54))</f>
        <v/>
      </c>
      <c r="J16" s="45">
        <f>IF(COUNT(('Balance'!J43+'Balance'!J54))=0,"",('Balance'!J43+'Balance'!J54))</f>
        <v/>
      </c>
      <c r="K16" s="45">
        <f>IF(COUNT(('Balance'!K43+'Balance'!K54))=0,"",('Balance'!K43+'Balance'!K54))</f>
        <v/>
      </c>
      <c r="L16" s="45">
        <f>IF(COUNT(('Balance'!L43+'Balance'!L54))=0,"",('Balance'!L43+'Balance'!L54))</f>
        <v/>
      </c>
      <c r="M16" s="45">
        <f>IF(COUNT(('Balance'!M43+'Balance'!M54))=0,"",('Balance'!M43+'Balance'!M54))</f>
        <v/>
      </c>
      <c r="N16" s="45">
        <f>IF(COUNT(('Balance'!N43+'Balance'!N54))=0,"",('Balance'!N43+'Balance'!N54))</f>
        <v/>
      </c>
      <c r="O16" s="45">
        <f>IF(COUNT(('Balance'!O43+'Balance'!O54))=0,"",('Balance'!O43+'Balance'!O54))</f>
        <v/>
      </c>
      <c r="P16" s="45">
        <f>IF(COUNT(('Balance'!P43+'Balance'!P54))=0,"",('Balance'!P43+'Balance'!P54))</f>
        <v/>
      </c>
      <c r="Q16" s="45">
        <f>IF(COUNT(('Balance'!Q43+'Balance'!Q54))=0,"",('Balance'!Q43+'Balance'!Q54))</f>
        <v/>
      </c>
      <c r="R16" s="45">
        <f>IF(COUNT(('Balance'!R43+'Balance'!R54))=0,"",('Balance'!R43+'Balance'!R54))</f>
        <v/>
      </c>
      <c r="S16" s="45">
        <f>IF(COUNT(('Balance'!S43+'Balance'!S54))=0,"",('Balance'!S43+'Balance'!S54))</f>
        <v/>
      </c>
      <c r="T16" s="45">
        <f>IF(COUNT(('Balance'!T43+'Balance'!T54))=0,"",('Balance'!T43+'Balance'!T54))</f>
        <v/>
      </c>
      <c r="U16" s="45">
        <f>IF(COUNT(('Balance'!U43+'Balance'!U54))=0,"",('Balance'!U43+'Balance'!U54))</f>
        <v/>
      </c>
      <c r="V16" s="45">
        <f>IF(COUNT(('Balance'!V43+'Balance'!V54))=0,"",('Balance'!V43+'Balance'!V54))</f>
        <v/>
      </c>
      <c r="W16" s="45">
        <f>IF(COUNT(('Balance'!W43+'Balance'!W54))=0,"",('Balance'!W43+'Balance'!W54))</f>
        <v/>
      </c>
      <c r="X16" s="45">
        <f>IF(COUNT(('Balance'!X43+'Balance'!X54))=0,"",('Balance'!X43+'Balance'!X54))</f>
        <v/>
      </c>
      <c r="Y16" s="45">
        <f>IF(COUNT(('Balance'!Y43+'Balance'!Y54))=0,"",('Balance'!Y43+'Balance'!Y54))</f>
        <v/>
      </c>
      <c r="Z16" s="45">
        <f>IF(COUNT(('Balance'!Z43+'Balance'!Z54))=0,"",('Balance'!Z43+'Balance'!Z54))</f>
        <v/>
      </c>
      <c r="AA16" s="45">
        <f>IF(COUNT(('Balance'!AA43+'Balance'!AA54))=0,"",('Balance'!AA43+'Balance'!AA54))</f>
        <v/>
      </c>
      <c r="AC16" s="45">
        <f>IF(COUNT(('Balance'!AC43+'Balance'!AC54))=0,"",('Balance'!AC43+'Balance'!AC54))</f>
        <v/>
      </c>
      <c r="AD16" s="45">
        <f>IF(COUNT(('Balance'!AD43+'Balance'!AD54))=0,"",('Balance'!AD43+'Balance'!AD54))</f>
        <v/>
      </c>
      <c r="AE16" s="45">
        <f>IF(COUNT(('Balance'!AE43+'Balance'!AE54))=0,"",('Balance'!AE43+'Balance'!AE54))</f>
        <v/>
      </c>
      <c r="AF16" s="45">
        <f>IF(COUNT(('Balance'!AF43+'Balance'!AF54))=0,"",('Balance'!AF43+'Balance'!AF54))</f>
        <v/>
      </c>
      <c r="AG16" s="45">
        <f>IF(COUNT(('Balance'!AG43+'Balance'!AG54))=0,"",('Balance'!AG43+'Balance'!AG54))</f>
        <v/>
      </c>
      <c r="AH16" s="45">
        <f>IF(COUNT(('Balance'!AH43+'Balance'!AH54))=0,"",('Balance'!AH43+'Balance'!AH54))</f>
        <v/>
      </c>
      <c r="AI16" s="45">
        <f>IF(COUNT(('Balance'!AI43+'Balance'!AI54))=0,"",('Balance'!AI43+'Balance'!AI54))</f>
        <v/>
      </c>
      <c r="AK16" s="6" t="s">
        <v>417</v>
      </c>
    </row>
    <row r="17" spans="1:37">
      <c r="A17" s="42" t="s">
        <v>418</v>
      </c>
      <c r="B17" s="45">
        <f>IF(COUNT('Balance'!B19)=0,"",('Balance'!B43+'Balance'!B54)-'Balance'!B19-'Balance'!B18)</f>
        <v/>
      </c>
      <c r="C17" s="45">
        <f>IF(COUNT('Balance'!C19)=0,"",('Balance'!C43+'Balance'!C54)-'Balance'!C19-'Balance'!C18)</f>
        <v/>
      </c>
      <c r="D17" s="45">
        <f>IF(COUNT('Balance'!D19)=0,"",('Balance'!D43+'Balance'!D54)-'Balance'!D19-'Balance'!D18)</f>
        <v/>
      </c>
      <c r="E17" s="45">
        <f>IF(COUNT('Balance'!E19)=0,"",('Balance'!E43+'Balance'!E54)-'Balance'!E19-'Balance'!E18)</f>
        <v/>
      </c>
      <c r="F17" s="45">
        <f>IF(COUNT('Balance'!F19)=0,"",('Balance'!F43+'Balance'!F54)-'Balance'!F19-'Balance'!F18)</f>
        <v/>
      </c>
      <c r="G17" s="45">
        <f>IF(COUNT('Balance'!G19)=0,"",('Balance'!G43+'Balance'!G54)-'Balance'!G19-'Balance'!G18)</f>
        <v/>
      </c>
      <c r="H17" s="45">
        <f>IF(COUNT('Balance'!H19)=0,"",('Balance'!H43+'Balance'!H54)-'Balance'!H19-'Balance'!H18)</f>
        <v/>
      </c>
      <c r="I17" s="45">
        <f>IF(COUNT('Balance'!I19)=0,"",('Balance'!I43+'Balance'!I54)-'Balance'!I19-'Balance'!I18)</f>
        <v/>
      </c>
      <c r="J17" s="45">
        <f>IF(COUNT('Balance'!J19)=0,"",('Balance'!J43+'Balance'!J54)-'Balance'!J19-'Balance'!J18)</f>
        <v/>
      </c>
      <c r="K17" s="45">
        <f>IF(COUNT('Balance'!K19)=0,"",('Balance'!K43+'Balance'!K54)-'Balance'!K19-'Balance'!K18)</f>
        <v/>
      </c>
      <c r="L17" s="45">
        <f>IF(COUNT('Balance'!L19)=0,"",('Balance'!L43+'Balance'!L54)-'Balance'!L19-'Balance'!L18)</f>
        <v/>
      </c>
      <c r="M17" s="45">
        <f>IF(COUNT('Balance'!M19)=0,"",('Balance'!M43+'Balance'!M54)-'Balance'!M19-'Balance'!M18)</f>
        <v/>
      </c>
      <c r="N17" s="45">
        <f>IF(COUNT('Balance'!N19)=0,"",('Balance'!N43+'Balance'!N54)-'Balance'!N19-'Balance'!N18)</f>
        <v/>
      </c>
      <c r="O17" s="45">
        <f>IF(COUNT('Balance'!O19)=0,"",('Balance'!O43+'Balance'!O54)-'Balance'!O19-'Balance'!O18)</f>
        <v/>
      </c>
      <c r="P17" s="45">
        <f>IF(COUNT('Balance'!P19)=0,"",('Balance'!P43+'Balance'!P54)-'Balance'!P19-'Balance'!P18)</f>
        <v/>
      </c>
      <c r="Q17" s="45">
        <f>IF(COUNT('Balance'!Q19)=0,"",('Balance'!Q43+'Balance'!Q54)-'Balance'!Q19-'Balance'!Q18)</f>
        <v/>
      </c>
      <c r="R17" s="45">
        <f>IF(COUNT('Balance'!R19)=0,"",('Balance'!R43+'Balance'!R54)-'Balance'!R19-'Balance'!R18)</f>
        <v/>
      </c>
      <c r="S17" s="45">
        <f>IF(COUNT('Balance'!S19)=0,"",('Balance'!S43+'Balance'!S54)-'Balance'!S19-'Balance'!S18)</f>
        <v/>
      </c>
      <c r="T17" s="45">
        <f>IF(COUNT('Balance'!T19)=0,"",('Balance'!T43+'Balance'!T54)-'Balance'!T19-'Balance'!T18)</f>
        <v/>
      </c>
      <c r="U17" s="45">
        <f>IF(COUNT('Balance'!U19)=0,"",('Balance'!U43+'Balance'!U54)-'Balance'!U19-'Balance'!U18)</f>
        <v/>
      </c>
      <c r="V17" s="45">
        <f>IF(COUNT('Balance'!V19)=0,"",('Balance'!V43+'Balance'!V54)-'Balance'!V19-'Balance'!V18)</f>
        <v/>
      </c>
      <c r="W17" s="45">
        <f>IF(COUNT('Balance'!W19)=0,"",('Balance'!W43+'Balance'!W54)-'Balance'!W19-'Balance'!W18)</f>
        <v/>
      </c>
      <c r="X17" s="45">
        <f>IF(COUNT('Balance'!X19)=0,"",('Balance'!X43+'Balance'!X54)-'Balance'!X19-'Balance'!X18)</f>
        <v/>
      </c>
      <c r="Y17" s="45">
        <f>IF(COUNT('Balance'!Y19)=0,"",('Balance'!Y43+'Balance'!Y54)-'Balance'!Y19-'Balance'!Y18)</f>
        <v/>
      </c>
      <c r="Z17" s="45">
        <f>IF(COUNT('Balance'!Z19)=0,"",('Balance'!Z43+'Balance'!Z54)-'Balance'!Z19-'Balance'!Z18)</f>
        <v/>
      </c>
      <c r="AA17" s="45">
        <f>IF(COUNT('Balance'!AA19)=0,"",('Balance'!AA43+'Balance'!AA54)-'Balance'!AA19-'Balance'!AA18)</f>
        <v/>
      </c>
      <c r="AC17" s="45">
        <f>IF(COUNT('Balance'!AC19)=0,"",('Balance'!AC43+'Balance'!AC54)-'Balance'!AC19-'Balance'!AC18)</f>
        <v/>
      </c>
      <c r="AD17" s="45">
        <f>IF(COUNT('Balance'!AD19)=0,"",('Balance'!AD43+'Balance'!AD54)-'Balance'!AD19-'Balance'!AD18)</f>
        <v/>
      </c>
      <c r="AE17" s="45">
        <f>IF(COUNT('Balance'!AE19)=0,"",('Balance'!AE43+'Balance'!AE54)-'Balance'!AE19-'Balance'!AE18)</f>
        <v/>
      </c>
      <c r="AF17" s="45">
        <f>IF(COUNT('Balance'!AF19)=0,"",('Balance'!AF43+'Balance'!AF54)-'Balance'!AF19-'Balance'!AF18)</f>
        <v/>
      </c>
      <c r="AG17" s="45">
        <f>IF(COUNT('Balance'!AG19)=0,"",('Balance'!AG43+'Balance'!AG54)-'Balance'!AG19-'Balance'!AG18)</f>
        <v/>
      </c>
      <c r="AH17" s="45">
        <f>IF(COUNT('Balance'!AH19)=0,"",('Balance'!AH43+'Balance'!AH54)-'Balance'!AH19-'Balance'!AH18)</f>
        <v/>
      </c>
      <c r="AI17" s="45">
        <f>IF(COUNT('Balance'!AI19)=0,"",('Balance'!AI43+'Balance'!AI54)-'Balance'!AI19-'Balance'!AI18)</f>
        <v/>
      </c>
      <c r="AK17" s="6" t="s">
        <v>419</v>
      </c>
    </row>
    <row r="18" spans="1:37">
      <c r="A18" s="42" t="s">
        <v>420</v>
      </c>
      <c r="B18" s="45">
        <f>IF(COUNT('Balance'!B19)=0,"",('Balance'!B43+'Balance'!B54)+('Balance'!B42+'Balance'!B53)-'Balance'!B19-'Balance'!B18)</f>
        <v/>
      </c>
      <c r="C18" s="45">
        <f>IF(COUNT('Balance'!C19)=0,"",('Balance'!C43+'Balance'!C54)+('Balance'!C42+'Balance'!C53)-'Balance'!C19-'Balance'!C18)</f>
        <v/>
      </c>
      <c r="D18" s="45">
        <f>IF(COUNT('Balance'!D19)=0,"",('Balance'!D43+'Balance'!D54)+('Balance'!D42+'Balance'!D53)-'Balance'!D19-'Balance'!D18)</f>
        <v/>
      </c>
      <c r="E18" s="45">
        <f>IF(COUNT('Balance'!E19)=0,"",('Balance'!E43+'Balance'!E54)+('Balance'!E42+'Balance'!E53)-'Balance'!E19-'Balance'!E18)</f>
        <v/>
      </c>
      <c r="F18" s="45">
        <f>IF(COUNT('Balance'!F19)=0,"",('Balance'!F43+'Balance'!F54)+('Balance'!F42+'Balance'!F53)-'Balance'!F19-'Balance'!F18)</f>
        <v/>
      </c>
      <c r="G18" s="45">
        <f>IF(COUNT('Balance'!G19)=0,"",('Balance'!G43+'Balance'!G54)+('Balance'!G42+'Balance'!G53)-'Balance'!G19-'Balance'!G18)</f>
        <v/>
      </c>
      <c r="H18" s="45">
        <f>IF(COUNT('Balance'!H19)=0,"",('Balance'!H43+'Balance'!H54)+('Balance'!H42+'Balance'!H53)-'Balance'!H19-'Balance'!H18)</f>
        <v/>
      </c>
      <c r="I18" s="45">
        <f>IF(COUNT('Balance'!I19)=0,"",('Balance'!I43+'Balance'!I54)+('Balance'!I42+'Balance'!I53)-'Balance'!I19-'Balance'!I18)</f>
        <v/>
      </c>
      <c r="J18" s="45">
        <f>IF(COUNT('Balance'!J19)=0,"",('Balance'!J43+'Balance'!J54)+('Balance'!J42+'Balance'!J53)-'Balance'!J19-'Balance'!J18)</f>
        <v/>
      </c>
      <c r="K18" s="45">
        <f>IF(COUNT('Balance'!K19)=0,"",('Balance'!K43+'Balance'!K54)+('Balance'!K42+'Balance'!K53)-'Balance'!K19-'Balance'!K18)</f>
        <v/>
      </c>
      <c r="L18" s="45">
        <f>IF(COUNT('Balance'!L19)=0,"",('Balance'!L43+'Balance'!L54)+('Balance'!L42+'Balance'!L53)-'Balance'!L19-'Balance'!L18)</f>
        <v/>
      </c>
      <c r="M18" s="45">
        <f>IF(COUNT('Balance'!M19)=0,"",('Balance'!M43+'Balance'!M54)+('Balance'!M42+'Balance'!M53)-'Balance'!M19-'Balance'!M18)</f>
        <v/>
      </c>
      <c r="N18" s="45">
        <f>IF(COUNT('Balance'!N19)=0,"",('Balance'!N43+'Balance'!N54)+('Balance'!N42+'Balance'!N53)-'Balance'!N19-'Balance'!N18)</f>
        <v/>
      </c>
      <c r="O18" s="45">
        <f>IF(COUNT('Balance'!O19)=0,"",('Balance'!O43+'Balance'!O54)+('Balance'!O42+'Balance'!O53)-'Balance'!O19-'Balance'!O18)</f>
        <v/>
      </c>
      <c r="P18" s="45">
        <f>IF(COUNT('Balance'!P19)=0,"",('Balance'!P43+'Balance'!P54)+('Balance'!P42+'Balance'!P53)-'Balance'!P19-'Balance'!P18)</f>
        <v/>
      </c>
      <c r="Q18" s="45">
        <f>IF(COUNT('Balance'!Q19)=0,"",('Balance'!Q43+'Balance'!Q54)+('Balance'!Q42+'Balance'!Q53)-'Balance'!Q19-'Balance'!Q18)</f>
        <v/>
      </c>
      <c r="R18" s="45">
        <f>IF(COUNT('Balance'!R19)=0,"",('Balance'!R43+'Balance'!R54)+('Balance'!R42+'Balance'!R53)-'Balance'!R19-'Balance'!R18)</f>
        <v/>
      </c>
      <c r="S18" s="45">
        <f>IF(COUNT('Balance'!S19)=0,"",('Balance'!S43+'Balance'!S54)+('Balance'!S42+'Balance'!S53)-'Balance'!S19-'Balance'!S18)</f>
        <v/>
      </c>
      <c r="T18" s="45">
        <f>IF(COUNT('Balance'!T19)=0,"",('Balance'!T43+'Balance'!T54)+('Balance'!T42+'Balance'!T53)-'Balance'!T19-'Balance'!T18)</f>
        <v/>
      </c>
      <c r="U18" s="45">
        <f>IF(COUNT('Balance'!U19)=0,"",('Balance'!U43+'Balance'!U54)+('Balance'!U42+'Balance'!U53)-'Balance'!U19-'Balance'!U18)</f>
        <v/>
      </c>
      <c r="V18" s="45">
        <f>IF(COUNT('Balance'!V19)=0,"",('Balance'!V43+'Balance'!V54)+('Balance'!V42+'Balance'!V53)-'Balance'!V19-'Balance'!V18)</f>
        <v/>
      </c>
      <c r="W18" s="45">
        <f>IF(COUNT('Balance'!W19)=0,"",('Balance'!W43+'Balance'!W54)+('Balance'!W42+'Balance'!W53)-'Balance'!W19-'Balance'!W18)</f>
        <v/>
      </c>
      <c r="X18" s="45">
        <f>IF(COUNT('Balance'!X19)=0,"",('Balance'!X43+'Balance'!X54)+('Balance'!X42+'Balance'!X53)-'Balance'!X19-'Balance'!X18)</f>
        <v/>
      </c>
      <c r="Y18" s="45">
        <f>IF(COUNT('Balance'!Y19)=0,"",('Balance'!Y43+'Balance'!Y54)+('Balance'!Y42+'Balance'!Y53)-'Balance'!Y19-'Balance'!Y18)</f>
        <v/>
      </c>
      <c r="Z18" s="45">
        <f>IF(COUNT('Balance'!Z19)=0,"",('Balance'!Z43+'Balance'!Z54)+('Balance'!Z42+'Balance'!Z53)-'Balance'!Z19-'Balance'!Z18)</f>
        <v/>
      </c>
      <c r="AA18" s="45">
        <f>IF(COUNT('Balance'!AA19)=0,"",('Balance'!AA43+'Balance'!AA54)+('Balance'!AA42+'Balance'!AA53)-'Balance'!AA19-'Balance'!AA18)</f>
        <v/>
      </c>
      <c r="AC18" s="45">
        <f>IF(COUNT('Balance'!AC19)=0,"",('Balance'!AC43+'Balance'!AC54)+('Balance'!AC42+'Balance'!AC53)-'Balance'!AC19-'Balance'!AC18)</f>
        <v/>
      </c>
      <c r="AD18" s="45">
        <f>IF(COUNT('Balance'!AD19)=0,"",('Balance'!AD43+'Balance'!AD54)+('Balance'!AD42+'Balance'!AD53)-'Balance'!AD19-'Balance'!AD18)</f>
        <v/>
      </c>
      <c r="AE18" s="45">
        <f>IF(COUNT('Balance'!AE19)=0,"",('Balance'!AE43+'Balance'!AE54)+('Balance'!AE42+'Balance'!AE53)-'Balance'!AE19-'Balance'!AE18)</f>
        <v/>
      </c>
      <c r="AF18" s="45">
        <f>IF(COUNT('Balance'!AF19)=0,"",('Balance'!AF43+'Balance'!AF54)+('Balance'!AF42+'Balance'!AF53)-'Balance'!AF19-'Balance'!AF18)</f>
        <v/>
      </c>
      <c r="AG18" s="45">
        <f>IF(COUNT('Balance'!AG19)=0,"",('Balance'!AG43+'Balance'!AG54)+('Balance'!AG42+'Balance'!AG53)-'Balance'!AG19-'Balance'!AG18)</f>
        <v/>
      </c>
      <c r="AH18" s="45">
        <f>IF(COUNT('Balance'!AH19)=0,"",('Balance'!AH43+'Balance'!AH54)+('Balance'!AH42+'Balance'!AH53)-'Balance'!AH19-'Balance'!AH18)</f>
        <v/>
      </c>
      <c r="AI18" s="45">
        <f>IF(COUNT('Balance'!AI19)=0,"",('Balance'!AI43+'Balance'!AI54)+('Balance'!AI42+'Balance'!AI53)-'Balance'!AI19-'Balance'!AI18)</f>
        <v/>
      </c>
    </row>
    <row r="19" spans="1:37">
      <c r="A19" s="42" t="s">
        <v>421</v>
      </c>
      <c r="B19" s="45">
        <f>IF(COUNT('Balance'!B19)=0,"",('Balance'!B43+'Balance'!B54)-'Balance'!B19-'Balance'!B18+'Balance'!B35)</f>
        <v/>
      </c>
      <c r="C19" s="45">
        <f>IF(COUNT('Balance'!C19)=0,"",('Balance'!C43+'Balance'!C54)-'Balance'!C19-'Balance'!C18+'Balance'!C35)</f>
        <v/>
      </c>
      <c r="D19" s="45">
        <f>IF(COUNT('Balance'!D19)=0,"",('Balance'!D43+'Balance'!D54)-'Balance'!D19-'Balance'!D18+'Balance'!D35)</f>
        <v/>
      </c>
      <c r="E19" s="45">
        <f>IF(COUNT('Balance'!E19)=0,"",('Balance'!E43+'Balance'!E54)-'Balance'!E19-'Balance'!E18+'Balance'!E35)</f>
        <v/>
      </c>
      <c r="F19" s="45">
        <f>IF(COUNT('Balance'!F19)=0,"",('Balance'!F43+'Balance'!F54)-'Balance'!F19-'Balance'!F18+'Balance'!F35)</f>
        <v/>
      </c>
      <c r="G19" s="45">
        <f>IF(COUNT('Balance'!G19)=0,"",('Balance'!G43+'Balance'!G54)-'Balance'!G19-'Balance'!G18+'Balance'!G35)</f>
        <v/>
      </c>
      <c r="H19" s="45">
        <f>IF(COUNT('Balance'!H19)=0,"",('Balance'!H43+'Balance'!H54)-'Balance'!H19-'Balance'!H18+'Balance'!H35)</f>
        <v/>
      </c>
      <c r="I19" s="45">
        <f>IF(COUNT('Balance'!I19)=0,"",('Balance'!I43+'Balance'!I54)-'Balance'!I19-'Balance'!I18+'Balance'!I35)</f>
        <v/>
      </c>
      <c r="J19" s="45">
        <f>IF(COUNT('Balance'!J19)=0,"",('Balance'!J43+'Balance'!J54)-'Balance'!J19-'Balance'!J18+'Balance'!J35)</f>
        <v/>
      </c>
      <c r="K19" s="45">
        <f>IF(COUNT('Balance'!K19)=0,"",('Balance'!K43+'Balance'!K54)-'Balance'!K19-'Balance'!K18+'Balance'!K35)</f>
        <v/>
      </c>
      <c r="L19" s="45">
        <f>IF(COUNT('Balance'!L19)=0,"",('Balance'!L43+'Balance'!L54)-'Balance'!L19-'Balance'!L18+'Balance'!L35)</f>
        <v/>
      </c>
      <c r="M19" s="45">
        <f>IF(COUNT('Balance'!M19)=0,"",('Balance'!M43+'Balance'!M54)-'Balance'!M19-'Balance'!M18+'Balance'!M35)</f>
        <v/>
      </c>
      <c r="N19" s="45">
        <f>IF(COUNT('Balance'!N19)=0,"",('Balance'!N43+'Balance'!N54)-'Balance'!N19-'Balance'!N18+'Balance'!N35)</f>
        <v/>
      </c>
      <c r="O19" s="45">
        <f>IF(COUNT('Balance'!O19)=0,"",('Balance'!O43+'Balance'!O54)-'Balance'!O19-'Balance'!O18+'Balance'!O35)</f>
        <v/>
      </c>
      <c r="P19" s="45">
        <f>IF(COUNT('Balance'!P19)=0,"",('Balance'!P43+'Balance'!P54)-'Balance'!P19-'Balance'!P18+'Balance'!P35)</f>
        <v/>
      </c>
      <c r="Q19" s="45">
        <f>IF(COUNT('Balance'!Q19)=0,"",('Balance'!Q43+'Balance'!Q54)-'Balance'!Q19-'Balance'!Q18+'Balance'!Q35)</f>
        <v/>
      </c>
      <c r="R19" s="45">
        <f>IF(COUNT('Balance'!R19)=0,"",('Balance'!R43+'Balance'!R54)-'Balance'!R19-'Balance'!R18+'Balance'!R35)</f>
        <v/>
      </c>
      <c r="S19" s="45">
        <f>IF(COUNT('Balance'!S19)=0,"",('Balance'!S43+'Balance'!S54)-'Balance'!S19-'Balance'!S18+'Balance'!S35)</f>
        <v/>
      </c>
      <c r="T19" s="45">
        <f>IF(COUNT('Balance'!T19)=0,"",('Balance'!T43+'Balance'!T54)-'Balance'!T19-'Balance'!T18+'Balance'!T35)</f>
        <v/>
      </c>
      <c r="U19" s="45">
        <f>IF(COUNT('Balance'!U19)=0,"",('Balance'!U43+'Balance'!U54)-'Balance'!U19-'Balance'!U18+'Balance'!U35)</f>
        <v/>
      </c>
      <c r="V19" s="45">
        <f>IF(COUNT('Balance'!V19)=0,"",('Balance'!V43+'Balance'!V54)-'Balance'!V19-'Balance'!V18+'Balance'!V35)</f>
        <v/>
      </c>
      <c r="W19" s="45">
        <f>IF(COUNT('Balance'!W19)=0,"",('Balance'!W43+'Balance'!W54)-'Balance'!W19-'Balance'!W18+'Balance'!W35)</f>
        <v/>
      </c>
      <c r="X19" s="45">
        <f>IF(COUNT('Balance'!X19)=0,"",('Balance'!X43+'Balance'!X54)-'Balance'!X19-'Balance'!X18+'Balance'!X35)</f>
        <v/>
      </c>
      <c r="Y19" s="45">
        <f>IF(COUNT('Balance'!Y19)=0,"",('Balance'!Y43+'Balance'!Y54)-'Balance'!Y19-'Balance'!Y18+'Balance'!Y35)</f>
        <v/>
      </c>
      <c r="Z19" s="45">
        <f>IF(COUNT('Balance'!Z19)=0,"",('Balance'!Z43+'Balance'!Z54)-'Balance'!Z19-'Balance'!Z18+'Balance'!Z35)</f>
        <v/>
      </c>
      <c r="AA19" s="45">
        <f>IF(COUNT('Balance'!AA19)=0,"",('Balance'!AA43+'Balance'!AA54)-'Balance'!AA19-'Balance'!AA18+'Balance'!AA35)</f>
        <v/>
      </c>
      <c r="AC19" s="45">
        <f>IF(COUNT('Balance'!AC19)=0,"",('Balance'!AC43+'Balance'!AC54)-'Balance'!AC19-'Balance'!AC18+'Balance'!AC35)</f>
        <v/>
      </c>
      <c r="AD19" s="45">
        <f>IF(COUNT('Balance'!AD19)=0,"",('Balance'!AD43+'Balance'!AD54)-'Balance'!AD19-'Balance'!AD18+'Balance'!AD35)</f>
        <v/>
      </c>
      <c r="AE19" s="45">
        <f>IF(COUNT('Balance'!AE19)=0,"",('Balance'!AE43+'Balance'!AE54)-'Balance'!AE19-'Balance'!AE18+'Balance'!AE35)</f>
        <v/>
      </c>
      <c r="AF19" s="45">
        <f>IF(COUNT('Balance'!AF19)=0,"",('Balance'!AF43+'Balance'!AF54)-'Balance'!AF19-'Balance'!AF18+'Balance'!AF35)</f>
        <v/>
      </c>
      <c r="AG19" s="45">
        <f>IF(COUNT('Balance'!AG19)=0,"",('Balance'!AG43+'Balance'!AG54)-'Balance'!AG19-'Balance'!AG18+'Balance'!AG35)</f>
        <v/>
      </c>
      <c r="AH19" s="45">
        <f>IF(COUNT('Balance'!AH19)=0,"",('Balance'!AH43+'Balance'!AH54)-'Balance'!AH19-'Balance'!AH18+'Balance'!AH35)</f>
        <v/>
      </c>
      <c r="AI19" s="45">
        <f>IF(COUNT('Balance'!AI19)=0,"",('Balance'!AI43+'Balance'!AI54)-'Balance'!AI19-'Balance'!AI18+'Balance'!AI35)</f>
        <v/>
      </c>
    </row>
    <row r="21" spans="1:37">
      <c r="A21" s="5" t="s">
        <v>422</v>
      </c>
    </row>
    <row r="22" spans="1:37">
      <c r="A22" s="42" t="s">
        <v>423</v>
      </c>
      <c r="E22" s="45">
        <f>('Resultados'!E13+('Flujo de efectivo'!E7+'Flujo de efectivo'!E8+'Flujo de efectivo'!E9))+('Resultados'!D13+('Flujo de efectivo'!D7+'Flujo de efectivo'!D8+'Flujo de efectivo'!D9))+('Resultados'!C13+('Flujo de efectivo'!C7+'Flujo de efectivo'!C8+'Flujo de efectivo'!C9))+('Resultados'!B13+('Flujo de efectivo'!B7+'Flujo de efectivo'!B8+'Flujo de efectivo'!B9))</f>
        <v/>
      </c>
      <c r="F22" s="45">
        <f>('Resultados'!F13+('Flujo de efectivo'!F7+'Flujo de efectivo'!F8+'Flujo de efectivo'!F9))+('Resultados'!E13+('Flujo de efectivo'!E7+'Flujo de efectivo'!E8+'Flujo de efectivo'!E9))+('Resultados'!D13+('Flujo de efectivo'!D7+'Flujo de efectivo'!D8+'Flujo de efectivo'!D9))+('Resultados'!C13+('Flujo de efectivo'!C7+'Flujo de efectivo'!C8+'Flujo de efectivo'!C9))</f>
        <v/>
      </c>
      <c r="G22" s="45">
        <f>('Resultados'!G13+('Flujo de efectivo'!G7+'Flujo de efectivo'!G8+'Flujo de efectivo'!G9))+('Resultados'!F13+('Flujo de efectivo'!F7+'Flujo de efectivo'!F8+'Flujo de efectivo'!F9))+('Resultados'!E13+('Flujo de efectivo'!E7+'Flujo de efectivo'!E8+'Flujo de efectivo'!E9))+('Resultados'!D13+('Flujo de efectivo'!D7+'Flujo de efectivo'!D8+'Flujo de efectivo'!D9))</f>
        <v/>
      </c>
      <c r="H22" s="45">
        <f>('Resultados'!H13+('Flujo de efectivo'!H7+'Flujo de efectivo'!H8+'Flujo de efectivo'!H9))+('Resultados'!G13+('Flujo de efectivo'!G7+'Flujo de efectivo'!G8+'Flujo de efectivo'!G9))+('Resultados'!F13+('Flujo de efectivo'!F7+'Flujo de efectivo'!F8+'Flujo de efectivo'!F9))+('Resultados'!E13+('Flujo de efectivo'!E7+'Flujo de efectivo'!E8+'Flujo de efectivo'!E9))</f>
        <v/>
      </c>
      <c r="I22" s="45">
        <f>('Resultados'!I13+('Flujo de efectivo'!I7+'Flujo de efectivo'!I8+'Flujo de efectivo'!I9))+('Resultados'!H13+('Flujo de efectivo'!H7+'Flujo de efectivo'!H8+'Flujo de efectivo'!H9))+('Resultados'!G13+('Flujo de efectivo'!G7+'Flujo de efectivo'!G8+'Flujo de efectivo'!G9))+('Resultados'!F13+('Flujo de efectivo'!F7+'Flujo de efectivo'!F8+'Flujo de efectivo'!F9))</f>
        <v/>
      </c>
      <c r="J22" s="45">
        <f>('Resultados'!J13+('Flujo de efectivo'!J7+'Flujo de efectivo'!J8+'Flujo de efectivo'!J9))+('Resultados'!I13+('Flujo de efectivo'!I7+'Flujo de efectivo'!I8+'Flujo de efectivo'!I9))+('Resultados'!H13+('Flujo de efectivo'!H7+'Flujo de efectivo'!H8+'Flujo de efectivo'!H9))+('Resultados'!G13+('Flujo de efectivo'!G7+'Flujo de efectivo'!G8+'Flujo de efectivo'!G9))</f>
        <v/>
      </c>
      <c r="K22" s="45">
        <f>('Resultados'!K13+('Flujo de efectivo'!K7+'Flujo de efectivo'!K8+'Flujo de efectivo'!K9))+('Resultados'!J13+('Flujo de efectivo'!J7+'Flujo de efectivo'!J8+'Flujo de efectivo'!J9))+('Resultados'!I13+('Flujo de efectivo'!I7+'Flujo de efectivo'!I8+'Flujo de efectivo'!I9))+('Resultados'!H13+('Flujo de efectivo'!H7+'Flujo de efectivo'!H8+'Flujo de efectivo'!H9))</f>
        <v/>
      </c>
      <c r="L22" s="45">
        <f>('Resultados'!L13+('Flujo de efectivo'!L7+'Flujo de efectivo'!L8+'Flujo de efectivo'!L9))+('Resultados'!K13+('Flujo de efectivo'!K7+'Flujo de efectivo'!K8+'Flujo de efectivo'!K9))+('Resultados'!J13+('Flujo de efectivo'!J7+'Flujo de efectivo'!J8+'Flujo de efectivo'!J9))+('Resultados'!I13+('Flujo de efectivo'!I7+'Flujo de efectivo'!I8+'Flujo de efectivo'!I9))</f>
        <v/>
      </c>
      <c r="M22" s="45">
        <f>('Resultados'!M13+('Flujo de efectivo'!M7+'Flujo de efectivo'!M8+'Flujo de efectivo'!M9))+('Resultados'!L13+('Flujo de efectivo'!L7+'Flujo de efectivo'!L8+'Flujo de efectivo'!L9))+('Resultados'!K13+('Flujo de efectivo'!K7+'Flujo de efectivo'!K8+'Flujo de efectivo'!K9))+('Resultados'!J13+('Flujo de efectivo'!J7+'Flujo de efectivo'!J8+'Flujo de efectivo'!J9))</f>
        <v/>
      </c>
      <c r="N22" s="45">
        <f>('Resultados'!N13+('Flujo de efectivo'!N7+'Flujo de efectivo'!N8+'Flujo de efectivo'!N9))+('Resultados'!M13+('Flujo de efectivo'!M7+'Flujo de efectivo'!M8+'Flujo de efectivo'!M9))+('Resultados'!L13+('Flujo de efectivo'!L7+'Flujo de efectivo'!L8+'Flujo de efectivo'!L9))+('Resultados'!K13+('Flujo de efectivo'!K7+'Flujo de efectivo'!K8+'Flujo de efectivo'!K9))</f>
        <v/>
      </c>
      <c r="O22" s="45">
        <f>('Resultados'!O13+('Flujo de efectivo'!O7+'Flujo de efectivo'!O8+'Flujo de efectivo'!O9))+('Resultados'!N13+('Flujo de efectivo'!N7+'Flujo de efectivo'!N8+'Flujo de efectivo'!N9))+('Resultados'!M13+('Flujo de efectivo'!M7+'Flujo de efectivo'!M8+'Flujo de efectivo'!M9))+('Resultados'!L13+('Flujo de efectivo'!L7+'Flujo de efectivo'!L8+'Flujo de efectivo'!L9))</f>
        <v/>
      </c>
      <c r="P22" s="45">
        <f>('Resultados'!P13+('Flujo de efectivo'!P7+'Flujo de efectivo'!P8+'Flujo de efectivo'!P9))+('Resultados'!O13+('Flujo de efectivo'!O7+'Flujo de efectivo'!O8+'Flujo de efectivo'!O9))+('Resultados'!N13+('Flujo de efectivo'!N7+'Flujo de efectivo'!N8+'Flujo de efectivo'!N9))+('Resultados'!M13+('Flujo de efectivo'!M7+'Flujo de efectivo'!M8+'Flujo de efectivo'!M9))</f>
        <v/>
      </c>
      <c r="Q22" s="45">
        <f>('Resultados'!Q13+('Flujo de efectivo'!Q7+'Flujo de efectivo'!Q8+'Flujo de efectivo'!Q9))+('Resultados'!P13+('Flujo de efectivo'!P7+'Flujo de efectivo'!P8+'Flujo de efectivo'!P9))+('Resultados'!O13+('Flujo de efectivo'!O7+'Flujo de efectivo'!O8+'Flujo de efectivo'!O9))+('Resultados'!N13+('Flujo de efectivo'!N7+'Flujo de efectivo'!N8+'Flujo de efectivo'!N9))</f>
        <v/>
      </c>
      <c r="R22" s="45">
        <f>('Resultados'!R13+('Flujo de efectivo'!R7+'Flujo de efectivo'!R8+'Flujo de efectivo'!R9))+('Resultados'!Q13+('Flujo de efectivo'!Q7+'Flujo de efectivo'!Q8+'Flujo de efectivo'!Q9))+('Resultados'!P13+('Flujo de efectivo'!P7+'Flujo de efectivo'!P8+'Flujo de efectivo'!P9))+('Resultados'!O13+('Flujo de efectivo'!O7+'Flujo de efectivo'!O8+'Flujo de efectivo'!O9))</f>
        <v/>
      </c>
      <c r="S22" s="45">
        <f>('Resultados'!S13+('Flujo de efectivo'!S7+'Flujo de efectivo'!S8+'Flujo de efectivo'!S9))+('Resultados'!R13+('Flujo de efectivo'!R7+'Flujo de efectivo'!R8+'Flujo de efectivo'!R9))+('Resultados'!Q13+('Flujo de efectivo'!Q7+'Flujo de efectivo'!Q8+'Flujo de efectivo'!Q9))+('Resultados'!P13+('Flujo de efectivo'!P7+'Flujo de efectivo'!P8+'Flujo de efectivo'!P9))</f>
        <v/>
      </c>
      <c r="T22" s="45">
        <f>('Resultados'!T13+('Flujo de efectivo'!T7+'Flujo de efectivo'!T8+'Flujo de efectivo'!T9))+('Resultados'!S13+('Flujo de efectivo'!S7+'Flujo de efectivo'!S8+'Flujo de efectivo'!S9))+('Resultados'!R13+('Flujo de efectivo'!R7+'Flujo de efectivo'!R8+'Flujo de efectivo'!R9))+('Resultados'!Q13+('Flujo de efectivo'!Q7+'Flujo de efectivo'!Q8+'Flujo de efectivo'!Q9))</f>
        <v/>
      </c>
      <c r="U22" s="45">
        <f>('Resultados'!U13+('Flujo de efectivo'!U7+'Flujo de efectivo'!U8+'Flujo de efectivo'!U9))+('Resultados'!T13+('Flujo de efectivo'!T7+'Flujo de efectivo'!T8+'Flujo de efectivo'!T9))+('Resultados'!S13+('Flujo de efectivo'!S7+'Flujo de efectivo'!S8+'Flujo de efectivo'!S9))+('Resultados'!R13+('Flujo de efectivo'!R7+'Flujo de efectivo'!R8+'Flujo de efectivo'!R9))</f>
        <v/>
      </c>
      <c r="V22" s="45">
        <f>('Resultados'!V13+('Flujo de efectivo'!V7+'Flujo de efectivo'!V8+'Flujo de efectivo'!V9))+('Resultados'!U13+('Flujo de efectivo'!U7+'Flujo de efectivo'!U8+'Flujo de efectivo'!U9))+('Resultados'!T13+('Flujo de efectivo'!T7+'Flujo de efectivo'!T8+'Flujo de efectivo'!T9))+('Resultados'!S13+('Flujo de efectivo'!S7+'Flujo de efectivo'!S8+'Flujo de efectivo'!S9))</f>
        <v/>
      </c>
      <c r="W22" s="45">
        <f>('Resultados'!W13+('Flujo de efectivo'!W7+'Flujo de efectivo'!W8+'Flujo de efectivo'!W9))+('Resultados'!V13+('Flujo de efectivo'!V7+'Flujo de efectivo'!V8+'Flujo de efectivo'!V9))+('Resultados'!U13+('Flujo de efectivo'!U7+'Flujo de efectivo'!U8+'Flujo de efectivo'!U9))+('Resultados'!T13+('Flujo de efectivo'!T7+'Flujo de efectivo'!T8+'Flujo de efectivo'!T9))</f>
        <v/>
      </c>
      <c r="X22" s="45">
        <f>('Resultados'!X13+('Flujo de efectivo'!X7+'Flujo de efectivo'!X8+'Flujo de efectivo'!X9))+('Resultados'!W13+('Flujo de efectivo'!W7+'Flujo de efectivo'!W8+'Flujo de efectivo'!W9))+('Resultados'!V13+('Flujo de efectivo'!V7+'Flujo de efectivo'!V8+'Flujo de efectivo'!V9))+('Resultados'!U13+('Flujo de efectivo'!U7+'Flujo de efectivo'!U8+'Flujo de efectivo'!U9))</f>
        <v/>
      </c>
      <c r="Y22" s="45">
        <f>('Resultados'!Y13+('Flujo de efectivo'!Y7+'Flujo de efectivo'!Y8+'Flujo de efectivo'!Y9))+('Resultados'!X13+('Flujo de efectivo'!X7+'Flujo de efectivo'!X8+'Flujo de efectivo'!X9))+('Resultados'!W13+('Flujo de efectivo'!W7+'Flujo de efectivo'!W8+'Flujo de efectivo'!W9))+('Resultados'!V13+('Flujo de efectivo'!V7+'Flujo de efectivo'!V8+'Flujo de efectivo'!V9))</f>
        <v/>
      </c>
      <c r="Z22" s="45">
        <f>('Resultados'!Z13+('Flujo de efectivo'!Z7+'Flujo de efectivo'!Z8+'Flujo de efectivo'!Z9))+('Resultados'!Y13+('Flujo de efectivo'!Y7+'Flujo de efectivo'!Y8+'Flujo de efectivo'!Y9))+('Resultados'!X13+('Flujo de efectivo'!X7+'Flujo de efectivo'!X8+'Flujo de efectivo'!X9))+('Resultados'!W13+('Flujo de efectivo'!W7+'Flujo de efectivo'!W8+'Flujo de efectivo'!W9))</f>
        <v/>
      </c>
      <c r="AA22" s="45">
        <f>('Resultados'!AA13+('Flujo de efectivo'!AA7+'Flujo de efectivo'!AA8+'Flujo de efectivo'!AA9))+('Resultados'!Z13+('Flujo de efectivo'!Z7+'Flujo de efectivo'!Z8+'Flujo de efectivo'!Z9))+('Resultados'!Y13+('Flujo de efectivo'!Y7+'Flujo de efectivo'!Y8+'Flujo de efectivo'!Y9))+('Resultados'!X13+('Flujo de efectivo'!X7+'Flujo de efectivo'!X8+'Flujo de efectivo'!X9))</f>
        <v/>
      </c>
    </row>
    <row r="23" spans="1:37">
      <c r="A23" s="42" t="s">
        <v>424</v>
      </c>
      <c r="E23" s="45">
        <f>'Resultados'!E21+'Resultados'!D21+'Resultados'!C21+'Resultados'!B21</f>
        <v/>
      </c>
      <c r="F23" s="45">
        <f>'Resultados'!F21+'Resultados'!E21+'Resultados'!D21+'Resultados'!C21</f>
        <v/>
      </c>
      <c r="G23" s="45">
        <f>'Resultados'!G21+'Resultados'!F21+'Resultados'!E21+'Resultados'!D21</f>
        <v/>
      </c>
      <c r="H23" s="45">
        <f>'Resultados'!H21+'Resultados'!G21+'Resultados'!F21+'Resultados'!E21</f>
        <v/>
      </c>
      <c r="I23" s="45">
        <f>'Resultados'!I21+'Resultados'!H21+'Resultados'!G21+'Resultados'!F21</f>
        <v/>
      </c>
      <c r="J23" s="45">
        <f>'Resultados'!J21+'Resultados'!I21+'Resultados'!H21+'Resultados'!G21</f>
        <v/>
      </c>
      <c r="K23" s="45">
        <f>'Resultados'!K21+'Resultados'!J21+'Resultados'!I21+'Resultados'!H21</f>
        <v/>
      </c>
      <c r="L23" s="45">
        <f>'Resultados'!L21+'Resultados'!K21+'Resultados'!J21+'Resultados'!I21</f>
        <v/>
      </c>
      <c r="M23" s="45">
        <f>'Resultados'!M21+'Resultados'!L21+'Resultados'!K21+'Resultados'!J21</f>
        <v/>
      </c>
      <c r="N23" s="45">
        <f>'Resultados'!N21+'Resultados'!M21+'Resultados'!L21+'Resultados'!K21</f>
        <v/>
      </c>
      <c r="O23" s="45">
        <f>'Resultados'!O21+'Resultados'!N21+'Resultados'!M21+'Resultados'!L21</f>
        <v/>
      </c>
      <c r="P23" s="45">
        <f>'Resultados'!P21+'Resultados'!O21+'Resultados'!N21+'Resultados'!M21</f>
        <v/>
      </c>
      <c r="Q23" s="45">
        <f>'Resultados'!Q21+'Resultados'!P21+'Resultados'!O21+'Resultados'!N21</f>
        <v/>
      </c>
      <c r="R23" s="45">
        <f>'Resultados'!R21+'Resultados'!Q21+'Resultados'!P21+'Resultados'!O21</f>
        <v/>
      </c>
      <c r="S23" s="45">
        <f>'Resultados'!S21+'Resultados'!R21+'Resultados'!Q21+'Resultados'!P21</f>
        <v/>
      </c>
      <c r="T23" s="45">
        <f>'Resultados'!T21+'Resultados'!S21+'Resultados'!R21+'Resultados'!Q21</f>
        <v/>
      </c>
      <c r="U23" s="45">
        <f>'Resultados'!U21+'Resultados'!T21+'Resultados'!S21+'Resultados'!R21</f>
        <v/>
      </c>
      <c r="V23" s="45">
        <f>'Resultados'!V21+'Resultados'!U21+'Resultados'!T21+'Resultados'!S21</f>
        <v/>
      </c>
      <c r="W23" s="45">
        <f>'Resultados'!W21+'Resultados'!V21+'Resultados'!U21+'Resultados'!T21</f>
        <v/>
      </c>
      <c r="X23" s="45">
        <f>'Resultados'!X21+'Resultados'!W21+'Resultados'!V21+'Resultados'!U21</f>
        <v/>
      </c>
      <c r="Y23" s="45">
        <f>'Resultados'!Y21+'Resultados'!X21+'Resultados'!W21+'Resultados'!V21</f>
        <v/>
      </c>
      <c r="Z23" s="45">
        <f>'Resultados'!Z21+'Resultados'!Y21+'Resultados'!X21+'Resultados'!W21</f>
        <v/>
      </c>
      <c r="AA23" s="45">
        <f>'Resultados'!AA21+'Resultados'!Z21+'Resultados'!Y21+'Resultados'!X21</f>
        <v/>
      </c>
    </row>
    <row r="24" spans="1:37">
      <c r="A24" s="42" t="s">
        <v>425</v>
      </c>
      <c r="E24" s="45">
        <f>'Flujo de efectivo'!E33+'Flujo de efectivo'!D33+'Flujo de efectivo'!C33+'Flujo de efectivo'!B33</f>
        <v/>
      </c>
      <c r="F24" s="45">
        <f>'Flujo de efectivo'!F33+'Flujo de efectivo'!E33+'Flujo de efectivo'!D33+'Flujo de efectivo'!C33</f>
        <v/>
      </c>
      <c r="G24" s="45">
        <f>'Flujo de efectivo'!G33+'Flujo de efectivo'!F33+'Flujo de efectivo'!E33+'Flujo de efectivo'!D33</f>
        <v/>
      </c>
      <c r="H24" s="45">
        <f>'Flujo de efectivo'!H33+'Flujo de efectivo'!G33+'Flujo de efectivo'!F33+'Flujo de efectivo'!E33</f>
        <v/>
      </c>
      <c r="I24" s="45">
        <f>'Flujo de efectivo'!I33+'Flujo de efectivo'!H33+'Flujo de efectivo'!G33+'Flujo de efectivo'!F33</f>
        <v/>
      </c>
      <c r="J24" s="45">
        <f>'Flujo de efectivo'!J33+'Flujo de efectivo'!I33+'Flujo de efectivo'!H33+'Flujo de efectivo'!G33</f>
        <v/>
      </c>
      <c r="K24" s="45">
        <f>'Flujo de efectivo'!K33+'Flujo de efectivo'!J33+'Flujo de efectivo'!I33+'Flujo de efectivo'!H33</f>
        <v/>
      </c>
      <c r="L24" s="45">
        <f>'Flujo de efectivo'!L33+'Flujo de efectivo'!K33+'Flujo de efectivo'!J33+'Flujo de efectivo'!I33</f>
        <v/>
      </c>
      <c r="M24" s="45">
        <f>'Flujo de efectivo'!M33+'Flujo de efectivo'!L33+'Flujo de efectivo'!K33+'Flujo de efectivo'!J33</f>
        <v/>
      </c>
      <c r="N24" s="45">
        <f>'Flujo de efectivo'!N33+'Flujo de efectivo'!M33+'Flujo de efectivo'!L33+'Flujo de efectivo'!K33</f>
        <v/>
      </c>
      <c r="O24" s="45">
        <f>'Flujo de efectivo'!O33+'Flujo de efectivo'!N33+'Flujo de efectivo'!M33+'Flujo de efectivo'!L33</f>
        <v/>
      </c>
      <c r="P24" s="45">
        <f>'Flujo de efectivo'!P33+'Flujo de efectivo'!O33+'Flujo de efectivo'!N33+'Flujo de efectivo'!M33</f>
        <v/>
      </c>
      <c r="Q24" s="45">
        <f>'Flujo de efectivo'!Q33+'Flujo de efectivo'!P33+'Flujo de efectivo'!O33+'Flujo de efectivo'!N33</f>
        <v/>
      </c>
      <c r="R24" s="45">
        <f>'Flujo de efectivo'!R33+'Flujo de efectivo'!Q33+'Flujo de efectivo'!P33+'Flujo de efectivo'!O33</f>
        <v/>
      </c>
      <c r="S24" s="45">
        <f>'Flujo de efectivo'!S33+'Flujo de efectivo'!R33+'Flujo de efectivo'!Q33+'Flujo de efectivo'!P33</f>
        <v/>
      </c>
      <c r="T24" s="45">
        <f>'Flujo de efectivo'!T33+'Flujo de efectivo'!S33+'Flujo de efectivo'!R33+'Flujo de efectivo'!Q33</f>
        <v/>
      </c>
      <c r="U24" s="45">
        <f>'Flujo de efectivo'!U33+'Flujo de efectivo'!T33+'Flujo de efectivo'!S33+'Flujo de efectivo'!R33</f>
        <v/>
      </c>
      <c r="V24" s="45">
        <f>'Flujo de efectivo'!V33+'Flujo de efectivo'!U33+'Flujo de efectivo'!T33+'Flujo de efectivo'!S33</f>
        <v/>
      </c>
      <c r="W24" s="45">
        <f>'Flujo de efectivo'!W33+'Flujo de efectivo'!V33+'Flujo de efectivo'!U33+'Flujo de efectivo'!T33</f>
        <v/>
      </c>
      <c r="X24" s="45">
        <f>'Flujo de efectivo'!X33+'Flujo de efectivo'!W33+'Flujo de efectivo'!V33+'Flujo de efectivo'!U33</f>
        <v/>
      </c>
      <c r="Y24" s="45">
        <f>'Flujo de efectivo'!Y33+'Flujo de efectivo'!X33+'Flujo de efectivo'!W33+'Flujo de efectivo'!V33</f>
        <v/>
      </c>
      <c r="Z24" s="45">
        <f>'Flujo de efectivo'!Z33+'Flujo de efectivo'!Y33+'Flujo de efectivo'!X33+'Flujo de efectivo'!W33</f>
        <v/>
      </c>
      <c r="AA24" s="45">
        <f>'Flujo de efectivo'!AA33+'Flujo de efectivo'!Z33+'Flujo de efectivo'!Y33+'Flujo de efectivo'!X33</f>
        <v/>
      </c>
    </row>
    <row r="25" spans="1:37">
      <c r="A25" s="42" t="s">
        <v>426</v>
      </c>
      <c r="E25" s="45">
        <f>'Resultados'!E5+'Resultados'!D5+'Resultados'!C5+'Resultados'!B5</f>
        <v/>
      </c>
      <c r="F25" s="45">
        <f>'Resultados'!F5+'Resultados'!E5+'Resultados'!D5+'Resultados'!C5</f>
        <v/>
      </c>
      <c r="G25" s="45">
        <f>'Resultados'!G5+'Resultados'!F5+'Resultados'!E5+'Resultados'!D5</f>
        <v/>
      </c>
      <c r="H25" s="45">
        <f>'Resultados'!H5+'Resultados'!G5+'Resultados'!F5+'Resultados'!E5</f>
        <v/>
      </c>
      <c r="I25" s="45">
        <f>'Resultados'!I5+'Resultados'!H5+'Resultados'!G5+'Resultados'!F5</f>
        <v/>
      </c>
      <c r="J25" s="45">
        <f>'Resultados'!J5+'Resultados'!I5+'Resultados'!H5+'Resultados'!G5</f>
        <v/>
      </c>
      <c r="K25" s="45">
        <f>'Resultados'!K5+'Resultados'!J5+'Resultados'!I5+'Resultados'!H5</f>
        <v/>
      </c>
      <c r="L25" s="45">
        <f>'Resultados'!L5+'Resultados'!K5+'Resultados'!J5+'Resultados'!I5</f>
        <v/>
      </c>
      <c r="M25" s="45">
        <f>'Resultados'!M5+'Resultados'!L5+'Resultados'!K5+'Resultados'!J5</f>
        <v/>
      </c>
      <c r="N25" s="45">
        <f>'Resultados'!N5+'Resultados'!M5+'Resultados'!L5+'Resultados'!K5</f>
        <v/>
      </c>
      <c r="O25" s="45">
        <f>'Resultados'!O5+'Resultados'!N5+'Resultados'!M5+'Resultados'!L5</f>
        <v/>
      </c>
      <c r="P25" s="45">
        <f>'Resultados'!P5+'Resultados'!O5+'Resultados'!N5+'Resultados'!M5</f>
        <v/>
      </c>
      <c r="Q25" s="45">
        <f>'Resultados'!Q5+'Resultados'!P5+'Resultados'!O5+'Resultados'!N5</f>
        <v/>
      </c>
      <c r="R25" s="45">
        <f>'Resultados'!R5+'Resultados'!Q5+'Resultados'!P5+'Resultados'!O5</f>
        <v/>
      </c>
      <c r="S25" s="45">
        <f>'Resultados'!S5+'Resultados'!R5+'Resultados'!Q5+'Resultados'!P5</f>
        <v/>
      </c>
      <c r="T25" s="45">
        <f>'Resultados'!T5+'Resultados'!S5+'Resultados'!R5+'Resultados'!Q5</f>
        <v/>
      </c>
      <c r="U25" s="45">
        <f>'Resultados'!U5+'Resultados'!T5+'Resultados'!S5+'Resultados'!R5</f>
        <v/>
      </c>
      <c r="V25" s="45">
        <f>'Resultados'!V5+'Resultados'!U5+'Resultados'!T5+'Resultados'!S5</f>
        <v/>
      </c>
      <c r="W25" s="45">
        <f>'Resultados'!W5+'Resultados'!V5+'Resultados'!U5+'Resultados'!T5</f>
        <v/>
      </c>
      <c r="X25" s="45">
        <f>'Resultados'!X5+'Resultados'!W5+'Resultados'!V5+'Resultados'!U5</f>
        <v/>
      </c>
      <c r="Y25" s="45">
        <f>'Resultados'!Y5+'Resultados'!X5+'Resultados'!W5+'Resultados'!V5</f>
        <v/>
      </c>
      <c r="Z25" s="45">
        <f>'Resultados'!Z5+'Resultados'!Y5+'Resultados'!X5+'Resultados'!W5</f>
        <v/>
      </c>
      <c r="AA25" s="45">
        <f>'Resultados'!AA5+'Resultados'!Z5+'Resultados'!Y5+'Resultados'!X5</f>
        <v/>
      </c>
    </row>
    <row r="26" spans="1:37">
      <c r="A26" s="42" t="s">
        <v>427</v>
      </c>
      <c r="E26" s="45">
        <f>'Resultados'!E13+'Resultados'!D13+'Resultados'!C13+'Resultados'!B13</f>
        <v/>
      </c>
      <c r="F26" s="45">
        <f>'Resultados'!F13+'Resultados'!E13+'Resultados'!D13+'Resultados'!C13</f>
        <v/>
      </c>
      <c r="G26" s="45">
        <f>'Resultados'!G13+'Resultados'!F13+'Resultados'!E13+'Resultados'!D13</f>
        <v/>
      </c>
      <c r="H26" s="45">
        <f>'Resultados'!H13+'Resultados'!G13+'Resultados'!F13+'Resultados'!E13</f>
        <v/>
      </c>
      <c r="I26" s="45">
        <f>'Resultados'!I13+'Resultados'!H13+'Resultados'!G13+'Resultados'!F13</f>
        <v/>
      </c>
      <c r="J26" s="45">
        <f>'Resultados'!J13+'Resultados'!I13+'Resultados'!H13+'Resultados'!G13</f>
        <v/>
      </c>
      <c r="K26" s="45">
        <f>'Resultados'!K13+'Resultados'!J13+'Resultados'!I13+'Resultados'!H13</f>
        <v/>
      </c>
      <c r="L26" s="45">
        <f>'Resultados'!L13+'Resultados'!K13+'Resultados'!J13+'Resultados'!I13</f>
        <v/>
      </c>
      <c r="M26" s="45">
        <f>'Resultados'!M13+'Resultados'!L13+'Resultados'!K13+'Resultados'!J13</f>
        <v/>
      </c>
      <c r="N26" s="45">
        <f>'Resultados'!N13+'Resultados'!M13+'Resultados'!L13+'Resultados'!K13</f>
        <v/>
      </c>
      <c r="O26" s="45">
        <f>'Resultados'!O13+'Resultados'!N13+'Resultados'!M13+'Resultados'!L13</f>
        <v/>
      </c>
      <c r="P26" s="45">
        <f>'Resultados'!P13+'Resultados'!O13+'Resultados'!N13+'Resultados'!M13</f>
        <v/>
      </c>
      <c r="Q26" s="45">
        <f>'Resultados'!Q13+'Resultados'!P13+'Resultados'!O13+'Resultados'!N13</f>
        <v/>
      </c>
      <c r="R26" s="45">
        <f>'Resultados'!R13+'Resultados'!Q13+'Resultados'!P13+'Resultados'!O13</f>
        <v/>
      </c>
      <c r="S26" s="45">
        <f>'Resultados'!S13+'Resultados'!R13+'Resultados'!Q13+'Resultados'!P13</f>
        <v/>
      </c>
      <c r="T26" s="45">
        <f>'Resultados'!T13+'Resultados'!S13+'Resultados'!R13+'Resultados'!Q13</f>
        <v/>
      </c>
      <c r="U26" s="45">
        <f>'Resultados'!U13+'Resultados'!T13+'Resultados'!S13+'Resultados'!R13</f>
        <v/>
      </c>
      <c r="V26" s="45">
        <f>'Resultados'!V13+'Resultados'!U13+'Resultados'!T13+'Resultados'!S13</f>
        <v/>
      </c>
      <c r="W26" s="45">
        <f>'Resultados'!W13+'Resultados'!V13+'Resultados'!U13+'Resultados'!T13</f>
        <v/>
      </c>
      <c r="X26" s="45">
        <f>'Resultados'!X13+'Resultados'!W13+'Resultados'!V13+'Resultados'!U13</f>
        <v/>
      </c>
      <c r="Y26" s="45">
        <f>'Resultados'!Y13+'Resultados'!X13+'Resultados'!W13+'Resultados'!V13</f>
        <v/>
      </c>
      <c r="Z26" s="45">
        <f>'Resultados'!Z13+'Resultados'!Y13+'Resultados'!X13+'Resultados'!W13</f>
        <v/>
      </c>
      <c r="AA26" s="45">
        <f>'Resultados'!AA13+'Resultados'!Z13+'Resultados'!Y13+'Resultados'!X13</f>
        <v/>
      </c>
    </row>
    <row r="27" spans="1:37">
      <c r="A27" s="42" t="s">
        <v>428</v>
      </c>
      <c r="E27" s="45">
        <f>'Resultados'!E19+'Resultados'!D19+'Resultados'!C19+'Resultados'!B19</f>
        <v/>
      </c>
      <c r="F27" s="45">
        <f>'Resultados'!F19+'Resultados'!E19+'Resultados'!D19+'Resultados'!C19</f>
        <v/>
      </c>
      <c r="G27" s="45">
        <f>'Resultados'!G19+'Resultados'!F19+'Resultados'!E19+'Resultados'!D19</f>
        <v/>
      </c>
      <c r="H27" s="45">
        <f>'Resultados'!H19+'Resultados'!G19+'Resultados'!F19+'Resultados'!E19</f>
        <v/>
      </c>
      <c r="I27" s="45">
        <f>'Resultados'!I19+'Resultados'!H19+'Resultados'!G19+'Resultados'!F19</f>
        <v/>
      </c>
      <c r="J27" s="45">
        <f>'Resultados'!J19+'Resultados'!I19+'Resultados'!H19+'Resultados'!G19</f>
        <v/>
      </c>
      <c r="K27" s="45">
        <f>'Resultados'!K19+'Resultados'!J19+'Resultados'!I19+'Resultados'!H19</f>
        <v/>
      </c>
      <c r="L27" s="45">
        <f>'Resultados'!L19+'Resultados'!K19+'Resultados'!J19+'Resultados'!I19</f>
        <v/>
      </c>
      <c r="M27" s="45">
        <f>'Resultados'!M19+'Resultados'!L19+'Resultados'!K19+'Resultados'!J19</f>
        <v/>
      </c>
      <c r="N27" s="45">
        <f>'Resultados'!N19+'Resultados'!M19+'Resultados'!L19+'Resultados'!K19</f>
        <v/>
      </c>
      <c r="O27" s="45">
        <f>'Resultados'!O19+'Resultados'!N19+'Resultados'!M19+'Resultados'!L19</f>
        <v/>
      </c>
      <c r="P27" s="45">
        <f>'Resultados'!P19+'Resultados'!O19+'Resultados'!N19+'Resultados'!M19</f>
        <v/>
      </c>
      <c r="Q27" s="45">
        <f>'Resultados'!Q19+'Resultados'!P19+'Resultados'!O19+'Resultados'!N19</f>
        <v/>
      </c>
      <c r="R27" s="45">
        <f>'Resultados'!R19+'Resultados'!Q19+'Resultados'!P19+'Resultados'!O19</f>
        <v/>
      </c>
      <c r="S27" s="45">
        <f>'Resultados'!S19+'Resultados'!R19+'Resultados'!Q19+'Resultados'!P19</f>
        <v/>
      </c>
      <c r="T27" s="45">
        <f>'Resultados'!T19+'Resultados'!S19+'Resultados'!R19+'Resultados'!Q19</f>
        <v/>
      </c>
      <c r="U27" s="45">
        <f>'Resultados'!U19+'Resultados'!T19+'Resultados'!S19+'Resultados'!R19</f>
        <v/>
      </c>
      <c r="V27" s="45">
        <f>'Resultados'!V19+'Resultados'!U19+'Resultados'!T19+'Resultados'!S19</f>
        <v/>
      </c>
      <c r="W27" s="45">
        <f>'Resultados'!W19+'Resultados'!V19+'Resultados'!U19+'Resultados'!T19</f>
        <v/>
      </c>
      <c r="X27" s="45">
        <f>'Resultados'!X19+'Resultados'!W19+'Resultados'!V19+'Resultados'!U19</f>
        <v/>
      </c>
      <c r="Y27" s="45">
        <f>'Resultados'!Y19+'Resultados'!X19+'Resultados'!W19+'Resultados'!V19</f>
        <v/>
      </c>
      <c r="Z27" s="45">
        <f>'Resultados'!Z19+'Resultados'!Y19+'Resultados'!X19+'Resultados'!W19</f>
        <v/>
      </c>
      <c r="AA27" s="45">
        <f>'Resultados'!AA19+'Resultados'!Z19+'Resultados'!Y19+'Resultados'!X19</f>
        <v/>
      </c>
    </row>
    <row r="28" spans="1:37">
      <c r="A28" s="42" t="s">
        <v>429</v>
      </c>
      <c r="E28" s="45">
        <f>'Resultados'!E20+'Resultados'!D20+'Resultados'!C20+'Resultados'!B20</f>
        <v/>
      </c>
      <c r="F28" s="45">
        <f>'Resultados'!F20+'Resultados'!E20+'Resultados'!D20+'Resultados'!C20</f>
        <v/>
      </c>
      <c r="G28" s="45">
        <f>'Resultados'!G20+'Resultados'!F20+'Resultados'!E20+'Resultados'!D20</f>
        <v/>
      </c>
      <c r="H28" s="45">
        <f>'Resultados'!H20+'Resultados'!G20+'Resultados'!F20+'Resultados'!E20</f>
        <v/>
      </c>
      <c r="I28" s="45">
        <f>'Resultados'!I20+'Resultados'!H20+'Resultados'!G20+'Resultados'!F20</f>
        <v/>
      </c>
      <c r="J28" s="45">
        <f>'Resultados'!J20+'Resultados'!I20+'Resultados'!H20+'Resultados'!G20</f>
        <v/>
      </c>
      <c r="K28" s="45">
        <f>'Resultados'!K20+'Resultados'!J20+'Resultados'!I20+'Resultados'!H20</f>
        <v/>
      </c>
      <c r="L28" s="45">
        <f>'Resultados'!L20+'Resultados'!K20+'Resultados'!J20+'Resultados'!I20</f>
        <v/>
      </c>
      <c r="M28" s="45">
        <f>'Resultados'!M20+'Resultados'!L20+'Resultados'!K20+'Resultados'!J20</f>
        <v/>
      </c>
      <c r="N28" s="45">
        <f>'Resultados'!N20+'Resultados'!M20+'Resultados'!L20+'Resultados'!K20</f>
        <v/>
      </c>
      <c r="O28" s="45">
        <f>'Resultados'!O20+'Resultados'!N20+'Resultados'!M20+'Resultados'!L20</f>
        <v/>
      </c>
      <c r="P28" s="45">
        <f>'Resultados'!P20+'Resultados'!O20+'Resultados'!N20+'Resultados'!M20</f>
        <v/>
      </c>
      <c r="Q28" s="45">
        <f>'Resultados'!Q20+'Resultados'!P20+'Resultados'!O20+'Resultados'!N20</f>
        <v/>
      </c>
      <c r="R28" s="45">
        <f>'Resultados'!R20+'Resultados'!Q20+'Resultados'!P20+'Resultados'!O20</f>
        <v/>
      </c>
      <c r="S28" s="45">
        <f>'Resultados'!S20+'Resultados'!R20+'Resultados'!Q20+'Resultados'!P20</f>
        <v/>
      </c>
      <c r="T28" s="45">
        <f>'Resultados'!T20+'Resultados'!S20+'Resultados'!R20+'Resultados'!Q20</f>
        <v/>
      </c>
      <c r="U28" s="45">
        <f>'Resultados'!U20+'Resultados'!T20+'Resultados'!S20+'Resultados'!R20</f>
        <v/>
      </c>
      <c r="V28" s="45">
        <f>'Resultados'!V20+'Resultados'!U20+'Resultados'!T20+'Resultados'!S20</f>
        <v/>
      </c>
      <c r="W28" s="45">
        <f>'Resultados'!W20+'Resultados'!V20+'Resultados'!U20+'Resultados'!T20</f>
        <v/>
      </c>
      <c r="X28" s="45">
        <f>'Resultados'!X20+'Resultados'!W20+'Resultados'!V20+'Resultados'!U20</f>
        <v/>
      </c>
      <c r="Y28" s="45">
        <f>'Resultados'!Y20+'Resultados'!X20+'Resultados'!W20+'Resultados'!V20</f>
        <v/>
      </c>
      <c r="Z28" s="45">
        <f>'Resultados'!Z20+'Resultados'!Y20+'Resultados'!X20+'Resultados'!W20</f>
        <v/>
      </c>
      <c r="AA28" s="45">
        <f>'Resultados'!AA20+'Resultados'!Z20+'Resultados'!Y20+'Resultados'!X20</f>
        <v/>
      </c>
    </row>
    <row r="29" spans="1:37">
      <c r="A29" s="42" t="s">
        <v>430</v>
      </c>
      <c r="E29" s="45">
        <f>'Flujo de efectivo'!E34+'Flujo de efectivo'!D34+'Flujo de efectivo'!C34+'Flujo de efectivo'!B34</f>
        <v/>
      </c>
      <c r="F29" s="45">
        <f>'Flujo de efectivo'!F34+'Flujo de efectivo'!E34+'Flujo de efectivo'!D34+'Flujo de efectivo'!C34</f>
        <v/>
      </c>
      <c r="G29" s="45">
        <f>'Flujo de efectivo'!G34+'Flujo de efectivo'!F34+'Flujo de efectivo'!E34+'Flujo de efectivo'!D34</f>
        <v/>
      </c>
      <c r="H29" s="45">
        <f>'Flujo de efectivo'!H34+'Flujo de efectivo'!G34+'Flujo de efectivo'!F34+'Flujo de efectivo'!E34</f>
        <v/>
      </c>
      <c r="I29" s="45">
        <f>'Flujo de efectivo'!I34+'Flujo de efectivo'!H34+'Flujo de efectivo'!G34+'Flujo de efectivo'!F34</f>
        <v/>
      </c>
      <c r="J29" s="45">
        <f>'Flujo de efectivo'!J34+'Flujo de efectivo'!I34+'Flujo de efectivo'!H34+'Flujo de efectivo'!G34</f>
        <v/>
      </c>
      <c r="K29" s="45">
        <f>'Flujo de efectivo'!K34+'Flujo de efectivo'!J34+'Flujo de efectivo'!I34+'Flujo de efectivo'!H34</f>
        <v/>
      </c>
      <c r="L29" s="45">
        <f>'Flujo de efectivo'!L34+'Flujo de efectivo'!K34+'Flujo de efectivo'!J34+'Flujo de efectivo'!I34</f>
        <v/>
      </c>
      <c r="M29" s="45">
        <f>'Flujo de efectivo'!M34+'Flujo de efectivo'!L34+'Flujo de efectivo'!K34+'Flujo de efectivo'!J34</f>
        <v/>
      </c>
      <c r="N29" s="45">
        <f>'Flujo de efectivo'!N34+'Flujo de efectivo'!M34+'Flujo de efectivo'!L34+'Flujo de efectivo'!K34</f>
        <v/>
      </c>
      <c r="O29" s="45">
        <f>'Flujo de efectivo'!O34+'Flujo de efectivo'!N34+'Flujo de efectivo'!M34+'Flujo de efectivo'!L34</f>
        <v/>
      </c>
      <c r="P29" s="45">
        <f>'Flujo de efectivo'!P34+'Flujo de efectivo'!O34+'Flujo de efectivo'!N34+'Flujo de efectivo'!M34</f>
        <v/>
      </c>
      <c r="Q29" s="45">
        <f>'Flujo de efectivo'!Q34+'Flujo de efectivo'!P34+'Flujo de efectivo'!O34+'Flujo de efectivo'!N34</f>
        <v/>
      </c>
      <c r="R29" s="45">
        <f>'Flujo de efectivo'!R34+'Flujo de efectivo'!Q34+'Flujo de efectivo'!P34+'Flujo de efectivo'!O34</f>
        <v/>
      </c>
      <c r="S29" s="45">
        <f>'Flujo de efectivo'!S34+'Flujo de efectivo'!R34+'Flujo de efectivo'!Q34+'Flujo de efectivo'!P34</f>
        <v/>
      </c>
      <c r="T29" s="45">
        <f>'Flujo de efectivo'!T34+'Flujo de efectivo'!S34+'Flujo de efectivo'!R34+'Flujo de efectivo'!Q34</f>
        <v/>
      </c>
      <c r="U29" s="45">
        <f>'Flujo de efectivo'!U34+'Flujo de efectivo'!T34+'Flujo de efectivo'!S34+'Flujo de efectivo'!R34</f>
        <v/>
      </c>
      <c r="V29" s="45">
        <f>'Flujo de efectivo'!V34+'Flujo de efectivo'!U34+'Flujo de efectivo'!T34+'Flujo de efectivo'!S34</f>
        <v/>
      </c>
      <c r="W29" s="45">
        <f>'Flujo de efectivo'!W34+'Flujo de efectivo'!V34+'Flujo de efectivo'!U34+'Flujo de efectivo'!T34</f>
        <v/>
      </c>
      <c r="X29" s="45">
        <f>'Flujo de efectivo'!X34+'Flujo de efectivo'!W34+'Flujo de efectivo'!V34+'Flujo de efectivo'!U34</f>
        <v/>
      </c>
      <c r="Y29" s="45">
        <f>'Flujo de efectivo'!Y34+'Flujo de efectivo'!X34+'Flujo de efectivo'!W34+'Flujo de efectivo'!V34</f>
        <v/>
      </c>
      <c r="Z29" s="45">
        <f>'Flujo de efectivo'!Z34+'Flujo de efectivo'!Y34+'Flujo de efectivo'!X34+'Flujo de efectivo'!W34</f>
        <v/>
      </c>
      <c r="AA29" s="45">
        <f>'Flujo de efectivo'!AA34+'Flujo de efectivo'!Z34+'Flujo de efectivo'!Y34+'Flujo de efectivo'!X34</f>
        <v/>
      </c>
    </row>
    <row r="30" spans="1:37">
      <c r="A30" s="42" t="s">
        <v>431</v>
      </c>
      <c r="E30" s="45">
        <f>'Resultados'!E16+'Resultados'!D16+'Resultados'!C16+'Resultados'!B16</f>
        <v/>
      </c>
      <c r="F30" s="45">
        <f>'Resultados'!F16+'Resultados'!E16+'Resultados'!D16+'Resultados'!C16</f>
        <v/>
      </c>
      <c r="G30" s="45">
        <f>'Resultados'!G16+'Resultados'!F16+'Resultados'!E16+'Resultados'!D16</f>
        <v/>
      </c>
      <c r="H30" s="45">
        <f>'Resultados'!H16+'Resultados'!G16+'Resultados'!F16+'Resultados'!E16</f>
        <v/>
      </c>
      <c r="I30" s="45">
        <f>'Resultados'!I16+'Resultados'!H16+'Resultados'!G16+'Resultados'!F16</f>
        <v/>
      </c>
      <c r="J30" s="45">
        <f>'Resultados'!J16+'Resultados'!I16+'Resultados'!H16+'Resultados'!G16</f>
        <v/>
      </c>
      <c r="K30" s="45">
        <f>'Resultados'!K16+'Resultados'!J16+'Resultados'!I16+'Resultados'!H16</f>
        <v/>
      </c>
      <c r="L30" s="45">
        <f>'Resultados'!L16+'Resultados'!K16+'Resultados'!J16+'Resultados'!I16</f>
        <v/>
      </c>
      <c r="M30" s="45">
        <f>'Resultados'!M16+'Resultados'!L16+'Resultados'!K16+'Resultados'!J16</f>
        <v/>
      </c>
      <c r="N30" s="45">
        <f>'Resultados'!N16+'Resultados'!M16+'Resultados'!L16+'Resultados'!K16</f>
        <v/>
      </c>
      <c r="O30" s="45">
        <f>'Resultados'!O16+'Resultados'!N16+'Resultados'!M16+'Resultados'!L16</f>
        <v/>
      </c>
      <c r="P30" s="45">
        <f>'Resultados'!P16+'Resultados'!O16+'Resultados'!N16+'Resultados'!M16</f>
        <v/>
      </c>
      <c r="Q30" s="45">
        <f>'Resultados'!Q16+'Resultados'!P16+'Resultados'!O16+'Resultados'!N16</f>
        <v/>
      </c>
      <c r="R30" s="45">
        <f>'Resultados'!R16+'Resultados'!Q16+'Resultados'!P16+'Resultados'!O16</f>
        <v/>
      </c>
      <c r="S30" s="45">
        <f>'Resultados'!S16+'Resultados'!R16+'Resultados'!Q16+'Resultados'!P16</f>
        <v/>
      </c>
      <c r="T30" s="45">
        <f>'Resultados'!T16+'Resultados'!S16+'Resultados'!R16+'Resultados'!Q16</f>
        <v/>
      </c>
      <c r="U30" s="45">
        <f>'Resultados'!U16+'Resultados'!T16+'Resultados'!S16+'Resultados'!R16</f>
        <v/>
      </c>
      <c r="V30" s="45">
        <f>'Resultados'!V16+'Resultados'!U16+'Resultados'!T16+'Resultados'!S16</f>
        <v/>
      </c>
      <c r="W30" s="45">
        <f>'Resultados'!W16+'Resultados'!V16+'Resultados'!U16+'Resultados'!T16</f>
        <v/>
      </c>
      <c r="X30" s="45">
        <f>'Resultados'!X16+'Resultados'!W16+'Resultados'!V16+'Resultados'!U16</f>
        <v/>
      </c>
      <c r="Y30" s="45">
        <f>'Resultados'!Y16+'Resultados'!X16+'Resultados'!W16+'Resultados'!V16</f>
        <v/>
      </c>
      <c r="Z30" s="45">
        <f>'Resultados'!Z16+'Resultados'!Y16+'Resultados'!X16+'Resultados'!W16</f>
        <v/>
      </c>
      <c r="AA30" s="45">
        <f>'Resultados'!AA16+'Resultados'!Z16+'Resultados'!Y16+'Resultados'!X16</f>
        <v/>
      </c>
    </row>
    <row r="32" spans="1:37">
      <c r="A32" s="5" t="s">
        <v>432</v>
      </c>
    </row>
    <row r="33" spans="1:37">
      <c r="A33" s="42" t="s">
        <v>433</v>
      </c>
      <c r="F33" s="49">
        <f>IF(COUNT('Balance'!F35,'Balance'!B35)&lt;2,"",IFERROR(F23/AVERAGE('Balance'!F35,'Balance'!B35),""))</f>
        <v/>
      </c>
      <c r="G33" s="49">
        <f>IF(COUNT('Balance'!G35,'Balance'!C35)&lt;2,"",IFERROR(G23/AVERAGE('Balance'!G35,'Balance'!C35),""))</f>
        <v/>
      </c>
      <c r="H33" s="49">
        <f>IF(COUNT('Balance'!H35,'Balance'!D35)&lt;2,"",IFERROR(H23/AVERAGE('Balance'!H35,'Balance'!D35),""))</f>
        <v/>
      </c>
      <c r="I33" s="49">
        <f>IF(COUNT('Balance'!I35,'Balance'!E35)&lt;2,"",IFERROR(I23/AVERAGE('Balance'!I35,'Balance'!E35),""))</f>
        <v/>
      </c>
      <c r="J33" s="49">
        <f>IF(COUNT('Balance'!J35,'Balance'!F35)&lt;2,"",IFERROR(J23/AVERAGE('Balance'!J35,'Balance'!F35),""))</f>
        <v/>
      </c>
      <c r="K33" s="49">
        <f>IF(COUNT('Balance'!K35,'Balance'!G35)&lt;2,"",IFERROR(K23/AVERAGE('Balance'!K35,'Balance'!G35),""))</f>
        <v/>
      </c>
      <c r="L33" s="49">
        <f>IF(COUNT('Balance'!L35,'Balance'!H35)&lt;2,"",IFERROR(L23/AVERAGE('Balance'!L35,'Balance'!H35),""))</f>
        <v/>
      </c>
      <c r="M33" s="49">
        <f>IF(COUNT('Balance'!M35,'Balance'!I35)&lt;2,"",IFERROR(M23/AVERAGE('Balance'!M35,'Balance'!I35),""))</f>
        <v/>
      </c>
      <c r="N33" s="49">
        <f>IF(COUNT('Balance'!N35,'Balance'!J35)&lt;2,"",IFERROR(N23/AVERAGE('Balance'!N35,'Balance'!J35),""))</f>
        <v/>
      </c>
      <c r="O33" s="49">
        <f>IF(COUNT('Balance'!O35,'Balance'!K35)&lt;2,"",IFERROR(O23/AVERAGE('Balance'!O35,'Balance'!K35),""))</f>
        <v/>
      </c>
      <c r="P33" s="49">
        <f>IF(COUNT('Balance'!P35,'Balance'!L35)&lt;2,"",IFERROR(P23/AVERAGE('Balance'!P35,'Balance'!L35),""))</f>
        <v/>
      </c>
      <c r="Q33" s="49">
        <f>IF(COUNT('Balance'!Q35,'Balance'!M35)&lt;2,"",IFERROR(Q23/AVERAGE('Balance'!Q35,'Balance'!M35),""))</f>
        <v/>
      </c>
      <c r="R33" s="49">
        <f>IF(COUNT('Balance'!R35,'Balance'!N35)&lt;2,"",IFERROR(R23/AVERAGE('Balance'!R35,'Balance'!N35),""))</f>
        <v/>
      </c>
      <c r="S33" s="49">
        <f>IF(COUNT('Balance'!S35,'Balance'!O35)&lt;2,"",IFERROR(S23/AVERAGE('Balance'!S35,'Balance'!O35),""))</f>
        <v/>
      </c>
      <c r="T33" s="49">
        <f>IF(COUNT('Balance'!T35,'Balance'!P35)&lt;2,"",IFERROR(T23/AVERAGE('Balance'!T35,'Balance'!P35),""))</f>
        <v/>
      </c>
      <c r="U33" s="49">
        <f>IF(COUNT('Balance'!U35,'Balance'!Q35)&lt;2,"",IFERROR(U23/AVERAGE('Balance'!U35,'Balance'!Q35),""))</f>
        <v/>
      </c>
      <c r="V33" s="49">
        <f>IF(COUNT('Balance'!V35,'Balance'!R35)&lt;2,"",IFERROR(V23/AVERAGE('Balance'!V35,'Balance'!R35),""))</f>
        <v/>
      </c>
      <c r="W33" s="49">
        <f>IF(COUNT('Balance'!W35,'Balance'!S35)&lt;2,"",IFERROR(W23/AVERAGE('Balance'!W35,'Balance'!S35),""))</f>
        <v/>
      </c>
      <c r="X33" s="49">
        <f>IF(COUNT('Balance'!X35,'Balance'!T35)&lt;2,"",IFERROR(X23/AVERAGE('Balance'!X35,'Balance'!T35),""))</f>
        <v/>
      </c>
      <c r="Y33" s="49">
        <f>IF(COUNT('Balance'!Y35,'Balance'!U35)&lt;2,"",IFERROR(Y23/AVERAGE('Balance'!Y35,'Balance'!U35),""))</f>
        <v/>
      </c>
      <c r="Z33" s="49">
        <f>IF(COUNT('Balance'!Z35,'Balance'!V35)&lt;2,"",IFERROR(Z23/AVERAGE('Balance'!Z35,'Balance'!V35),""))</f>
        <v/>
      </c>
      <c r="AA33" s="49">
        <f>IF(COUNT('Balance'!AA35,'Balance'!W35)&lt;2,"",IFERROR(AA23/AVERAGE('Balance'!AA35,'Balance'!W35),""))</f>
        <v/>
      </c>
    </row>
    <row r="34" spans="1:37">
      <c r="A34" s="42" t="s">
        <v>434</v>
      </c>
      <c r="F34" s="49">
        <f>IF(COUNT('Balance'!F21,'Balance'!B21)&lt;2,"",IFERROR(F23/AVERAGE('Balance'!F21,'Balance'!B21),""))</f>
        <v/>
      </c>
      <c r="G34" s="49">
        <f>IF(COUNT('Balance'!G21,'Balance'!C21)&lt;2,"",IFERROR(G23/AVERAGE('Balance'!G21,'Balance'!C21),""))</f>
        <v/>
      </c>
      <c r="H34" s="49">
        <f>IF(COUNT('Balance'!H21,'Balance'!D21)&lt;2,"",IFERROR(H23/AVERAGE('Balance'!H21,'Balance'!D21),""))</f>
        <v/>
      </c>
      <c r="I34" s="49">
        <f>IF(COUNT('Balance'!I21,'Balance'!E21)&lt;2,"",IFERROR(I23/AVERAGE('Balance'!I21,'Balance'!E21),""))</f>
        <v/>
      </c>
      <c r="J34" s="49">
        <f>IF(COUNT('Balance'!J21,'Balance'!F21)&lt;2,"",IFERROR(J23/AVERAGE('Balance'!J21,'Balance'!F21),""))</f>
        <v/>
      </c>
      <c r="K34" s="49">
        <f>IF(COUNT('Balance'!K21,'Balance'!G21)&lt;2,"",IFERROR(K23/AVERAGE('Balance'!K21,'Balance'!G21),""))</f>
        <v/>
      </c>
      <c r="L34" s="49">
        <f>IF(COUNT('Balance'!L21,'Balance'!H21)&lt;2,"",IFERROR(L23/AVERAGE('Balance'!L21,'Balance'!H21),""))</f>
        <v/>
      </c>
      <c r="M34" s="49">
        <f>IF(COUNT('Balance'!M21,'Balance'!I21)&lt;2,"",IFERROR(M23/AVERAGE('Balance'!M21,'Balance'!I21),""))</f>
        <v/>
      </c>
      <c r="N34" s="49">
        <f>IF(COUNT('Balance'!N21,'Balance'!J21)&lt;2,"",IFERROR(N23/AVERAGE('Balance'!N21,'Balance'!J21),""))</f>
        <v/>
      </c>
      <c r="O34" s="49">
        <f>IF(COUNT('Balance'!O21,'Balance'!K21)&lt;2,"",IFERROR(O23/AVERAGE('Balance'!O21,'Balance'!K21),""))</f>
        <v/>
      </c>
      <c r="P34" s="49">
        <f>IF(COUNT('Balance'!P21,'Balance'!L21)&lt;2,"",IFERROR(P23/AVERAGE('Balance'!P21,'Balance'!L21),""))</f>
        <v/>
      </c>
      <c r="Q34" s="49">
        <f>IF(COUNT('Balance'!Q21,'Balance'!M21)&lt;2,"",IFERROR(Q23/AVERAGE('Balance'!Q21,'Balance'!M21),""))</f>
        <v/>
      </c>
      <c r="R34" s="49">
        <f>IF(COUNT('Balance'!R21,'Balance'!N21)&lt;2,"",IFERROR(R23/AVERAGE('Balance'!R21,'Balance'!N21),""))</f>
        <v/>
      </c>
      <c r="S34" s="49">
        <f>IF(COUNT('Balance'!S21,'Balance'!O21)&lt;2,"",IFERROR(S23/AVERAGE('Balance'!S21,'Balance'!O21),""))</f>
        <v/>
      </c>
      <c r="T34" s="49">
        <f>IF(COUNT('Balance'!T21,'Balance'!P21)&lt;2,"",IFERROR(T23/AVERAGE('Balance'!T21,'Balance'!P21),""))</f>
        <v/>
      </c>
      <c r="U34" s="49">
        <f>IF(COUNT('Balance'!U21,'Balance'!Q21)&lt;2,"",IFERROR(U23/AVERAGE('Balance'!U21,'Balance'!Q21),""))</f>
        <v/>
      </c>
      <c r="V34" s="49">
        <f>IF(COUNT('Balance'!V21,'Balance'!R21)&lt;2,"",IFERROR(V23/AVERAGE('Balance'!V21,'Balance'!R21),""))</f>
        <v/>
      </c>
      <c r="W34" s="49">
        <f>IF(COUNT('Balance'!W21,'Balance'!S21)&lt;2,"",IFERROR(W23/AVERAGE('Balance'!W21,'Balance'!S21),""))</f>
        <v/>
      </c>
      <c r="X34" s="49">
        <f>IF(COUNT('Balance'!X21,'Balance'!T21)&lt;2,"",IFERROR(X23/AVERAGE('Balance'!X21,'Balance'!T21),""))</f>
        <v/>
      </c>
      <c r="Y34" s="49">
        <f>IF(COUNT('Balance'!Y21,'Balance'!U21)&lt;2,"",IFERROR(Y23/AVERAGE('Balance'!Y21,'Balance'!U21),""))</f>
        <v/>
      </c>
      <c r="Z34" s="49">
        <f>IF(COUNT('Balance'!Z21,'Balance'!V21)&lt;2,"",IFERROR(Z23/AVERAGE('Balance'!Z21,'Balance'!V21),""))</f>
        <v/>
      </c>
      <c r="AA34" s="49">
        <f>IF(COUNT('Balance'!AA21,'Balance'!W21)&lt;2,"",IFERROR(AA23/AVERAGE('Balance'!AA21,'Balance'!W21),""))</f>
        <v/>
      </c>
    </row>
    <row r="35" spans="1:37">
      <c r="A35" s="42" t="s">
        <v>435</v>
      </c>
      <c r="F35" s="49">
        <f>IF(COUNT(F19,B19)&lt;2,"",IFERROR(F26*(1-MIN(MAX(IF(F27&lt;=0,0.35,-F28/F27),0),0.6))/AVERAGE(F19,B19),""))</f>
        <v/>
      </c>
      <c r="G35" s="49">
        <f>IF(COUNT(G19,C19)&lt;2,"",IFERROR(G26*(1-MIN(MAX(IF(G27&lt;=0,0.35,-G28/G27),0),0.6))/AVERAGE(G19,C19),""))</f>
        <v/>
      </c>
      <c r="H35" s="49">
        <f>IF(COUNT(H19,D19)&lt;2,"",IFERROR(H26*(1-MIN(MAX(IF(H27&lt;=0,0.35,-H28/H27),0),0.6))/AVERAGE(H19,D19),""))</f>
        <v/>
      </c>
      <c r="I35" s="49">
        <f>IF(COUNT(I19,E19)&lt;2,"",IFERROR(I26*(1-MIN(MAX(IF(I27&lt;=0,0.35,-I28/I27),0),0.6))/AVERAGE(I19,E19),""))</f>
        <v/>
      </c>
      <c r="J35" s="49">
        <f>IF(COUNT(J19,F19)&lt;2,"",IFERROR(J26*(1-MIN(MAX(IF(J27&lt;=0,0.35,-J28/J27),0),0.6))/AVERAGE(J19,F19),""))</f>
        <v/>
      </c>
      <c r="K35" s="49">
        <f>IF(COUNT(K19,G19)&lt;2,"",IFERROR(K26*(1-MIN(MAX(IF(K27&lt;=0,0.35,-K28/K27),0),0.6))/AVERAGE(K19,G19),""))</f>
        <v/>
      </c>
      <c r="L35" s="49">
        <f>IF(COUNT(L19,H19)&lt;2,"",IFERROR(L26*(1-MIN(MAX(IF(L27&lt;=0,0.35,-L28/L27),0),0.6))/AVERAGE(L19,H19),""))</f>
        <v/>
      </c>
      <c r="M35" s="49">
        <f>IF(COUNT(M19,I19)&lt;2,"",IFERROR(M26*(1-MIN(MAX(IF(M27&lt;=0,0.35,-M28/M27),0),0.6))/AVERAGE(M19,I19),""))</f>
        <v/>
      </c>
      <c r="N35" s="49">
        <f>IF(COUNT(N19,J19)&lt;2,"",IFERROR(N26*(1-MIN(MAX(IF(N27&lt;=0,0.35,-N28/N27),0),0.6))/AVERAGE(N19,J19),""))</f>
        <v/>
      </c>
      <c r="O35" s="49">
        <f>IF(COUNT(O19,K19)&lt;2,"",IFERROR(O26*(1-MIN(MAX(IF(O27&lt;=0,0.35,-O28/O27),0),0.6))/AVERAGE(O19,K19),""))</f>
        <v/>
      </c>
      <c r="P35" s="49">
        <f>IF(COUNT(P19,L19)&lt;2,"",IFERROR(P26*(1-MIN(MAX(IF(P27&lt;=0,0.35,-P28/P27),0),0.6))/AVERAGE(P19,L19),""))</f>
        <v/>
      </c>
      <c r="Q35" s="49">
        <f>IF(COUNT(Q19,M19)&lt;2,"",IFERROR(Q26*(1-MIN(MAX(IF(Q27&lt;=0,0.35,-Q28/Q27),0),0.6))/AVERAGE(Q19,M19),""))</f>
        <v/>
      </c>
      <c r="R35" s="49">
        <f>IF(COUNT(R19,N19)&lt;2,"",IFERROR(R26*(1-MIN(MAX(IF(R27&lt;=0,0.35,-R28/R27),0),0.6))/AVERAGE(R19,N19),""))</f>
        <v/>
      </c>
      <c r="S35" s="49">
        <f>IF(COUNT(S19,O19)&lt;2,"",IFERROR(S26*(1-MIN(MAX(IF(S27&lt;=0,0.35,-S28/S27),0),0.6))/AVERAGE(S19,O19),""))</f>
        <v/>
      </c>
      <c r="T35" s="49">
        <f>IF(COUNT(T19,P19)&lt;2,"",IFERROR(T26*(1-MIN(MAX(IF(T27&lt;=0,0.35,-T28/T27),0),0.6))/AVERAGE(T19,P19),""))</f>
        <v/>
      </c>
      <c r="U35" s="49">
        <f>IF(COUNT(U19,Q19)&lt;2,"",IFERROR(U26*(1-MIN(MAX(IF(U27&lt;=0,0.35,-U28/U27),0),0.6))/AVERAGE(U19,Q19),""))</f>
        <v/>
      </c>
      <c r="V35" s="49">
        <f>IF(COUNT(V19,R19)&lt;2,"",IFERROR(V26*(1-MIN(MAX(IF(V27&lt;=0,0.35,-V28/V27),0),0.6))/AVERAGE(V19,R19),""))</f>
        <v/>
      </c>
      <c r="W35" s="49">
        <f>IF(COUNT(W19,S19)&lt;2,"",IFERROR(W26*(1-MIN(MAX(IF(W27&lt;=0,0.35,-W28/W27),0),0.6))/AVERAGE(W19,S19),""))</f>
        <v/>
      </c>
      <c r="X35" s="49">
        <f>IF(COUNT(X19,T19)&lt;2,"",IFERROR(X26*(1-MIN(MAX(IF(X27&lt;=0,0.35,-X28/X27),0),0.6))/AVERAGE(X19,T19),""))</f>
        <v/>
      </c>
      <c r="Y35" s="49">
        <f>IF(COUNT(Y19,U19)&lt;2,"",IFERROR(Y26*(1-MIN(MAX(IF(Y27&lt;=0,0.35,-Y28/Y27),0),0.6))/AVERAGE(Y19,U19),""))</f>
        <v/>
      </c>
      <c r="Z35" s="49">
        <f>IF(COUNT(Z19,V19)&lt;2,"",IFERROR(Z26*(1-MIN(MAX(IF(Z27&lt;=0,0.35,-Z28/Z27),0),0.6))/AVERAGE(Z19,V19),""))</f>
        <v/>
      </c>
      <c r="AA35" s="49">
        <f>IF(COUNT(AA19,W19)&lt;2,"",IFERROR(AA26*(1-MIN(MAX(IF(AA27&lt;=0,0.35,-AA28/AA27),0),0.6))/AVERAGE(AA19,W19),""))</f>
        <v/>
      </c>
      <c r="AK35" s="6" t="s">
        <v>436</v>
      </c>
    </row>
    <row r="37" spans="1:37">
      <c r="A37" s="5" t="s">
        <v>437</v>
      </c>
    </row>
    <row r="38" spans="1:37">
      <c r="A38" s="42" t="s">
        <v>438</v>
      </c>
      <c r="E38" s="50">
        <f>IFERROR((('Balance'!E43+'Balance'!E54)-'Balance'!E19-'Balance'!E18)/E22,"")</f>
        <v/>
      </c>
      <c r="F38" s="50">
        <f>IFERROR((('Balance'!F43+'Balance'!F54)-'Balance'!F19-'Balance'!F18)/F22,"")</f>
        <v/>
      </c>
      <c r="G38" s="50">
        <f>IFERROR((('Balance'!G43+'Balance'!G54)-'Balance'!G19-'Balance'!G18)/G22,"")</f>
        <v/>
      </c>
      <c r="H38" s="50">
        <f>IFERROR((('Balance'!H43+'Balance'!H54)-'Balance'!H19-'Balance'!H18)/H22,"")</f>
        <v/>
      </c>
      <c r="I38" s="50">
        <f>IFERROR((('Balance'!I43+'Balance'!I54)-'Balance'!I19-'Balance'!I18)/I22,"")</f>
        <v/>
      </c>
      <c r="J38" s="50">
        <f>IFERROR((('Balance'!J43+'Balance'!J54)-'Balance'!J19-'Balance'!J18)/J22,"")</f>
        <v/>
      </c>
      <c r="K38" s="50">
        <f>IFERROR((('Balance'!K43+'Balance'!K54)-'Balance'!K19-'Balance'!K18)/K22,"")</f>
        <v/>
      </c>
      <c r="L38" s="50">
        <f>IFERROR((('Balance'!L43+'Balance'!L54)-'Balance'!L19-'Balance'!L18)/L22,"")</f>
        <v/>
      </c>
      <c r="M38" s="50">
        <f>IFERROR((('Balance'!M43+'Balance'!M54)-'Balance'!M19-'Balance'!M18)/M22,"")</f>
        <v/>
      </c>
      <c r="N38" s="50">
        <f>IFERROR((('Balance'!N43+'Balance'!N54)-'Balance'!N19-'Balance'!N18)/N22,"")</f>
        <v/>
      </c>
      <c r="O38" s="50">
        <f>IFERROR((('Balance'!O43+'Balance'!O54)-'Balance'!O19-'Balance'!O18)/O22,"")</f>
        <v/>
      </c>
      <c r="P38" s="50">
        <f>IFERROR((('Balance'!P43+'Balance'!P54)-'Balance'!P19-'Balance'!P18)/P22,"")</f>
        <v/>
      </c>
      <c r="Q38" s="50">
        <f>IFERROR((('Balance'!Q43+'Balance'!Q54)-'Balance'!Q19-'Balance'!Q18)/Q22,"")</f>
        <v/>
      </c>
      <c r="R38" s="50">
        <f>IFERROR((('Balance'!R43+'Balance'!R54)-'Balance'!R19-'Balance'!R18)/R22,"")</f>
        <v/>
      </c>
      <c r="S38" s="50">
        <f>IFERROR((('Balance'!S43+'Balance'!S54)-'Balance'!S19-'Balance'!S18)/S22,"")</f>
        <v/>
      </c>
      <c r="T38" s="50">
        <f>IFERROR((('Balance'!T43+'Balance'!T54)-'Balance'!T19-'Balance'!T18)/T22,"")</f>
        <v/>
      </c>
      <c r="U38" s="50">
        <f>IFERROR((('Balance'!U43+'Balance'!U54)-'Balance'!U19-'Balance'!U18)/U22,"")</f>
        <v/>
      </c>
      <c r="V38" s="50">
        <f>IFERROR((('Balance'!V43+'Balance'!V54)-'Balance'!V19-'Balance'!V18)/V22,"")</f>
        <v/>
      </c>
      <c r="W38" s="50">
        <f>IFERROR((('Balance'!W43+'Balance'!W54)-'Balance'!W19-'Balance'!W18)/W22,"")</f>
        <v/>
      </c>
      <c r="X38" s="50">
        <f>IFERROR((('Balance'!X43+'Balance'!X54)-'Balance'!X19-'Balance'!X18)/X22,"")</f>
        <v/>
      </c>
      <c r="Y38" s="50">
        <f>IFERROR((('Balance'!Y43+'Balance'!Y54)-'Balance'!Y19-'Balance'!Y18)/Y22,"")</f>
        <v/>
      </c>
      <c r="Z38" s="50">
        <f>IFERROR((('Balance'!Z43+'Balance'!Z54)-'Balance'!Z19-'Balance'!Z18)/Z22,"")</f>
        <v/>
      </c>
      <c r="AA38" s="50">
        <f>IFERROR((('Balance'!AA43+'Balance'!AA54)-'Balance'!AA19-'Balance'!AA18)/AA22,"")</f>
        <v/>
      </c>
    </row>
    <row r="39" spans="1:37">
      <c r="A39" s="42" t="s">
        <v>439</v>
      </c>
      <c r="B39" s="50">
        <f>IFERROR(('Balance'!B43+'Balance'!B54)/'Balance'!B35,"")</f>
        <v/>
      </c>
      <c r="C39" s="50">
        <f>IFERROR(('Balance'!C43+'Balance'!C54)/'Balance'!C35,"")</f>
        <v/>
      </c>
      <c r="D39" s="50">
        <f>IFERROR(('Balance'!D43+'Balance'!D54)/'Balance'!D35,"")</f>
        <v/>
      </c>
      <c r="E39" s="50">
        <f>IFERROR(('Balance'!E43+'Balance'!E54)/'Balance'!E35,"")</f>
        <v/>
      </c>
      <c r="F39" s="50">
        <f>IFERROR(('Balance'!F43+'Balance'!F54)/'Balance'!F35,"")</f>
        <v/>
      </c>
      <c r="G39" s="50">
        <f>IFERROR(('Balance'!G43+'Balance'!G54)/'Balance'!G35,"")</f>
        <v/>
      </c>
      <c r="H39" s="50">
        <f>IFERROR(('Balance'!H43+'Balance'!H54)/'Balance'!H35,"")</f>
        <v/>
      </c>
      <c r="I39" s="50">
        <f>IFERROR(('Balance'!I43+'Balance'!I54)/'Balance'!I35,"")</f>
        <v/>
      </c>
      <c r="J39" s="50">
        <f>IFERROR(('Balance'!J43+'Balance'!J54)/'Balance'!J35,"")</f>
        <v/>
      </c>
      <c r="K39" s="50">
        <f>IFERROR(('Balance'!K43+'Balance'!K54)/'Balance'!K35,"")</f>
        <v/>
      </c>
      <c r="L39" s="50">
        <f>IFERROR(('Balance'!L43+'Balance'!L54)/'Balance'!L35,"")</f>
        <v/>
      </c>
      <c r="M39" s="50">
        <f>IFERROR(('Balance'!M43+'Balance'!M54)/'Balance'!M35,"")</f>
        <v/>
      </c>
      <c r="N39" s="50">
        <f>IFERROR(('Balance'!N43+'Balance'!N54)/'Balance'!N35,"")</f>
        <v/>
      </c>
      <c r="O39" s="50">
        <f>IFERROR(('Balance'!O43+'Balance'!O54)/'Balance'!O35,"")</f>
        <v/>
      </c>
      <c r="P39" s="50">
        <f>IFERROR(('Balance'!P43+'Balance'!P54)/'Balance'!P35,"")</f>
        <v/>
      </c>
      <c r="Q39" s="50">
        <f>IFERROR(('Balance'!Q43+'Balance'!Q54)/'Balance'!Q35,"")</f>
        <v/>
      </c>
      <c r="R39" s="50">
        <f>IFERROR(('Balance'!R43+'Balance'!R54)/'Balance'!R35,"")</f>
        <v/>
      </c>
      <c r="S39" s="50">
        <f>IFERROR(('Balance'!S43+'Balance'!S54)/'Balance'!S35,"")</f>
        <v/>
      </c>
      <c r="T39" s="50">
        <f>IFERROR(('Balance'!T43+'Balance'!T54)/'Balance'!T35,"")</f>
        <v/>
      </c>
      <c r="U39" s="50">
        <f>IFERROR(('Balance'!U43+'Balance'!U54)/'Balance'!U35,"")</f>
        <v/>
      </c>
      <c r="V39" s="50">
        <f>IFERROR(('Balance'!V43+'Balance'!V54)/'Balance'!V35,"")</f>
        <v/>
      </c>
      <c r="W39" s="50">
        <f>IFERROR(('Balance'!W43+'Balance'!W54)/'Balance'!W35,"")</f>
        <v/>
      </c>
      <c r="X39" s="50">
        <f>IFERROR(('Balance'!X43+'Balance'!X54)/'Balance'!X35,"")</f>
        <v/>
      </c>
      <c r="Y39" s="50">
        <f>IFERROR(('Balance'!Y43+'Balance'!Y54)/'Balance'!Y35,"")</f>
        <v/>
      </c>
      <c r="Z39" s="50">
        <f>IFERROR(('Balance'!Z43+'Balance'!Z54)/'Balance'!Z35,"")</f>
        <v/>
      </c>
      <c r="AA39" s="50">
        <f>IFERROR(('Balance'!AA43+'Balance'!AA54)/'Balance'!AA35,"")</f>
        <v/>
      </c>
      <c r="AC39" s="50">
        <f>IFERROR(('Balance'!AC43+'Balance'!AC54)/'Balance'!AC35,"")</f>
        <v/>
      </c>
      <c r="AD39" s="50">
        <f>IFERROR(('Balance'!AD43+'Balance'!AD54)/'Balance'!AD35,"")</f>
        <v/>
      </c>
      <c r="AE39" s="50">
        <f>IFERROR(('Balance'!AE43+'Balance'!AE54)/'Balance'!AE35,"")</f>
        <v/>
      </c>
      <c r="AF39" s="50">
        <f>IFERROR(('Balance'!AF43+'Balance'!AF54)/'Balance'!AF35,"")</f>
        <v/>
      </c>
      <c r="AG39" s="50">
        <f>IFERROR(('Balance'!AG43+'Balance'!AG54)/'Balance'!AG35,"")</f>
        <v/>
      </c>
      <c r="AH39" s="50">
        <f>IFERROR(('Balance'!AH43+'Balance'!AH54)/'Balance'!AH35,"")</f>
        <v/>
      </c>
      <c r="AI39" s="50">
        <f>IFERROR(('Balance'!AI43+'Balance'!AI54)/'Balance'!AI35,"")</f>
        <v/>
      </c>
    </row>
    <row r="40" spans="1:37">
      <c r="A40" s="42" t="s">
        <v>440</v>
      </c>
      <c r="B40" s="49">
        <f>IFERROR('Balance'!B58/'Balance'!B21,"")</f>
        <v/>
      </c>
      <c r="C40" s="49">
        <f>IFERROR('Balance'!C58/'Balance'!C21,"")</f>
        <v/>
      </c>
      <c r="D40" s="49">
        <f>IFERROR('Balance'!D58/'Balance'!D21,"")</f>
        <v/>
      </c>
      <c r="E40" s="49">
        <f>IFERROR('Balance'!E58/'Balance'!E21,"")</f>
        <v/>
      </c>
      <c r="F40" s="49">
        <f>IFERROR('Balance'!F58/'Balance'!F21,"")</f>
        <v/>
      </c>
      <c r="G40" s="49">
        <f>IFERROR('Balance'!G58/'Balance'!G21,"")</f>
        <v/>
      </c>
      <c r="H40" s="49">
        <f>IFERROR('Balance'!H58/'Balance'!H21,"")</f>
        <v/>
      </c>
      <c r="I40" s="49">
        <f>IFERROR('Balance'!I58/'Balance'!I21,"")</f>
        <v/>
      </c>
      <c r="J40" s="49">
        <f>IFERROR('Balance'!J58/'Balance'!J21,"")</f>
        <v/>
      </c>
      <c r="K40" s="49">
        <f>IFERROR('Balance'!K58/'Balance'!K21,"")</f>
        <v/>
      </c>
      <c r="L40" s="49">
        <f>IFERROR('Balance'!L58/'Balance'!L21,"")</f>
        <v/>
      </c>
      <c r="M40" s="49">
        <f>IFERROR('Balance'!M58/'Balance'!M21,"")</f>
        <v/>
      </c>
      <c r="N40" s="49">
        <f>IFERROR('Balance'!N58/'Balance'!N21,"")</f>
        <v/>
      </c>
      <c r="O40" s="49">
        <f>IFERROR('Balance'!O58/'Balance'!O21,"")</f>
        <v/>
      </c>
      <c r="P40" s="49">
        <f>IFERROR('Balance'!P58/'Balance'!P21,"")</f>
        <v/>
      </c>
      <c r="Q40" s="49">
        <f>IFERROR('Balance'!Q58/'Balance'!Q21,"")</f>
        <v/>
      </c>
      <c r="R40" s="49">
        <f>IFERROR('Balance'!R58/'Balance'!R21,"")</f>
        <v/>
      </c>
      <c r="S40" s="49">
        <f>IFERROR('Balance'!S58/'Balance'!S21,"")</f>
        <v/>
      </c>
      <c r="T40" s="49">
        <f>IFERROR('Balance'!T58/'Balance'!T21,"")</f>
        <v/>
      </c>
      <c r="U40" s="49">
        <f>IFERROR('Balance'!U58/'Balance'!U21,"")</f>
        <v/>
      </c>
      <c r="V40" s="49">
        <f>IFERROR('Balance'!V58/'Balance'!V21,"")</f>
        <v/>
      </c>
      <c r="W40" s="49">
        <f>IFERROR('Balance'!W58/'Balance'!W21,"")</f>
        <v/>
      </c>
      <c r="X40" s="49">
        <f>IFERROR('Balance'!X58/'Balance'!X21,"")</f>
        <v/>
      </c>
      <c r="Y40" s="49">
        <f>IFERROR('Balance'!Y58/'Balance'!Y21,"")</f>
        <v/>
      </c>
      <c r="Z40" s="49">
        <f>IFERROR('Balance'!Z58/'Balance'!Z21,"")</f>
        <v/>
      </c>
      <c r="AA40" s="49">
        <f>IFERROR('Balance'!AA58/'Balance'!AA21,"")</f>
        <v/>
      </c>
      <c r="AC40" s="49">
        <f>IFERROR('Balance'!AC58/'Balance'!AC21,"")</f>
        <v/>
      </c>
      <c r="AD40" s="49">
        <f>IFERROR('Balance'!AD58/'Balance'!AD21,"")</f>
        <v/>
      </c>
      <c r="AE40" s="49">
        <f>IFERROR('Balance'!AE58/'Balance'!AE21,"")</f>
        <v/>
      </c>
      <c r="AF40" s="49">
        <f>IFERROR('Balance'!AF58/'Balance'!AF21,"")</f>
        <v/>
      </c>
      <c r="AG40" s="49">
        <f>IFERROR('Balance'!AG58/'Balance'!AG21,"")</f>
        <v/>
      </c>
      <c r="AH40" s="49">
        <f>IFERROR('Balance'!AH58/'Balance'!AH21,"")</f>
        <v/>
      </c>
      <c r="AI40" s="49">
        <f>IFERROR('Balance'!AI58/'Balance'!AI21,"")</f>
        <v/>
      </c>
    </row>
    <row r="41" spans="1:37">
      <c r="A41" s="42" t="s">
        <v>441</v>
      </c>
      <c r="B41" s="50">
        <f>IFERROR('Resultados'!B13/-'Resultados'!B16,"")</f>
        <v/>
      </c>
      <c r="C41" s="50">
        <f>IFERROR('Resultados'!C13/-'Resultados'!C16,"")</f>
        <v/>
      </c>
      <c r="D41" s="50">
        <f>IFERROR('Resultados'!D13/-'Resultados'!D16,"")</f>
        <v/>
      </c>
      <c r="E41" s="50">
        <f>IFERROR('Resultados'!E13/-'Resultados'!E16,"")</f>
        <v/>
      </c>
      <c r="F41" s="50">
        <f>IFERROR('Resultados'!F13/-'Resultados'!F16,"")</f>
        <v/>
      </c>
      <c r="G41" s="50">
        <f>IFERROR('Resultados'!G13/-'Resultados'!G16,"")</f>
        <v/>
      </c>
      <c r="H41" s="50">
        <f>IFERROR('Resultados'!H13/-'Resultados'!H16,"")</f>
        <v/>
      </c>
      <c r="I41" s="50">
        <f>IFERROR('Resultados'!I13/-'Resultados'!I16,"")</f>
        <v/>
      </c>
      <c r="J41" s="50">
        <f>IFERROR('Resultados'!J13/-'Resultados'!J16,"")</f>
        <v/>
      </c>
      <c r="K41" s="50">
        <f>IFERROR('Resultados'!K13/-'Resultados'!K16,"")</f>
        <v/>
      </c>
      <c r="L41" s="50">
        <f>IFERROR('Resultados'!L13/-'Resultados'!L16,"")</f>
        <v/>
      </c>
      <c r="M41" s="50">
        <f>IFERROR('Resultados'!M13/-'Resultados'!M16,"")</f>
        <v/>
      </c>
      <c r="N41" s="50">
        <f>IFERROR('Resultados'!N13/-'Resultados'!N16,"")</f>
        <v/>
      </c>
      <c r="O41" s="50">
        <f>IFERROR('Resultados'!O13/-'Resultados'!O16,"")</f>
        <v/>
      </c>
      <c r="P41" s="50">
        <f>IFERROR('Resultados'!P13/-'Resultados'!P16,"")</f>
        <v/>
      </c>
      <c r="Q41" s="50">
        <f>IFERROR('Resultados'!Q13/-'Resultados'!Q16,"")</f>
        <v/>
      </c>
      <c r="R41" s="50">
        <f>IFERROR('Resultados'!R13/-'Resultados'!R16,"")</f>
        <v/>
      </c>
      <c r="S41" s="50">
        <f>IFERROR('Resultados'!S13/-'Resultados'!S16,"")</f>
        <v/>
      </c>
      <c r="T41" s="50">
        <f>IFERROR('Resultados'!T13/-'Resultados'!T16,"")</f>
        <v/>
      </c>
      <c r="U41" s="50">
        <f>IFERROR('Resultados'!U13/-'Resultados'!U16,"")</f>
        <v/>
      </c>
      <c r="V41" s="50">
        <f>IFERROR('Resultados'!V13/-'Resultados'!V16,"")</f>
        <v/>
      </c>
      <c r="W41" s="50">
        <f>IFERROR('Resultados'!W13/-'Resultados'!W16,"")</f>
        <v/>
      </c>
      <c r="X41" s="50">
        <f>IFERROR('Resultados'!X13/-'Resultados'!X16,"")</f>
        <v/>
      </c>
      <c r="Y41" s="50">
        <f>IFERROR('Resultados'!Y13/-'Resultados'!Y16,"")</f>
        <v/>
      </c>
      <c r="Z41" s="50">
        <f>IFERROR('Resultados'!Z13/-'Resultados'!Z16,"")</f>
        <v/>
      </c>
      <c r="AA41" s="50">
        <f>IFERROR('Resultados'!AA13/-'Resultados'!AA16,"")</f>
        <v/>
      </c>
      <c r="AC41" s="50">
        <f>IFERROR('Resultados'!AC13/-'Resultados'!AC16,"")</f>
        <v/>
      </c>
      <c r="AD41" s="50">
        <f>IFERROR('Resultados'!AD13/-'Resultados'!AD16,"")</f>
        <v/>
      </c>
      <c r="AE41" s="50">
        <f>IFERROR('Resultados'!AE13/-'Resultados'!AE16,"")</f>
        <v/>
      </c>
      <c r="AF41" s="50">
        <f>IFERROR('Resultados'!AF13/-'Resultados'!AF16,"")</f>
        <v/>
      </c>
      <c r="AG41" s="50">
        <f>IFERROR('Resultados'!AG13/-'Resultados'!AG16,"")</f>
        <v/>
      </c>
      <c r="AH41" s="50">
        <f>IFERROR('Resultados'!AH13/-'Resultados'!AH16,"")</f>
        <v/>
      </c>
      <c r="AI41" s="50">
        <f>IFERROR('Resultados'!AI13/-'Resultados'!AI16,"")</f>
        <v/>
      </c>
      <c r="AK41" s="6" t="s">
        <v>442</v>
      </c>
    </row>
    <row r="43" spans="1:37">
      <c r="A43" s="5" t="s">
        <v>443</v>
      </c>
    </row>
    <row r="44" spans="1:37">
      <c r="A44" s="42" t="s">
        <v>444</v>
      </c>
      <c r="B44" s="50">
        <f>IFERROR('Balance'!B20/'Balance'!B57,"")</f>
        <v/>
      </c>
      <c r="C44" s="50">
        <f>IFERROR('Balance'!C20/'Balance'!C57,"")</f>
        <v/>
      </c>
      <c r="D44" s="50">
        <f>IFERROR('Balance'!D20/'Balance'!D57,"")</f>
        <v/>
      </c>
      <c r="E44" s="50">
        <f>IFERROR('Balance'!E20/'Balance'!E57,"")</f>
        <v/>
      </c>
      <c r="F44" s="50">
        <f>IFERROR('Balance'!F20/'Balance'!F57,"")</f>
        <v/>
      </c>
      <c r="G44" s="50">
        <f>IFERROR('Balance'!G20/'Balance'!G57,"")</f>
        <v/>
      </c>
      <c r="H44" s="50">
        <f>IFERROR('Balance'!H20/'Balance'!H57,"")</f>
        <v/>
      </c>
      <c r="I44" s="50">
        <f>IFERROR('Balance'!I20/'Balance'!I57,"")</f>
        <v/>
      </c>
      <c r="J44" s="50">
        <f>IFERROR('Balance'!J20/'Balance'!J57,"")</f>
        <v/>
      </c>
      <c r="K44" s="50">
        <f>IFERROR('Balance'!K20/'Balance'!K57,"")</f>
        <v/>
      </c>
      <c r="L44" s="50">
        <f>IFERROR('Balance'!L20/'Balance'!L57,"")</f>
        <v/>
      </c>
      <c r="M44" s="50">
        <f>IFERROR('Balance'!M20/'Balance'!M57,"")</f>
        <v/>
      </c>
      <c r="N44" s="50">
        <f>IFERROR('Balance'!N20/'Balance'!N57,"")</f>
        <v/>
      </c>
      <c r="O44" s="50">
        <f>IFERROR('Balance'!O20/'Balance'!O57,"")</f>
        <v/>
      </c>
      <c r="P44" s="50">
        <f>IFERROR('Balance'!P20/'Balance'!P57,"")</f>
        <v/>
      </c>
      <c r="Q44" s="50">
        <f>IFERROR('Balance'!Q20/'Balance'!Q57,"")</f>
        <v/>
      </c>
      <c r="R44" s="50">
        <f>IFERROR('Balance'!R20/'Balance'!R57,"")</f>
        <v/>
      </c>
      <c r="S44" s="50">
        <f>IFERROR('Balance'!S20/'Balance'!S57,"")</f>
        <v/>
      </c>
      <c r="T44" s="50">
        <f>IFERROR('Balance'!T20/'Balance'!T57,"")</f>
        <v/>
      </c>
      <c r="U44" s="50">
        <f>IFERROR('Balance'!U20/'Balance'!U57,"")</f>
        <v/>
      </c>
      <c r="V44" s="50">
        <f>IFERROR('Balance'!V20/'Balance'!V57,"")</f>
        <v/>
      </c>
      <c r="W44" s="50">
        <f>IFERROR('Balance'!W20/'Balance'!W57,"")</f>
        <v/>
      </c>
      <c r="X44" s="50">
        <f>IFERROR('Balance'!X20/'Balance'!X57,"")</f>
        <v/>
      </c>
      <c r="Y44" s="50">
        <f>IFERROR('Balance'!Y20/'Balance'!Y57,"")</f>
        <v/>
      </c>
      <c r="Z44" s="50">
        <f>IFERROR('Balance'!Z20/'Balance'!Z57,"")</f>
        <v/>
      </c>
      <c r="AA44" s="50">
        <f>IFERROR('Balance'!AA20/'Balance'!AA57,"")</f>
        <v/>
      </c>
      <c r="AC44" s="50">
        <f>IFERROR('Balance'!AC20/'Balance'!AC57,"")</f>
        <v/>
      </c>
      <c r="AD44" s="50">
        <f>IFERROR('Balance'!AD20/'Balance'!AD57,"")</f>
        <v/>
      </c>
      <c r="AE44" s="50">
        <f>IFERROR('Balance'!AE20/'Balance'!AE57,"")</f>
        <v/>
      </c>
      <c r="AF44" s="50">
        <f>IFERROR('Balance'!AF20/'Balance'!AF57,"")</f>
        <v/>
      </c>
      <c r="AG44" s="50">
        <f>IFERROR('Balance'!AG20/'Balance'!AG57,"")</f>
        <v/>
      </c>
      <c r="AH44" s="50">
        <f>IFERROR('Balance'!AH20/'Balance'!AH57,"")</f>
        <v/>
      </c>
      <c r="AI44" s="50">
        <f>IFERROR('Balance'!AI20/'Balance'!AI57,"")</f>
        <v/>
      </c>
    </row>
    <row r="45" spans="1:37">
      <c r="A45" s="42" t="s">
        <v>445</v>
      </c>
      <c r="B45" s="50">
        <f>IFERROR(('Balance'!B20-'Balance'!B14)/'Balance'!B57,"")</f>
        <v/>
      </c>
      <c r="C45" s="50">
        <f>IFERROR(('Balance'!C20-'Balance'!C14)/'Balance'!C57,"")</f>
        <v/>
      </c>
      <c r="D45" s="50">
        <f>IFERROR(('Balance'!D20-'Balance'!D14)/'Balance'!D57,"")</f>
        <v/>
      </c>
      <c r="E45" s="50">
        <f>IFERROR(('Balance'!E20-'Balance'!E14)/'Balance'!E57,"")</f>
        <v/>
      </c>
      <c r="F45" s="50">
        <f>IFERROR(('Balance'!F20-'Balance'!F14)/'Balance'!F57,"")</f>
        <v/>
      </c>
      <c r="G45" s="50">
        <f>IFERROR(('Balance'!G20-'Balance'!G14)/'Balance'!G57,"")</f>
        <v/>
      </c>
      <c r="H45" s="50">
        <f>IFERROR(('Balance'!H20-'Balance'!H14)/'Balance'!H57,"")</f>
        <v/>
      </c>
      <c r="I45" s="50">
        <f>IFERROR(('Balance'!I20-'Balance'!I14)/'Balance'!I57,"")</f>
        <v/>
      </c>
      <c r="J45" s="50">
        <f>IFERROR(('Balance'!J20-'Balance'!J14)/'Balance'!J57,"")</f>
        <v/>
      </c>
      <c r="K45" s="50">
        <f>IFERROR(('Balance'!K20-'Balance'!K14)/'Balance'!K57,"")</f>
        <v/>
      </c>
      <c r="L45" s="50">
        <f>IFERROR(('Balance'!L20-'Balance'!L14)/'Balance'!L57,"")</f>
        <v/>
      </c>
      <c r="M45" s="50">
        <f>IFERROR(('Balance'!M20-'Balance'!M14)/'Balance'!M57,"")</f>
        <v/>
      </c>
      <c r="N45" s="50">
        <f>IFERROR(('Balance'!N20-'Balance'!N14)/'Balance'!N57,"")</f>
        <v/>
      </c>
      <c r="O45" s="50">
        <f>IFERROR(('Balance'!O20-'Balance'!O14)/'Balance'!O57,"")</f>
        <v/>
      </c>
      <c r="P45" s="50">
        <f>IFERROR(('Balance'!P20-'Balance'!P14)/'Balance'!P57,"")</f>
        <v/>
      </c>
      <c r="Q45" s="50">
        <f>IFERROR(('Balance'!Q20-'Balance'!Q14)/'Balance'!Q57,"")</f>
        <v/>
      </c>
      <c r="R45" s="50">
        <f>IFERROR(('Balance'!R20-'Balance'!R14)/'Balance'!R57,"")</f>
        <v/>
      </c>
      <c r="S45" s="50">
        <f>IFERROR(('Balance'!S20-'Balance'!S14)/'Balance'!S57,"")</f>
        <v/>
      </c>
      <c r="T45" s="50">
        <f>IFERROR(('Balance'!T20-'Balance'!T14)/'Balance'!T57,"")</f>
        <v/>
      </c>
      <c r="U45" s="50">
        <f>IFERROR(('Balance'!U20-'Balance'!U14)/'Balance'!U57,"")</f>
        <v/>
      </c>
      <c r="V45" s="50">
        <f>IFERROR(('Balance'!V20-'Balance'!V14)/'Balance'!V57,"")</f>
        <v/>
      </c>
      <c r="W45" s="50">
        <f>IFERROR(('Balance'!W20-'Balance'!W14)/'Balance'!W57,"")</f>
        <v/>
      </c>
      <c r="X45" s="50">
        <f>IFERROR(('Balance'!X20-'Balance'!X14)/'Balance'!X57,"")</f>
        <v/>
      </c>
      <c r="Y45" s="50">
        <f>IFERROR(('Balance'!Y20-'Balance'!Y14)/'Balance'!Y57,"")</f>
        <v/>
      </c>
      <c r="Z45" s="50">
        <f>IFERROR(('Balance'!Z20-'Balance'!Z14)/'Balance'!Z57,"")</f>
        <v/>
      </c>
      <c r="AA45" s="50">
        <f>IFERROR(('Balance'!AA20-'Balance'!AA14)/'Balance'!AA57,"")</f>
        <v/>
      </c>
      <c r="AC45" s="50">
        <f>IFERROR(('Balance'!AC20-'Balance'!AC14)/'Balance'!AC57,"")</f>
        <v/>
      </c>
      <c r="AD45" s="50">
        <f>IFERROR(('Balance'!AD20-'Balance'!AD14)/'Balance'!AD57,"")</f>
        <v/>
      </c>
      <c r="AE45" s="50">
        <f>IFERROR(('Balance'!AE20-'Balance'!AE14)/'Balance'!AE57,"")</f>
        <v/>
      </c>
      <c r="AF45" s="50">
        <f>IFERROR(('Balance'!AF20-'Balance'!AF14)/'Balance'!AF57,"")</f>
        <v/>
      </c>
      <c r="AG45" s="50">
        <f>IFERROR(('Balance'!AG20-'Balance'!AG14)/'Balance'!AG57,"")</f>
        <v/>
      </c>
      <c r="AH45" s="50">
        <f>IFERROR(('Balance'!AH20-'Balance'!AH14)/'Balance'!AH57,"")</f>
        <v/>
      </c>
      <c r="AI45" s="50">
        <f>IFERROR(('Balance'!AI20-'Balance'!AI14)/'Balance'!AI57,"")</f>
        <v/>
      </c>
    </row>
    <row r="46" spans="1:37">
      <c r="A46" s="42" t="s">
        <v>446</v>
      </c>
      <c r="B46" s="51">
        <f>IFERROR('Balance'!B17*91.25/'Resultados'!B5,"")</f>
        <v/>
      </c>
      <c r="C46" s="51">
        <f>IFERROR('Balance'!C17*91.25/'Resultados'!C5,"")</f>
        <v/>
      </c>
      <c r="D46" s="51">
        <f>IFERROR('Balance'!D17*91.25/'Resultados'!D5,"")</f>
        <v/>
      </c>
      <c r="E46" s="51">
        <f>IFERROR('Balance'!E17*91.25/'Resultados'!E5,"")</f>
        <v/>
      </c>
      <c r="F46" s="51">
        <f>IFERROR('Balance'!F17*91.25/'Resultados'!F5,"")</f>
        <v/>
      </c>
      <c r="G46" s="51">
        <f>IFERROR('Balance'!G17*91.25/'Resultados'!G5,"")</f>
        <v/>
      </c>
      <c r="H46" s="51">
        <f>IFERROR('Balance'!H17*91.25/'Resultados'!H5,"")</f>
        <v/>
      </c>
      <c r="I46" s="51">
        <f>IFERROR('Balance'!I17*91.25/'Resultados'!I5,"")</f>
        <v/>
      </c>
      <c r="J46" s="51">
        <f>IFERROR('Balance'!J17*91.25/'Resultados'!J5,"")</f>
        <v/>
      </c>
      <c r="K46" s="51">
        <f>IFERROR('Balance'!K17*91.25/'Resultados'!K5,"")</f>
        <v/>
      </c>
      <c r="L46" s="51">
        <f>IFERROR('Balance'!L17*91.25/'Resultados'!L5,"")</f>
        <v/>
      </c>
      <c r="M46" s="51">
        <f>IFERROR('Balance'!M17*91.25/'Resultados'!M5,"")</f>
        <v/>
      </c>
      <c r="N46" s="51">
        <f>IFERROR('Balance'!N17*91.25/'Resultados'!N5,"")</f>
        <v/>
      </c>
      <c r="O46" s="51">
        <f>IFERROR('Balance'!O17*91.25/'Resultados'!O5,"")</f>
        <v/>
      </c>
      <c r="P46" s="51">
        <f>IFERROR('Balance'!P17*91.25/'Resultados'!P5,"")</f>
        <v/>
      </c>
      <c r="Q46" s="51">
        <f>IFERROR('Balance'!Q17*91.25/'Resultados'!Q5,"")</f>
        <v/>
      </c>
      <c r="R46" s="51">
        <f>IFERROR('Balance'!R17*91.25/'Resultados'!R5,"")</f>
        <v/>
      </c>
      <c r="S46" s="51">
        <f>IFERROR('Balance'!S17*91.25/'Resultados'!S5,"")</f>
        <v/>
      </c>
      <c r="T46" s="51">
        <f>IFERROR('Balance'!T17*91.25/'Resultados'!T5,"")</f>
        <v/>
      </c>
      <c r="U46" s="51">
        <f>IFERROR('Balance'!U17*91.25/'Resultados'!U5,"")</f>
        <v/>
      </c>
      <c r="V46" s="51">
        <f>IFERROR('Balance'!V17*91.25/'Resultados'!V5,"")</f>
        <v/>
      </c>
      <c r="W46" s="51">
        <f>IFERROR('Balance'!W17*91.25/'Resultados'!W5,"")</f>
        <v/>
      </c>
      <c r="X46" s="51">
        <f>IFERROR('Balance'!X17*91.25/'Resultados'!X5,"")</f>
        <v/>
      </c>
      <c r="Y46" s="51">
        <f>IFERROR('Balance'!Y17*91.25/'Resultados'!Y5,"")</f>
        <v/>
      </c>
      <c r="Z46" s="51">
        <f>IFERROR('Balance'!Z17*91.25/'Resultados'!Z5,"")</f>
        <v/>
      </c>
      <c r="AA46" s="51">
        <f>IFERROR('Balance'!AA17*91.25/'Resultados'!AA5,"")</f>
        <v/>
      </c>
      <c r="AC46" s="51">
        <f>IFERROR('Balance'!AC17*91.25/'Resultados'!AC5,"")</f>
        <v/>
      </c>
      <c r="AD46" s="51">
        <f>IFERROR('Balance'!AD17*91.25/'Resultados'!AD5,"")</f>
        <v/>
      </c>
      <c r="AE46" s="51">
        <f>IFERROR('Balance'!AE17*91.25/'Resultados'!AE5,"")</f>
        <v/>
      </c>
      <c r="AF46" s="51">
        <f>IFERROR('Balance'!AF17*91.25/'Resultados'!AF5,"")</f>
        <v/>
      </c>
      <c r="AG46" s="51">
        <f>IFERROR('Balance'!AG17*91.25/'Resultados'!AG5,"")</f>
        <v/>
      </c>
      <c r="AH46" s="51">
        <f>IFERROR('Balance'!AH17*91.25/'Resultados'!AH5,"")</f>
        <v/>
      </c>
      <c r="AI46" s="51">
        <f>IFERROR('Balance'!AI17*91.25/'Resultados'!AI5,"")</f>
        <v/>
      </c>
      <c r="AK46" s="6" t="s">
        <v>447</v>
      </c>
    </row>
    <row r="47" spans="1:37">
      <c r="A47" s="42" t="s">
        <v>448</v>
      </c>
      <c r="B47" s="51">
        <f>IFERROR('Balance'!B14*91.25/-'Resultados'!B6,"")</f>
        <v/>
      </c>
      <c r="C47" s="51">
        <f>IFERROR('Balance'!C14*91.25/-'Resultados'!C6,"")</f>
        <v/>
      </c>
      <c r="D47" s="51">
        <f>IFERROR('Balance'!D14*91.25/-'Resultados'!D6,"")</f>
        <v/>
      </c>
      <c r="E47" s="51">
        <f>IFERROR('Balance'!E14*91.25/-'Resultados'!E6,"")</f>
        <v/>
      </c>
      <c r="F47" s="51">
        <f>IFERROR('Balance'!F14*91.25/-'Resultados'!F6,"")</f>
        <v/>
      </c>
      <c r="G47" s="51">
        <f>IFERROR('Balance'!G14*91.25/-'Resultados'!G6,"")</f>
        <v/>
      </c>
      <c r="H47" s="51">
        <f>IFERROR('Balance'!H14*91.25/-'Resultados'!H6,"")</f>
        <v/>
      </c>
      <c r="I47" s="51">
        <f>IFERROR('Balance'!I14*91.25/-'Resultados'!I6,"")</f>
        <v/>
      </c>
      <c r="J47" s="51">
        <f>IFERROR('Balance'!J14*91.25/-'Resultados'!J6,"")</f>
        <v/>
      </c>
      <c r="K47" s="51">
        <f>IFERROR('Balance'!K14*91.25/-'Resultados'!K6,"")</f>
        <v/>
      </c>
      <c r="L47" s="51">
        <f>IFERROR('Balance'!L14*91.25/-'Resultados'!L6,"")</f>
        <v/>
      </c>
      <c r="M47" s="51">
        <f>IFERROR('Balance'!M14*91.25/-'Resultados'!M6,"")</f>
        <v/>
      </c>
      <c r="N47" s="51">
        <f>IFERROR('Balance'!N14*91.25/-'Resultados'!N6,"")</f>
        <v/>
      </c>
      <c r="O47" s="51">
        <f>IFERROR('Balance'!O14*91.25/-'Resultados'!O6,"")</f>
        <v/>
      </c>
      <c r="P47" s="51">
        <f>IFERROR('Balance'!P14*91.25/-'Resultados'!P6,"")</f>
        <v/>
      </c>
      <c r="Q47" s="51">
        <f>IFERROR('Balance'!Q14*91.25/-'Resultados'!Q6,"")</f>
        <v/>
      </c>
      <c r="R47" s="51">
        <f>IFERROR('Balance'!R14*91.25/-'Resultados'!R6,"")</f>
        <v/>
      </c>
      <c r="S47" s="51">
        <f>IFERROR('Balance'!S14*91.25/-'Resultados'!S6,"")</f>
        <v/>
      </c>
      <c r="T47" s="51">
        <f>IFERROR('Balance'!T14*91.25/-'Resultados'!T6,"")</f>
        <v/>
      </c>
      <c r="U47" s="51">
        <f>IFERROR('Balance'!U14*91.25/-'Resultados'!U6,"")</f>
        <v/>
      </c>
      <c r="V47" s="51">
        <f>IFERROR('Balance'!V14*91.25/-'Resultados'!V6,"")</f>
        <v/>
      </c>
      <c r="W47" s="51">
        <f>IFERROR('Balance'!W14*91.25/-'Resultados'!W6,"")</f>
        <v/>
      </c>
      <c r="X47" s="51">
        <f>IFERROR('Balance'!X14*91.25/-'Resultados'!X6,"")</f>
        <v/>
      </c>
      <c r="Y47" s="51">
        <f>IFERROR('Balance'!Y14*91.25/-'Resultados'!Y6,"")</f>
        <v/>
      </c>
      <c r="Z47" s="51">
        <f>IFERROR('Balance'!Z14*91.25/-'Resultados'!Z6,"")</f>
        <v/>
      </c>
      <c r="AA47" s="51">
        <f>IFERROR('Balance'!AA14*91.25/-'Resultados'!AA6,"")</f>
        <v/>
      </c>
      <c r="AC47" s="51">
        <f>IFERROR('Balance'!AC14*91.25/-'Resultados'!AC6,"")</f>
        <v/>
      </c>
      <c r="AD47" s="51">
        <f>IFERROR('Balance'!AD14*91.25/-'Resultados'!AD6,"")</f>
        <v/>
      </c>
      <c r="AE47" s="51">
        <f>IFERROR('Balance'!AE14*91.25/-'Resultados'!AE6,"")</f>
        <v/>
      </c>
      <c r="AF47" s="51">
        <f>IFERROR('Balance'!AF14*91.25/-'Resultados'!AF6,"")</f>
        <v/>
      </c>
      <c r="AG47" s="51">
        <f>IFERROR('Balance'!AG14*91.25/-'Resultados'!AG6,"")</f>
        <v/>
      </c>
      <c r="AH47" s="51">
        <f>IFERROR('Balance'!AH14*91.25/-'Resultados'!AH6,"")</f>
        <v/>
      </c>
      <c r="AI47" s="51">
        <f>IFERROR('Balance'!AI14*91.25/-'Resultados'!AI6,"")</f>
        <v/>
      </c>
    </row>
    <row r="48" spans="1:37">
      <c r="A48" s="42" t="s">
        <v>449</v>
      </c>
      <c r="B48" s="51">
        <f>IFERROR('Balance'!B56*91.25/-'Resultados'!B6,"")</f>
        <v/>
      </c>
      <c r="C48" s="51">
        <f>IFERROR('Balance'!C56*91.25/-'Resultados'!C6,"")</f>
        <v/>
      </c>
      <c r="D48" s="51">
        <f>IFERROR('Balance'!D56*91.25/-'Resultados'!D6,"")</f>
        <v/>
      </c>
      <c r="E48" s="51">
        <f>IFERROR('Balance'!E56*91.25/-'Resultados'!E6,"")</f>
        <v/>
      </c>
      <c r="F48" s="51">
        <f>IFERROR('Balance'!F56*91.25/-'Resultados'!F6,"")</f>
        <v/>
      </c>
      <c r="G48" s="51">
        <f>IFERROR('Balance'!G56*91.25/-'Resultados'!G6,"")</f>
        <v/>
      </c>
      <c r="H48" s="51">
        <f>IFERROR('Balance'!H56*91.25/-'Resultados'!H6,"")</f>
        <v/>
      </c>
      <c r="I48" s="51">
        <f>IFERROR('Balance'!I56*91.25/-'Resultados'!I6,"")</f>
        <v/>
      </c>
      <c r="J48" s="51">
        <f>IFERROR('Balance'!J56*91.25/-'Resultados'!J6,"")</f>
        <v/>
      </c>
      <c r="K48" s="51">
        <f>IFERROR('Balance'!K56*91.25/-'Resultados'!K6,"")</f>
        <v/>
      </c>
      <c r="L48" s="51">
        <f>IFERROR('Balance'!L56*91.25/-'Resultados'!L6,"")</f>
        <v/>
      </c>
      <c r="M48" s="51">
        <f>IFERROR('Balance'!M56*91.25/-'Resultados'!M6,"")</f>
        <v/>
      </c>
      <c r="N48" s="51">
        <f>IFERROR('Balance'!N56*91.25/-'Resultados'!N6,"")</f>
        <v/>
      </c>
      <c r="O48" s="51">
        <f>IFERROR('Balance'!O56*91.25/-'Resultados'!O6,"")</f>
        <v/>
      </c>
      <c r="P48" s="51">
        <f>IFERROR('Balance'!P56*91.25/-'Resultados'!P6,"")</f>
        <v/>
      </c>
      <c r="Q48" s="51">
        <f>IFERROR('Balance'!Q56*91.25/-'Resultados'!Q6,"")</f>
        <v/>
      </c>
      <c r="R48" s="51">
        <f>IFERROR('Balance'!R56*91.25/-'Resultados'!R6,"")</f>
        <v/>
      </c>
      <c r="S48" s="51">
        <f>IFERROR('Balance'!S56*91.25/-'Resultados'!S6,"")</f>
        <v/>
      </c>
      <c r="T48" s="51">
        <f>IFERROR('Balance'!T56*91.25/-'Resultados'!T6,"")</f>
        <v/>
      </c>
      <c r="U48" s="51">
        <f>IFERROR('Balance'!U56*91.25/-'Resultados'!U6,"")</f>
        <v/>
      </c>
      <c r="V48" s="51">
        <f>IFERROR('Balance'!V56*91.25/-'Resultados'!V6,"")</f>
        <v/>
      </c>
      <c r="W48" s="51">
        <f>IFERROR('Balance'!W56*91.25/-'Resultados'!W6,"")</f>
        <v/>
      </c>
      <c r="X48" s="51">
        <f>IFERROR('Balance'!X56*91.25/-'Resultados'!X6,"")</f>
        <v/>
      </c>
      <c r="Y48" s="51">
        <f>IFERROR('Balance'!Y56*91.25/-'Resultados'!Y6,"")</f>
        <v/>
      </c>
      <c r="Z48" s="51">
        <f>IFERROR('Balance'!Z56*91.25/-'Resultados'!Z6,"")</f>
        <v/>
      </c>
      <c r="AA48" s="51">
        <f>IFERROR('Balance'!AA56*91.25/-'Resultados'!AA6,"")</f>
        <v/>
      </c>
      <c r="AC48" s="51">
        <f>IFERROR('Balance'!AC56*91.25/-'Resultados'!AC6,"")</f>
        <v/>
      </c>
      <c r="AD48" s="51">
        <f>IFERROR('Balance'!AD56*91.25/-'Resultados'!AD6,"")</f>
        <v/>
      </c>
      <c r="AE48" s="51">
        <f>IFERROR('Balance'!AE56*91.25/-'Resultados'!AE6,"")</f>
        <v/>
      </c>
      <c r="AF48" s="51">
        <f>IFERROR('Balance'!AF56*91.25/-'Resultados'!AF6,"")</f>
        <v/>
      </c>
      <c r="AG48" s="51">
        <f>IFERROR('Balance'!AG56*91.25/-'Resultados'!AG6,"")</f>
        <v/>
      </c>
      <c r="AH48" s="51">
        <f>IFERROR('Balance'!AH56*91.25/-'Resultados'!AH6,"")</f>
        <v/>
      </c>
      <c r="AI48" s="51">
        <f>IFERROR('Balance'!AI56*91.25/-'Resultados'!AI6,"")</f>
        <v/>
      </c>
    </row>
    <row r="50" spans="1:37">
      <c r="A50" s="5" t="s">
        <v>450</v>
      </c>
    </row>
    <row r="51" spans="1:37">
      <c r="A51" s="42" t="s">
        <v>451</v>
      </c>
      <c r="B51" s="49">
        <f>IFERROR('Flujo de efectivo'!B33/'Resultados'!B5,"")</f>
        <v/>
      </c>
      <c r="C51" s="49">
        <f>IFERROR('Flujo de efectivo'!C33/'Resultados'!C5,"")</f>
        <v/>
      </c>
      <c r="D51" s="49">
        <f>IFERROR('Flujo de efectivo'!D33/'Resultados'!D5,"")</f>
        <v/>
      </c>
      <c r="E51" s="49">
        <f>IFERROR('Flujo de efectivo'!E33/'Resultados'!E5,"")</f>
        <v/>
      </c>
      <c r="F51" s="49">
        <f>IFERROR('Flujo de efectivo'!F33/'Resultados'!F5,"")</f>
        <v/>
      </c>
      <c r="G51" s="49">
        <f>IFERROR('Flujo de efectivo'!G33/'Resultados'!G5,"")</f>
        <v/>
      </c>
      <c r="H51" s="49">
        <f>IFERROR('Flujo de efectivo'!H33/'Resultados'!H5,"")</f>
        <v/>
      </c>
      <c r="I51" s="49">
        <f>IFERROR('Flujo de efectivo'!I33/'Resultados'!I5,"")</f>
        <v/>
      </c>
      <c r="J51" s="49">
        <f>IFERROR('Flujo de efectivo'!J33/'Resultados'!J5,"")</f>
        <v/>
      </c>
      <c r="K51" s="49">
        <f>IFERROR('Flujo de efectivo'!K33/'Resultados'!K5,"")</f>
        <v/>
      </c>
      <c r="L51" s="49">
        <f>IFERROR('Flujo de efectivo'!L33/'Resultados'!L5,"")</f>
        <v/>
      </c>
      <c r="M51" s="49">
        <f>IFERROR('Flujo de efectivo'!M33/'Resultados'!M5,"")</f>
        <v/>
      </c>
      <c r="N51" s="49">
        <f>IFERROR('Flujo de efectivo'!N33/'Resultados'!N5,"")</f>
        <v/>
      </c>
      <c r="O51" s="49">
        <f>IFERROR('Flujo de efectivo'!O33/'Resultados'!O5,"")</f>
        <v/>
      </c>
      <c r="P51" s="49">
        <f>IFERROR('Flujo de efectivo'!P33/'Resultados'!P5,"")</f>
        <v/>
      </c>
      <c r="Q51" s="49">
        <f>IFERROR('Flujo de efectivo'!Q33/'Resultados'!Q5,"")</f>
        <v/>
      </c>
      <c r="R51" s="49">
        <f>IFERROR('Flujo de efectivo'!R33/'Resultados'!R5,"")</f>
        <v/>
      </c>
      <c r="S51" s="49">
        <f>IFERROR('Flujo de efectivo'!S33/'Resultados'!S5,"")</f>
        <v/>
      </c>
      <c r="T51" s="49">
        <f>IFERROR('Flujo de efectivo'!T33/'Resultados'!T5,"")</f>
        <v/>
      </c>
      <c r="U51" s="49">
        <f>IFERROR('Flujo de efectivo'!U33/'Resultados'!U5,"")</f>
        <v/>
      </c>
      <c r="V51" s="49">
        <f>IFERROR('Flujo de efectivo'!V33/'Resultados'!V5,"")</f>
        <v/>
      </c>
      <c r="W51" s="49">
        <f>IFERROR('Flujo de efectivo'!W33/'Resultados'!W5,"")</f>
        <v/>
      </c>
      <c r="X51" s="49">
        <f>IFERROR('Flujo de efectivo'!X33/'Resultados'!X5,"")</f>
        <v/>
      </c>
      <c r="Y51" s="49">
        <f>IFERROR('Flujo de efectivo'!Y33/'Resultados'!Y5,"")</f>
        <v/>
      </c>
      <c r="Z51" s="49">
        <f>IFERROR('Flujo de efectivo'!Z33/'Resultados'!Z5,"")</f>
        <v/>
      </c>
      <c r="AA51" s="49">
        <f>IFERROR('Flujo de efectivo'!AA33/'Resultados'!AA5,"")</f>
        <v/>
      </c>
      <c r="AC51" s="49">
        <f>IFERROR('Flujo de efectivo'!AC33/'Resultados'!AC5,"")</f>
        <v/>
      </c>
      <c r="AD51" s="49">
        <f>IFERROR('Flujo de efectivo'!AD33/'Resultados'!AD5,"")</f>
        <v/>
      </c>
      <c r="AE51" s="49">
        <f>IFERROR('Flujo de efectivo'!AE33/'Resultados'!AE5,"")</f>
        <v/>
      </c>
      <c r="AF51" s="49">
        <f>IFERROR('Flujo de efectivo'!AF33/'Resultados'!AF5,"")</f>
        <v/>
      </c>
      <c r="AG51" s="49">
        <f>IFERROR('Flujo de efectivo'!AG33/'Resultados'!AG5,"")</f>
        <v/>
      </c>
      <c r="AH51" s="49">
        <f>IFERROR('Flujo de efectivo'!AH33/'Resultados'!AH5,"")</f>
        <v/>
      </c>
      <c r="AI51" s="49">
        <f>IFERROR('Flujo de efectivo'!AI33/'Resultados'!AI5,"")</f>
        <v/>
      </c>
    </row>
    <row r="52" spans="1:37">
      <c r="A52" s="42" t="s">
        <v>452</v>
      </c>
      <c r="B52" s="50">
        <f>IFERROR(-'Flujo de efectivo'!B34/('Flujo de efectivo'!B7+'Flujo de efectivo'!B8+'Flujo de efectivo'!B9),"")</f>
        <v/>
      </c>
      <c r="C52" s="50">
        <f>IFERROR(-'Flujo de efectivo'!C34/('Flujo de efectivo'!C7+'Flujo de efectivo'!C8+'Flujo de efectivo'!C9),"")</f>
        <v/>
      </c>
      <c r="D52" s="50">
        <f>IFERROR(-'Flujo de efectivo'!D34/('Flujo de efectivo'!D7+'Flujo de efectivo'!D8+'Flujo de efectivo'!D9),"")</f>
        <v/>
      </c>
      <c r="E52" s="50">
        <f>IFERROR(-'Flujo de efectivo'!E34/('Flujo de efectivo'!E7+'Flujo de efectivo'!E8+'Flujo de efectivo'!E9),"")</f>
        <v/>
      </c>
      <c r="F52" s="50">
        <f>IFERROR(-'Flujo de efectivo'!F34/('Flujo de efectivo'!F7+'Flujo de efectivo'!F8+'Flujo de efectivo'!F9),"")</f>
        <v/>
      </c>
      <c r="G52" s="50">
        <f>IFERROR(-'Flujo de efectivo'!G34/('Flujo de efectivo'!G7+'Flujo de efectivo'!G8+'Flujo de efectivo'!G9),"")</f>
        <v/>
      </c>
      <c r="H52" s="50">
        <f>IFERROR(-'Flujo de efectivo'!H34/('Flujo de efectivo'!H7+'Flujo de efectivo'!H8+'Flujo de efectivo'!H9),"")</f>
        <v/>
      </c>
      <c r="I52" s="50">
        <f>IFERROR(-'Flujo de efectivo'!I34/('Flujo de efectivo'!I7+'Flujo de efectivo'!I8+'Flujo de efectivo'!I9),"")</f>
        <v/>
      </c>
      <c r="J52" s="50">
        <f>IFERROR(-'Flujo de efectivo'!J34/('Flujo de efectivo'!J7+'Flujo de efectivo'!J8+'Flujo de efectivo'!J9),"")</f>
        <v/>
      </c>
      <c r="K52" s="50">
        <f>IFERROR(-'Flujo de efectivo'!K34/('Flujo de efectivo'!K7+'Flujo de efectivo'!K8+'Flujo de efectivo'!K9),"")</f>
        <v/>
      </c>
      <c r="L52" s="50">
        <f>IFERROR(-'Flujo de efectivo'!L34/('Flujo de efectivo'!L7+'Flujo de efectivo'!L8+'Flujo de efectivo'!L9),"")</f>
        <v/>
      </c>
      <c r="M52" s="50">
        <f>IFERROR(-'Flujo de efectivo'!M34/('Flujo de efectivo'!M7+'Flujo de efectivo'!M8+'Flujo de efectivo'!M9),"")</f>
        <v/>
      </c>
      <c r="N52" s="50">
        <f>IFERROR(-'Flujo de efectivo'!N34/('Flujo de efectivo'!N7+'Flujo de efectivo'!N8+'Flujo de efectivo'!N9),"")</f>
        <v/>
      </c>
      <c r="O52" s="50">
        <f>IFERROR(-'Flujo de efectivo'!O34/('Flujo de efectivo'!O7+'Flujo de efectivo'!O8+'Flujo de efectivo'!O9),"")</f>
        <v/>
      </c>
      <c r="P52" s="50">
        <f>IFERROR(-'Flujo de efectivo'!P34/('Flujo de efectivo'!P7+'Flujo de efectivo'!P8+'Flujo de efectivo'!P9),"")</f>
        <v/>
      </c>
      <c r="Q52" s="50">
        <f>IFERROR(-'Flujo de efectivo'!Q34/('Flujo de efectivo'!Q7+'Flujo de efectivo'!Q8+'Flujo de efectivo'!Q9),"")</f>
        <v/>
      </c>
      <c r="R52" s="50">
        <f>IFERROR(-'Flujo de efectivo'!R34/('Flujo de efectivo'!R7+'Flujo de efectivo'!R8+'Flujo de efectivo'!R9),"")</f>
        <v/>
      </c>
      <c r="S52" s="50">
        <f>IFERROR(-'Flujo de efectivo'!S34/('Flujo de efectivo'!S7+'Flujo de efectivo'!S8+'Flujo de efectivo'!S9),"")</f>
        <v/>
      </c>
      <c r="T52" s="50">
        <f>IFERROR(-'Flujo de efectivo'!T34/('Flujo de efectivo'!T7+'Flujo de efectivo'!T8+'Flujo de efectivo'!T9),"")</f>
        <v/>
      </c>
      <c r="U52" s="50">
        <f>IFERROR(-'Flujo de efectivo'!U34/('Flujo de efectivo'!U7+'Flujo de efectivo'!U8+'Flujo de efectivo'!U9),"")</f>
        <v/>
      </c>
      <c r="V52" s="50">
        <f>IFERROR(-'Flujo de efectivo'!V34/('Flujo de efectivo'!V7+'Flujo de efectivo'!V8+'Flujo de efectivo'!V9),"")</f>
        <v/>
      </c>
      <c r="W52" s="50">
        <f>IFERROR(-'Flujo de efectivo'!W34/('Flujo de efectivo'!W7+'Flujo de efectivo'!W8+'Flujo de efectivo'!W9),"")</f>
        <v/>
      </c>
      <c r="X52" s="50">
        <f>IFERROR(-'Flujo de efectivo'!X34/('Flujo de efectivo'!X7+'Flujo de efectivo'!X8+'Flujo de efectivo'!X9),"")</f>
        <v/>
      </c>
      <c r="Y52" s="50">
        <f>IFERROR(-'Flujo de efectivo'!Y34/('Flujo de efectivo'!Y7+'Flujo de efectivo'!Y8+'Flujo de efectivo'!Y9),"")</f>
        <v/>
      </c>
      <c r="Z52" s="50">
        <f>IFERROR(-'Flujo de efectivo'!Z34/('Flujo de efectivo'!Z7+'Flujo de efectivo'!Z8+'Flujo de efectivo'!Z9),"")</f>
        <v/>
      </c>
      <c r="AA52" s="50">
        <f>IFERROR(-'Flujo de efectivo'!AA34/('Flujo de efectivo'!AA7+'Flujo de efectivo'!AA8+'Flujo de efectivo'!AA9),"")</f>
        <v/>
      </c>
      <c r="AC52" s="50">
        <f>IFERROR(-'Flujo de efectivo'!AC34/('Flujo de efectivo'!AC7+'Flujo de efectivo'!AC8+'Flujo de efectivo'!AC9),"")</f>
        <v/>
      </c>
      <c r="AD52" s="50">
        <f>IFERROR(-'Flujo de efectivo'!AD34/('Flujo de efectivo'!AD7+'Flujo de efectivo'!AD8+'Flujo de efectivo'!AD9),"")</f>
        <v/>
      </c>
      <c r="AE52" s="50">
        <f>IFERROR(-'Flujo de efectivo'!AE34/('Flujo de efectivo'!AE7+'Flujo de efectivo'!AE8+'Flujo de efectivo'!AE9),"")</f>
        <v/>
      </c>
      <c r="AF52" s="50">
        <f>IFERROR(-'Flujo de efectivo'!AF34/('Flujo de efectivo'!AF7+'Flujo de efectivo'!AF8+'Flujo de efectivo'!AF9),"")</f>
        <v/>
      </c>
      <c r="AG52" s="50">
        <f>IFERROR(-'Flujo de efectivo'!AG34/('Flujo de efectivo'!AG7+'Flujo de efectivo'!AG8+'Flujo de efectivo'!AG9),"")</f>
        <v/>
      </c>
      <c r="AH52" s="50">
        <f>IFERROR(-'Flujo de efectivo'!AH34/('Flujo de efectivo'!AH7+'Flujo de efectivo'!AH8+'Flujo de efectivo'!AH9),"")</f>
        <v/>
      </c>
      <c r="AI52" s="50">
        <f>IFERROR(-'Flujo de efectivo'!AI34/('Flujo de efectivo'!AI7+'Flujo de efectivo'!AI8+'Flujo de efectivo'!AI9),"")</f>
        <v/>
      </c>
      <c r="AK52" s="6" t="s">
        <v>453</v>
      </c>
    </row>
    <row r="53" spans="1:37">
      <c r="A53" s="42" t="s">
        <v>454</v>
      </c>
      <c r="B53" s="49">
        <f>IFERROR(('Flujo de efectivo'!B33+'Flujo de efectivo'!B34)/('Resultados'!B13+('Flujo de efectivo'!B7+'Flujo de efectivo'!B8+'Flujo de efectivo'!B9)),"")</f>
        <v/>
      </c>
      <c r="C53" s="49">
        <f>IFERROR(('Flujo de efectivo'!C33+'Flujo de efectivo'!C34)/('Resultados'!C13+('Flujo de efectivo'!C7+'Flujo de efectivo'!C8+'Flujo de efectivo'!C9)),"")</f>
        <v/>
      </c>
      <c r="D53" s="49">
        <f>IFERROR(('Flujo de efectivo'!D33+'Flujo de efectivo'!D34)/('Resultados'!D13+('Flujo de efectivo'!D7+'Flujo de efectivo'!D8+'Flujo de efectivo'!D9)),"")</f>
        <v/>
      </c>
      <c r="E53" s="49">
        <f>IFERROR(('Flujo de efectivo'!E33+'Flujo de efectivo'!E34)/('Resultados'!E13+('Flujo de efectivo'!E7+'Flujo de efectivo'!E8+'Flujo de efectivo'!E9)),"")</f>
        <v/>
      </c>
      <c r="F53" s="49">
        <f>IFERROR(('Flujo de efectivo'!F33+'Flujo de efectivo'!F34)/('Resultados'!F13+('Flujo de efectivo'!F7+'Flujo de efectivo'!F8+'Flujo de efectivo'!F9)),"")</f>
        <v/>
      </c>
      <c r="G53" s="49">
        <f>IFERROR(('Flujo de efectivo'!G33+'Flujo de efectivo'!G34)/('Resultados'!G13+('Flujo de efectivo'!G7+'Flujo de efectivo'!G8+'Flujo de efectivo'!G9)),"")</f>
        <v/>
      </c>
      <c r="H53" s="49">
        <f>IFERROR(('Flujo de efectivo'!H33+'Flujo de efectivo'!H34)/('Resultados'!H13+('Flujo de efectivo'!H7+'Flujo de efectivo'!H8+'Flujo de efectivo'!H9)),"")</f>
        <v/>
      </c>
      <c r="I53" s="49">
        <f>IFERROR(('Flujo de efectivo'!I33+'Flujo de efectivo'!I34)/('Resultados'!I13+('Flujo de efectivo'!I7+'Flujo de efectivo'!I8+'Flujo de efectivo'!I9)),"")</f>
        <v/>
      </c>
      <c r="J53" s="49">
        <f>IFERROR(('Flujo de efectivo'!J33+'Flujo de efectivo'!J34)/('Resultados'!J13+('Flujo de efectivo'!J7+'Flujo de efectivo'!J8+'Flujo de efectivo'!J9)),"")</f>
        <v/>
      </c>
      <c r="K53" s="49">
        <f>IFERROR(('Flujo de efectivo'!K33+'Flujo de efectivo'!K34)/('Resultados'!K13+('Flujo de efectivo'!K7+'Flujo de efectivo'!K8+'Flujo de efectivo'!K9)),"")</f>
        <v/>
      </c>
      <c r="L53" s="49">
        <f>IFERROR(('Flujo de efectivo'!L33+'Flujo de efectivo'!L34)/('Resultados'!L13+('Flujo de efectivo'!L7+'Flujo de efectivo'!L8+'Flujo de efectivo'!L9)),"")</f>
        <v/>
      </c>
      <c r="M53" s="49">
        <f>IFERROR(('Flujo de efectivo'!M33+'Flujo de efectivo'!M34)/('Resultados'!M13+('Flujo de efectivo'!M7+'Flujo de efectivo'!M8+'Flujo de efectivo'!M9)),"")</f>
        <v/>
      </c>
      <c r="N53" s="49">
        <f>IFERROR(('Flujo de efectivo'!N33+'Flujo de efectivo'!N34)/('Resultados'!N13+('Flujo de efectivo'!N7+'Flujo de efectivo'!N8+'Flujo de efectivo'!N9)),"")</f>
        <v/>
      </c>
      <c r="O53" s="49">
        <f>IFERROR(('Flujo de efectivo'!O33+'Flujo de efectivo'!O34)/('Resultados'!O13+('Flujo de efectivo'!O7+'Flujo de efectivo'!O8+'Flujo de efectivo'!O9)),"")</f>
        <v/>
      </c>
      <c r="P53" s="49">
        <f>IFERROR(('Flujo de efectivo'!P33+'Flujo de efectivo'!P34)/('Resultados'!P13+('Flujo de efectivo'!P7+'Flujo de efectivo'!P8+'Flujo de efectivo'!P9)),"")</f>
        <v/>
      </c>
      <c r="Q53" s="49">
        <f>IFERROR(('Flujo de efectivo'!Q33+'Flujo de efectivo'!Q34)/('Resultados'!Q13+('Flujo de efectivo'!Q7+'Flujo de efectivo'!Q8+'Flujo de efectivo'!Q9)),"")</f>
        <v/>
      </c>
      <c r="R53" s="49">
        <f>IFERROR(('Flujo de efectivo'!R33+'Flujo de efectivo'!R34)/('Resultados'!R13+('Flujo de efectivo'!R7+'Flujo de efectivo'!R8+'Flujo de efectivo'!R9)),"")</f>
        <v/>
      </c>
      <c r="S53" s="49">
        <f>IFERROR(('Flujo de efectivo'!S33+'Flujo de efectivo'!S34)/('Resultados'!S13+('Flujo de efectivo'!S7+'Flujo de efectivo'!S8+'Flujo de efectivo'!S9)),"")</f>
        <v/>
      </c>
      <c r="T53" s="49">
        <f>IFERROR(('Flujo de efectivo'!T33+'Flujo de efectivo'!T34)/('Resultados'!T13+('Flujo de efectivo'!T7+'Flujo de efectivo'!T8+'Flujo de efectivo'!T9)),"")</f>
        <v/>
      </c>
      <c r="U53" s="49">
        <f>IFERROR(('Flujo de efectivo'!U33+'Flujo de efectivo'!U34)/('Resultados'!U13+('Flujo de efectivo'!U7+'Flujo de efectivo'!U8+'Flujo de efectivo'!U9)),"")</f>
        <v/>
      </c>
      <c r="V53" s="49">
        <f>IFERROR(('Flujo de efectivo'!V33+'Flujo de efectivo'!V34)/('Resultados'!V13+('Flujo de efectivo'!V7+'Flujo de efectivo'!V8+'Flujo de efectivo'!V9)),"")</f>
        <v/>
      </c>
      <c r="W53" s="49">
        <f>IFERROR(('Flujo de efectivo'!W33+'Flujo de efectivo'!W34)/('Resultados'!W13+('Flujo de efectivo'!W7+'Flujo de efectivo'!W8+'Flujo de efectivo'!W9)),"")</f>
        <v/>
      </c>
      <c r="X53" s="49">
        <f>IFERROR(('Flujo de efectivo'!X33+'Flujo de efectivo'!X34)/('Resultados'!X13+('Flujo de efectivo'!X7+'Flujo de efectivo'!X8+'Flujo de efectivo'!X9)),"")</f>
        <v/>
      </c>
      <c r="Y53" s="49">
        <f>IFERROR(('Flujo de efectivo'!Y33+'Flujo de efectivo'!Y34)/('Resultados'!Y13+('Flujo de efectivo'!Y7+'Flujo de efectivo'!Y8+'Flujo de efectivo'!Y9)),"")</f>
        <v/>
      </c>
      <c r="Z53" s="49">
        <f>IFERROR(('Flujo de efectivo'!Z33+'Flujo de efectivo'!Z34)/('Resultados'!Z13+('Flujo de efectivo'!Z7+'Flujo de efectivo'!Z8+'Flujo de efectivo'!Z9)),"")</f>
        <v/>
      </c>
      <c r="AA53" s="49">
        <f>IFERROR(('Flujo de efectivo'!AA33+'Flujo de efectivo'!AA34)/('Resultados'!AA13+('Flujo de efectivo'!AA7+'Flujo de efectivo'!AA8+'Flujo de efectivo'!AA9)),"")</f>
        <v/>
      </c>
      <c r="AC53" s="49">
        <f>IFERROR(('Flujo de efectivo'!AC33+'Flujo de efectivo'!AC34)/('Resultados'!AC13+('Flujo de efectivo'!AC7+'Flujo de efectivo'!AC8+'Flujo de efectivo'!AC9)),"")</f>
        <v/>
      </c>
      <c r="AD53" s="49">
        <f>IFERROR(('Flujo de efectivo'!AD33+'Flujo de efectivo'!AD34)/('Resultados'!AD13+('Flujo de efectivo'!AD7+'Flujo de efectivo'!AD8+'Flujo de efectivo'!AD9)),"")</f>
        <v/>
      </c>
      <c r="AE53" s="49">
        <f>IFERROR(('Flujo de efectivo'!AE33+'Flujo de efectivo'!AE34)/('Resultados'!AE13+('Flujo de efectivo'!AE7+'Flujo de efectivo'!AE8+'Flujo de efectivo'!AE9)),"")</f>
        <v/>
      </c>
      <c r="AF53" s="49">
        <f>IFERROR(('Flujo de efectivo'!AF33+'Flujo de efectivo'!AF34)/('Resultados'!AF13+('Flujo de efectivo'!AF7+'Flujo de efectivo'!AF8+'Flujo de efectivo'!AF9)),"")</f>
        <v/>
      </c>
      <c r="AG53" s="49">
        <f>IFERROR(('Flujo de efectivo'!AG33+'Flujo de efectivo'!AG34)/('Resultados'!AG13+('Flujo de efectivo'!AG7+'Flujo de efectivo'!AG8+'Flujo de efectivo'!AG9)),"")</f>
        <v/>
      </c>
      <c r="AH53" s="49">
        <f>IFERROR(('Flujo de efectivo'!AH33+'Flujo de efectivo'!AH34)/('Resultados'!AH13+('Flujo de efectivo'!AH7+'Flujo de efectivo'!AH8+'Flujo de efectivo'!AH9)),"")</f>
        <v/>
      </c>
      <c r="AI53" s="49">
        <f>IFERROR(('Flujo de efectivo'!AI33+'Flujo de efectivo'!AI34)/('Resultados'!AI13+('Flujo de efectivo'!AI7+'Flujo de efectivo'!AI8+'Flujo de efectivo'!AI9)),"")</f>
        <v/>
      </c>
    </row>
    <row r="55" spans="1:37">
      <c r="A55" s="5" t="s">
        <v>455</v>
      </c>
    </row>
    <row r="56" spans="1:37">
      <c r="A56" s="42" t="s">
        <v>456</v>
      </c>
      <c r="F56" s="49">
        <f>IFERROR('Resultados'!F5/'Resultados'!B5-1,"")</f>
        <v/>
      </c>
      <c r="G56" s="49">
        <f>IFERROR('Resultados'!G5/'Resultados'!C5-1,"")</f>
        <v/>
      </c>
      <c r="H56" s="49">
        <f>IFERROR('Resultados'!H5/'Resultados'!D5-1,"")</f>
        <v/>
      </c>
      <c r="I56" s="49">
        <f>IFERROR('Resultados'!I5/'Resultados'!E5-1,"")</f>
        <v/>
      </c>
      <c r="J56" s="49">
        <f>IFERROR('Resultados'!J5/'Resultados'!F5-1,"")</f>
        <v/>
      </c>
      <c r="K56" s="49">
        <f>IFERROR('Resultados'!K5/'Resultados'!G5-1,"")</f>
        <v/>
      </c>
      <c r="L56" s="49">
        <f>IFERROR('Resultados'!L5/'Resultados'!H5-1,"")</f>
        <v/>
      </c>
      <c r="M56" s="49">
        <f>IFERROR('Resultados'!M5/'Resultados'!I5-1,"")</f>
        <v/>
      </c>
      <c r="N56" s="49">
        <f>IFERROR('Resultados'!N5/'Resultados'!J5-1,"")</f>
        <v/>
      </c>
      <c r="O56" s="49">
        <f>IFERROR('Resultados'!O5/'Resultados'!K5-1,"")</f>
        <v/>
      </c>
      <c r="P56" s="49">
        <f>IFERROR('Resultados'!P5/'Resultados'!L5-1,"")</f>
        <v/>
      </c>
      <c r="Q56" s="49">
        <f>IFERROR('Resultados'!Q5/'Resultados'!M5-1,"")</f>
        <v/>
      </c>
      <c r="R56" s="49">
        <f>IFERROR('Resultados'!R5/'Resultados'!N5-1,"")</f>
        <v/>
      </c>
      <c r="S56" s="49">
        <f>IFERROR('Resultados'!S5/'Resultados'!O5-1,"")</f>
        <v/>
      </c>
      <c r="T56" s="49">
        <f>IFERROR('Resultados'!T5/'Resultados'!P5-1,"")</f>
        <v/>
      </c>
      <c r="U56" s="49">
        <f>IFERROR('Resultados'!U5/'Resultados'!Q5-1,"")</f>
        <v/>
      </c>
      <c r="V56" s="49">
        <f>IFERROR('Resultados'!V5/'Resultados'!R5-1,"")</f>
        <v/>
      </c>
      <c r="W56" s="49">
        <f>IFERROR('Resultados'!W5/'Resultados'!S5-1,"")</f>
        <v/>
      </c>
      <c r="X56" s="49">
        <f>IFERROR('Resultados'!X5/'Resultados'!T5-1,"")</f>
        <v/>
      </c>
      <c r="Y56" s="49">
        <f>IFERROR('Resultados'!Y5/'Resultados'!U5-1,"")</f>
        <v/>
      </c>
      <c r="Z56" s="49">
        <f>IFERROR('Resultados'!Z5/'Resultados'!V5-1,"")</f>
        <v/>
      </c>
      <c r="AA56" s="49">
        <f>IFERROR('Resultados'!AA5/'Resultados'!W5-1,"")</f>
        <v/>
      </c>
    </row>
    <row r="57" spans="1:37">
      <c r="A57" s="42" t="s">
        <v>457</v>
      </c>
      <c r="F57" s="49">
        <f>IFERROR(('Resultados'!F13+('Flujo de efectivo'!F7+'Flujo de efectivo'!F8+'Flujo de efectivo'!F9))/('Resultados'!B13+('Flujo de efectivo'!B7+'Flujo de efectivo'!B8+'Flujo de efectivo'!B9))-1,"")</f>
        <v/>
      </c>
      <c r="G57" s="49">
        <f>IFERROR(('Resultados'!G13+('Flujo de efectivo'!G7+'Flujo de efectivo'!G8+'Flujo de efectivo'!G9))/('Resultados'!C13+('Flujo de efectivo'!C7+'Flujo de efectivo'!C8+'Flujo de efectivo'!C9))-1,"")</f>
        <v/>
      </c>
      <c r="H57" s="49">
        <f>IFERROR(('Resultados'!H13+('Flujo de efectivo'!H7+'Flujo de efectivo'!H8+'Flujo de efectivo'!H9))/('Resultados'!D13+('Flujo de efectivo'!D7+'Flujo de efectivo'!D8+'Flujo de efectivo'!D9))-1,"")</f>
        <v/>
      </c>
      <c r="I57" s="49">
        <f>IFERROR(('Resultados'!I13+('Flujo de efectivo'!I7+'Flujo de efectivo'!I8+'Flujo de efectivo'!I9))/('Resultados'!E13+('Flujo de efectivo'!E7+'Flujo de efectivo'!E8+'Flujo de efectivo'!E9))-1,"")</f>
        <v/>
      </c>
      <c r="J57" s="49">
        <f>IFERROR(('Resultados'!J13+('Flujo de efectivo'!J7+'Flujo de efectivo'!J8+'Flujo de efectivo'!J9))/('Resultados'!F13+('Flujo de efectivo'!F7+'Flujo de efectivo'!F8+'Flujo de efectivo'!F9))-1,"")</f>
        <v/>
      </c>
      <c r="K57" s="49">
        <f>IFERROR(('Resultados'!K13+('Flujo de efectivo'!K7+'Flujo de efectivo'!K8+'Flujo de efectivo'!K9))/('Resultados'!G13+('Flujo de efectivo'!G7+'Flujo de efectivo'!G8+'Flujo de efectivo'!G9))-1,"")</f>
        <v/>
      </c>
      <c r="L57" s="49">
        <f>IFERROR(('Resultados'!L13+('Flujo de efectivo'!L7+'Flujo de efectivo'!L8+'Flujo de efectivo'!L9))/('Resultados'!H13+('Flujo de efectivo'!H7+'Flujo de efectivo'!H8+'Flujo de efectivo'!H9))-1,"")</f>
        <v/>
      </c>
      <c r="M57" s="49">
        <f>IFERROR(('Resultados'!M13+('Flujo de efectivo'!M7+'Flujo de efectivo'!M8+'Flujo de efectivo'!M9))/('Resultados'!I13+('Flujo de efectivo'!I7+'Flujo de efectivo'!I8+'Flujo de efectivo'!I9))-1,"")</f>
        <v/>
      </c>
      <c r="N57" s="49">
        <f>IFERROR(('Resultados'!N13+('Flujo de efectivo'!N7+'Flujo de efectivo'!N8+'Flujo de efectivo'!N9))/('Resultados'!J13+('Flujo de efectivo'!J7+'Flujo de efectivo'!J8+'Flujo de efectivo'!J9))-1,"")</f>
        <v/>
      </c>
      <c r="O57" s="49">
        <f>IFERROR(('Resultados'!O13+('Flujo de efectivo'!O7+'Flujo de efectivo'!O8+'Flujo de efectivo'!O9))/('Resultados'!K13+('Flujo de efectivo'!K7+'Flujo de efectivo'!K8+'Flujo de efectivo'!K9))-1,"")</f>
        <v/>
      </c>
      <c r="P57" s="49">
        <f>IFERROR(('Resultados'!P13+('Flujo de efectivo'!P7+'Flujo de efectivo'!P8+'Flujo de efectivo'!P9))/('Resultados'!L13+('Flujo de efectivo'!L7+'Flujo de efectivo'!L8+'Flujo de efectivo'!L9))-1,"")</f>
        <v/>
      </c>
      <c r="Q57" s="49">
        <f>IFERROR(('Resultados'!Q13+('Flujo de efectivo'!Q7+'Flujo de efectivo'!Q8+'Flujo de efectivo'!Q9))/('Resultados'!M13+('Flujo de efectivo'!M7+'Flujo de efectivo'!M8+'Flujo de efectivo'!M9))-1,"")</f>
        <v/>
      </c>
      <c r="R57" s="49">
        <f>IFERROR(('Resultados'!R13+('Flujo de efectivo'!R7+'Flujo de efectivo'!R8+'Flujo de efectivo'!R9))/('Resultados'!N13+('Flujo de efectivo'!N7+'Flujo de efectivo'!N8+'Flujo de efectivo'!N9))-1,"")</f>
        <v/>
      </c>
      <c r="S57" s="49">
        <f>IFERROR(('Resultados'!S13+('Flujo de efectivo'!S7+'Flujo de efectivo'!S8+'Flujo de efectivo'!S9))/('Resultados'!O13+('Flujo de efectivo'!O7+'Flujo de efectivo'!O8+'Flujo de efectivo'!O9))-1,"")</f>
        <v/>
      </c>
      <c r="T57" s="49">
        <f>IFERROR(('Resultados'!T13+('Flujo de efectivo'!T7+'Flujo de efectivo'!T8+'Flujo de efectivo'!T9))/('Resultados'!P13+('Flujo de efectivo'!P7+'Flujo de efectivo'!P8+'Flujo de efectivo'!P9))-1,"")</f>
        <v/>
      </c>
      <c r="U57" s="49">
        <f>IFERROR(('Resultados'!U13+('Flujo de efectivo'!U7+'Flujo de efectivo'!U8+'Flujo de efectivo'!U9))/('Resultados'!Q13+('Flujo de efectivo'!Q7+'Flujo de efectivo'!Q8+'Flujo de efectivo'!Q9))-1,"")</f>
        <v/>
      </c>
      <c r="V57" s="49">
        <f>IFERROR(('Resultados'!V13+('Flujo de efectivo'!V7+'Flujo de efectivo'!V8+'Flujo de efectivo'!V9))/('Resultados'!R13+('Flujo de efectivo'!R7+'Flujo de efectivo'!R8+'Flujo de efectivo'!R9))-1,"")</f>
        <v/>
      </c>
      <c r="W57" s="49">
        <f>IFERROR(('Resultados'!W13+('Flujo de efectivo'!W7+'Flujo de efectivo'!W8+'Flujo de efectivo'!W9))/('Resultados'!S13+('Flujo de efectivo'!S7+'Flujo de efectivo'!S8+'Flujo de efectivo'!S9))-1,"")</f>
        <v/>
      </c>
      <c r="X57" s="49">
        <f>IFERROR(('Resultados'!X13+('Flujo de efectivo'!X7+'Flujo de efectivo'!X8+'Flujo de efectivo'!X9))/('Resultados'!T13+('Flujo de efectivo'!T7+'Flujo de efectivo'!T8+'Flujo de efectivo'!T9))-1,"")</f>
        <v/>
      </c>
      <c r="Y57" s="49">
        <f>IFERROR(('Resultados'!Y13+('Flujo de efectivo'!Y7+'Flujo de efectivo'!Y8+'Flujo de efectivo'!Y9))/('Resultados'!U13+('Flujo de efectivo'!U7+'Flujo de efectivo'!U8+'Flujo de efectivo'!U9))-1,"")</f>
        <v/>
      </c>
      <c r="Z57" s="49">
        <f>IFERROR(('Resultados'!Z13+('Flujo de efectivo'!Z7+'Flujo de efectivo'!Z8+'Flujo de efectivo'!Z9))/('Resultados'!V13+('Flujo de efectivo'!V7+'Flujo de efectivo'!V8+'Flujo de efectivo'!V9))-1,"")</f>
        <v/>
      </c>
      <c r="AA57" s="49">
        <f>IFERROR(('Resultados'!AA13+('Flujo de efectivo'!AA7+'Flujo de efectivo'!AA8+'Flujo de efectivo'!AA9))/('Resultados'!W13+('Flujo de efectivo'!W7+'Flujo de efectivo'!W8+'Flujo de efectivo'!W9))-1,"")</f>
        <v/>
      </c>
    </row>
    <row r="58" spans="1:37">
      <c r="A58" s="42" t="s">
        <v>458</v>
      </c>
      <c r="F58" s="49">
        <f>IFERROR('Flujo de efectivo'!F33/'Flujo de efectivo'!B33-1,"")</f>
        <v/>
      </c>
      <c r="G58" s="49">
        <f>IFERROR('Flujo de efectivo'!G33/'Flujo de efectivo'!C33-1,"")</f>
        <v/>
      </c>
      <c r="H58" s="49">
        <f>IFERROR('Flujo de efectivo'!H33/'Flujo de efectivo'!D33-1,"")</f>
        <v/>
      </c>
      <c r="I58" s="49">
        <f>IFERROR('Flujo de efectivo'!I33/'Flujo de efectivo'!E33-1,"")</f>
        <v/>
      </c>
      <c r="J58" s="49">
        <f>IFERROR('Flujo de efectivo'!J33/'Flujo de efectivo'!F33-1,"")</f>
        <v/>
      </c>
      <c r="K58" s="49">
        <f>IFERROR('Flujo de efectivo'!K33/'Flujo de efectivo'!G33-1,"")</f>
        <v/>
      </c>
      <c r="L58" s="49">
        <f>IFERROR('Flujo de efectivo'!L33/'Flujo de efectivo'!H33-1,"")</f>
        <v/>
      </c>
      <c r="M58" s="49">
        <f>IFERROR('Flujo de efectivo'!M33/'Flujo de efectivo'!I33-1,"")</f>
        <v/>
      </c>
      <c r="N58" s="49">
        <f>IFERROR('Flujo de efectivo'!N33/'Flujo de efectivo'!J33-1,"")</f>
        <v/>
      </c>
      <c r="O58" s="49">
        <f>IFERROR('Flujo de efectivo'!O33/'Flujo de efectivo'!K33-1,"")</f>
        <v/>
      </c>
      <c r="P58" s="49">
        <f>IFERROR('Flujo de efectivo'!P33/'Flujo de efectivo'!L33-1,"")</f>
        <v/>
      </c>
      <c r="Q58" s="49">
        <f>IFERROR('Flujo de efectivo'!Q33/'Flujo de efectivo'!M33-1,"")</f>
        <v/>
      </c>
      <c r="R58" s="49">
        <f>IFERROR('Flujo de efectivo'!R33/'Flujo de efectivo'!N33-1,"")</f>
        <v/>
      </c>
      <c r="S58" s="49">
        <f>IFERROR('Flujo de efectivo'!S33/'Flujo de efectivo'!O33-1,"")</f>
        <v/>
      </c>
      <c r="T58" s="49">
        <f>IFERROR('Flujo de efectivo'!T33/'Flujo de efectivo'!P33-1,"")</f>
        <v/>
      </c>
      <c r="U58" s="49">
        <f>IFERROR('Flujo de efectivo'!U33/'Flujo de efectivo'!Q33-1,"")</f>
        <v/>
      </c>
      <c r="V58" s="49">
        <f>IFERROR('Flujo de efectivo'!V33/'Flujo de efectivo'!R33-1,"")</f>
        <v/>
      </c>
      <c r="W58" s="49">
        <f>IFERROR('Flujo de efectivo'!W33/'Flujo de efectivo'!S33-1,"")</f>
        <v/>
      </c>
      <c r="X58" s="49">
        <f>IFERROR('Flujo de efectivo'!X33/'Flujo de efectivo'!T33-1,"")</f>
        <v/>
      </c>
      <c r="Y58" s="49">
        <f>IFERROR('Flujo de efectivo'!Y33/'Flujo de efectivo'!U33-1,"")</f>
        <v/>
      </c>
      <c r="Z58" s="49">
        <f>IFERROR('Flujo de efectivo'!Z33/'Flujo de efectivo'!V33-1,"")</f>
        <v/>
      </c>
      <c r="AA58" s="49">
        <f>IFERROR('Flujo de efectivo'!AA33/'Flujo de efectivo'!W33-1,"")</f>
        <v/>
      </c>
    </row>
    <row r="60" spans="1:37">
      <c r="A60" s="5" t="s">
        <v>459</v>
      </c>
    </row>
    <row r="61" spans="1:37">
      <c r="A61" s="42" t="s">
        <v>460</v>
      </c>
      <c r="B61" s="49">
        <f>IFERROR('Resultados'!B6/'Resultados'!B5,"")</f>
        <v/>
      </c>
      <c r="C61" s="49">
        <f>IFERROR('Resultados'!C6/'Resultados'!C5,"")</f>
        <v/>
      </c>
      <c r="D61" s="49">
        <f>IFERROR('Resultados'!D6/'Resultados'!D5,"")</f>
        <v/>
      </c>
      <c r="E61" s="49">
        <f>IFERROR('Resultados'!E6/'Resultados'!E5,"")</f>
        <v/>
      </c>
      <c r="F61" s="49">
        <f>IFERROR('Resultados'!F6/'Resultados'!F5,"")</f>
        <v/>
      </c>
      <c r="G61" s="49">
        <f>IFERROR('Resultados'!G6/'Resultados'!G5,"")</f>
        <v/>
      </c>
      <c r="H61" s="49">
        <f>IFERROR('Resultados'!H6/'Resultados'!H5,"")</f>
        <v/>
      </c>
      <c r="I61" s="49">
        <f>IFERROR('Resultados'!I6/'Resultados'!I5,"")</f>
        <v/>
      </c>
      <c r="J61" s="49">
        <f>IFERROR('Resultados'!J6/'Resultados'!J5,"")</f>
        <v/>
      </c>
      <c r="K61" s="49">
        <f>IFERROR('Resultados'!K6/'Resultados'!K5,"")</f>
        <v/>
      </c>
      <c r="L61" s="49">
        <f>IFERROR('Resultados'!L6/'Resultados'!L5,"")</f>
        <v/>
      </c>
      <c r="M61" s="49">
        <f>IFERROR('Resultados'!M6/'Resultados'!M5,"")</f>
        <v/>
      </c>
      <c r="N61" s="49">
        <f>IFERROR('Resultados'!N6/'Resultados'!N5,"")</f>
        <v/>
      </c>
      <c r="O61" s="49">
        <f>IFERROR('Resultados'!O6/'Resultados'!O5,"")</f>
        <v/>
      </c>
      <c r="P61" s="49">
        <f>IFERROR('Resultados'!P6/'Resultados'!P5,"")</f>
        <v/>
      </c>
      <c r="Q61" s="49">
        <f>IFERROR('Resultados'!Q6/'Resultados'!Q5,"")</f>
        <v/>
      </c>
      <c r="R61" s="49">
        <f>IFERROR('Resultados'!R6/'Resultados'!R5,"")</f>
        <v/>
      </c>
      <c r="S61" s="49">
        <f>IFERROR('Resultados'!S6/'Resultados'!S5,"")</f>
        <v/>
      </c>
      <c r="T61" s="49">
        <f>IFERROR('Resultados'!T6/'Resultados'!T5,"")</f>
        <v/>
      </c>
      <c r="U61" s="49">
        <f>IFERROR('Resultados'!U6/'Resultados'!U5,"")</f>
        <v/>
      </c>
      <c r="V61" s="49">
        <f>IFERROR('Resultados'!V6/'Resultados'!V5,"")</f>
        <v/>
      </c>
      <c r="W61" s="49">
        <f>IFERROR('Resultados'!W6/'Resultados'!W5,"")</f>
        <v/>
      </c>
      <c r="X61" s="49">
        <f>IFERROR('Resultados'!X6/'Resultados'!X5,"")</f>
        <v/>
      </c>
      <c r="Y61" s="49">
        <f>IFERROR('Resultados'!Y6/'Resultados'!Y5,"")</f>
        <v/>
      </c>
      <c r="Z61" s="49">
        <f>IFERROR('Resultados'!Z6/'Resultados'!Z5,"")</f>
        <v/>
      </c>
      <c r="AA61" s="49">
        <f>IFERROR('Resultados'!AA6/'Resultados'!AA5,"")</f>
        <v/>
      </c>
      <c r="AC61" s="49">
        <f>IFERROR('Resultados'!AC6/'Resultados'!AC5,"")</f>
        <v/>
      </c>
      <c r="AD61" s="49">
        <f>IFERROR('Resultados'!AD6/'Resultados'!AD5,"")</f>
        <v/>
      </c>
      <c r="AE61" s="49">
        <f>IFERROR('Resultados'!AE6/'Resultados'!AE5,"")</f>
        <v/>
      </c>
      <c r="AF61" s="49">
        <f>IFERROR('Resultados'!AF6/'Resultados'!AF5,"")</f>
        <v/>
      </c>
      <c r="AG61" s="49">
        <f>IFERROR('Resultados'!AG6/'Resultados'!AG5,"")</f>
        <v/>
      </c>
      <c r="AH61" s="49">
        <f>IFERROR('Resultados'!AH6/'Resultados'!AH5,"")</f>
        <v/>
      </c>
      <c r="AI61" s="49">
        <f>IFERROR('Resultados'!AI6/'Resultados'!AI5,"")</f>
        <v/>
      </c>
    </row>
    <row r="62" spans="1:37">
      <c r="A62" s="42" t="s">
        <v>461</v>
      </c>
      <c r="B62" s="49">
        <f>IFERROR('Resultados'!B8/'Resultados'!B5,"")</f>
        <v/>
      </c>
      <c r="C62" s="49">
        <f>IFERROR('Resultados'!C8/'Resultados'!C5,"")</f>
        <v/>
      </c>
      <c r="D62" s="49">
        <f>IFERROR('Resultados'!D8/'Resultados'!D5,"")</f>
        <v/>
      </c>
      <c r="E62" s="49">
        <f>IFERROR('Resultados'!E8/'Resultados'!E5,"")</f>
        <v/>
      </c>
      <c r="F62" s="49">
        <f>IFERROR('Resultados'!F8/'Resultados'!F5,"")</f>
        <v/>
      </c>
      <c r="G62" s="49">
        <f>IFERROR('Resultados'!G8/'Resultados'!G5,"")</f>
        <v/>
      </c>
      <c r="H62" s="49">
        <f>IFERROR('Resultados'!H8/'Resultados'!H5,"")</f>
        <v/>
      </c>
      <c r="I62" s="49">
        <f>IFERROR('Resultados'!I8/'Resultados'!I5,"")</f>
        <v/>
      </c>
      <c r="J62" s="49">
        <f>IFERROR('Resultados'!J8/'Resultados'!J5,"")</f>
        <v/>
      </c>
      <c r="K62" s="49">
        <f>IFERROR('Resultados'!K8/'Resultados'!K5,"")</f>
        <v/>
      </c>
      <c r="L62" s="49">
        <f>IFERROR('Resultados'!L8/'Resultados'!L5,"")</f>
        <v/>
      </c>
      <c r="M62" s="49">
        <f>IFERROR('Resultados'!M8/'Resultados'!M5,"")</f>
        <v/>
      </c>
      <c r="N62" s="49">
        <f>IFERROR('Resultados'!N8/'Resultados'!N5,"")</f>
        <v/>
      </c>
      <c r="O62" s="49">
        <f>IFERROR('Resultados'!O8/'Resultados'!O5,"")</f>
        <v/>
      </c>
      <c r="P62" s="49">
        <f>IFERROR('Resultados'!P8/'Resultados'!P5,"")</f>
        <v/>
      </c>
      <c r="Q62" s="49">
        <f>IFERROR('Resultados'!Q8/'Resultados'!Q5,"")</f>
        <v/>
      </c>
      <c r="R62" s="49">
        <f>IFERROR('Resultados'!R8/'Resultados'!R5,"")</f>
        <v/>
      </c>
      <c r="S62" s="49">
        <f>IFERROR('Resultados'!S8/'Resultados'!S5,"")</f>
        <v/>
      </c>
      <c r="T62" s="49">
        <f>IFERROR('Resultados'!T8/'Resultados'!T5,"")</f>
        <v/>
      </c>
      <c r="U62" s="49">
        <f>IFERROR('Resultados'!U8/'Resultados'!U5,"")</f>
        <v/>
      </c>
      <c r="V62" s="49">
        <f>IFERROR('Resultados'!V8/'Resultados'!V5,"")</f>
        <v/>
      </c>
      <c r="W62" s="49">
        <f>IFERROR('Resultados'!W8/'Resultados'!W5,"")</f>
        <v/>
      </c>
      <c r="X62" s="49">
        <f>IFERROR('Resultados'!X8/'Resultados'!X5,"")</f>
        <v/>
      </c>
      <c r="Y62" s="49">
        <f>IFERROR('Resultados'!Y8/'Resultados'!Y5,"")</f>
        <v/>
      </c>
      <c r="Z62" s="49">
        <f>IFERROR('Resultados'!Z8/'Resultados'!Z5,"")</f>
        <v/>
      </c>
      <c r="AA62" s="49">
        <f>IFERROR('Resultados'!AA8/'Resultados'!AA5,"")</f>
        <v/>
      </c>
      <c r="AC62" s="49">
        <f>IFERROR('Resultados'!AC8/'Resultados'!AC5,"")</f>
        <v/>
      </c>
      <c r="AD62" s="49">
        <f>IFERROR('Resultados'!AD8/'Resultados'!AD5,"")</f>
        <v/>
      </c>
      <c r="AE62" s="49">
        <f>IFERROR('Resultados'!AE8/'Resultados'!AE5,"")</f>
        <v/>
      </c>
      <c r="AF62" s="49">
        <f>IFERROR('Resultados'!AF8/'Resultados'!AF5,"")</f>
        <v/>
      </c>
      <c r="AG62" s="49">
        <f>IFERROR('Resultados'!AG8/'Resultados'!AG5,"")</f>
        <v/>
      </c>
      <c r="AH62" s="49">
        <f>IFERROR('Resultados'!AH8/'Resultados'!AH5,"")</f>
        <v/>
      </c>
      <c r="AI62" s="49">
        <f>IFERROR('Resultados'!AI8/'Resultados'!AI5,"")</f>
        <v/>
      </c>
    </row>
    <row r="63" spans="1:37">
      <c r="A63" s="42" t="s">
        <v>462</v>
      </c>
      <c r="B63" s="49">
        <f>IFERROR('Resultados'!B9/'Resultados'!B5,"")</f>
        <v/>
      </c>
      <c r="C63" s="49">
        <f>IFERROR('Resultados'!C9/'Resultados'!C5,"")</f>
        <v/>
      </c>
      <c r="D63" s="49">
        <f>IFERROR('Resultados'!D9/'Resultados'!D5,"")</f>
        <v/>
      </c>
      <c r="E63" s="49">
        <f>IFERROR('Resultados'!E9/'Resultados'!E5,"")</f>
        <v/>
      </c>
      <c r="F63" s="49">
        <f>IFERROR('Resultados'!F9/'Resultados'!F5,"")</f>
        <v/>
      </c>
      <c r="G63" s="49">
        <f>IFERROR('Resultados'!G9/'Resultados'!G5,"")</f>
        <v/>
      </c>
      <c r="H63" s="49">
        <f>IFERROR('Resultados'!H9/'Resultados'!H5,"")</f>
        <v/>
      </c>
      <c r="I63" s="49">
        <f>IFERROR('Resultados'!I9/'Resultados'!I5,"")</f>
        <v/>
      </c>
      <c r="J63" s="49">
        <f>IFERROR('Resultados'!J9/'Resultados'!J5,"")</f>
        <v/>
      </c>
      <c r="K63" s="49">
        <f>IFERROR('Resultados'!K9/'Resultados'!K5,"")</f>
        <v/>
      </c>
      <c r="L63" s="49">
        <f>IFERROR('Resultados'!L9/'Resultados'!L5,"")</f>
        <v/>
      </c>
      <c r="M63" s="49">
        <f>IFERROR('Resultados'!M9/'Resultados'!M5,"")</f>
        <v/>
      </c>
      <c r="N63" s="49">
        <f>IFERROR('Resultados'!N9/'Resultados'!N5,"")</f>
        <v/>
      </c>
      <c r="O63" s="49">
        <f>IFERROR('Resultados'!O9/'Resultados'!O5,"")</f>
        <v/>
      </c>
      <c r="P63" s="49">
        <f>IFERROR('Resultados'!P9/'Resultados'!P5,"")</f>
        <v/>
      </c>
      <c r="Q63" s="49">
        <f>IFERROR('Resultados'!Q9/'Resultados'!Q5,"")</f>
        <v/>
      </c>
      <c r="R63" s="49">
        <f>IFERROR('Resultados'!R9/'Resultados'!R5,"")</f>
        <v/>
      </c>
      <c r="S63" s="49">
        <f>IFERROR('Resultados'!S9/'Resultados'!S5,"")</f>
        <v/>
      </c>
      <c r="T63" s="49">
        <f>IFERROR('Resultados'!T9/'Resultados'!T5,"")</f>
        <v/>
      </c>
      <c r="U63" s="49">
        <f>IFERROR('Resultados'!U9/'Resultados'!U5,"")</f>
        <v/>
      </c>
      <c r="V63" s="49">
        <f>IFERROR('Resultados'!V9/'Resultados'!V5,"")</f>
        <v/>
      </c>
      <c r="W63" s="49">
        <f>IFERROR('Resultados'!W9/'Resultados'!W5,"")</f>
        <v/>
      </c>
      <c r="X63" s="49">
        <f>IFERROR('Resultados'!X9/'Resultados'!X5,"")</f>
        <v/>
      </c>
      <c r="Y63" s="49">
        <f>IFERROR('Resultados'!Y9/'Resultados'!Y5,"")</f>
        <v/>
      </c>
      <c r="Z63" s="49">
        <f>IFERROR('Resultados'!Z9/'Resultados'!Z5,"")</f>
        <v/>
      </c>
      <c r="AA63" s="49">
        <f>IFERROR('Resultados'!AA9/'Resultados'!AA5,"")</f>
        <v/>
      </c>
      <c r="AC63" s="49">
        <f>IFERROR('Resultados'!AC9/'Resultados'!AC5,"")</f>
        <v/>
      </c>
      <c r="AD63" s="49">
        <f>IFERROR('Resultados'!AD9/'Resultados'!AD5,"")</f>
        <v/>
      </c>
      <c r="AE63" s="49">
        <f>IFERROR('Resultados'!AE9/'Resultados'!AE5,"")</f>
        <v/>
      </c>
      <c r="AF63" s="49">
        <f>IFERROR('Resultados'!AF9/'Resultados'!AF5,"")</f>
        <v/>
      </c>
      <c r="AG63" s="49">
        <f>IFERROR('Resultados'!AG9/'Resultados'!AG5,"")</f>
        <v/>
      </c>
      <c r="AH63" s="49">
        <f>IFERROR('Resultados'!AH9/'Resultados'!AH5,"")</f>
        <v/>
      </c>
      <c r="AI63" s="49">
        <f>IFERROR('Resultados'!AI9/'Resultados'!AI5,"")</f>
        <v/>
      </c>
    </row>
    <row r="64" spans="1:37">
      <c r="A64" s="42" t="s">
        <v>463</v>
      </c>
      <c r="B64" s="49">
        <f>IFERROR('Resultados'!B10/'Resultados'!B5,"")</f>
        <v/>
      </c>
      <c r="C64" s="49">
        <f>IFERROR('Resultados'!C10/'Resultados'!C5,"")</f>
        <v/>
      </c>
      <c r="D64" s="49">
        <f>IFERROR('Resultados'!D10/'Resultados'!D5,"")</f>
        <v/>
      </c>
      <c r="E64" s="49">
        <f>IFERROR('Resultados'!E10/'Resultados'!E5,"")</f>
        <v/>
      </c>
      <c r="F64" s="49">
        <f>IFERROR('Resultados'!F10/'Resultados'!F5,"")</f>
        <v/>
      </c>
      <c r="G64" s="49">
        <f>IFERROR('Resultados'!G10/'Resultados'!G5,"")</f>
        <v/>
      </c>
      <c r="H64" s="49">
        <f>IFERROR('Resultados'!H10/'Resultados'!H5,"")</f>
        <v/>
      </c>
      <c r="I64" s="49">
        <f>IFERROR('Resultados'!I10/'Resultados'!I5,"")</f>
        <v/>
      </c>
      <c r="J64" s="49">
        <f>IFERROR('Resultados'!J10/'Resultados'!J5,"")</f>
        <v/>
      </c>
      <c r="K64" s="49">
        <f>IFERROR('Resultados'!K10/'Resultados'!K5,"")</f>
        <v/>
      </c>
      <c r="L64" s="49">
        <f>IFERROR('Resultados'!L10/'Resultados'!L5,"")</f>
        <v/>
      </c>
      <c r="M64" s="49">
        <f>IFERROR('Resultados'!M10/'Resultados'!M5,"")</f>
        <v/>
      </c>
      <c r="N64" s="49">
        <f>IFERROR('Resultados'!N10/'Resultados'!N5,"")</f>
        <v/>
      </c>
      <c r="O64" s="49">
        <f>IFERROR('Resultados'!O10/'Resultados'!O5,"")</f>
        <v/>
      </c>
      <c r="P64" s="49">
        <f>IFERROR('Resultados'!P10/'Resultados'!P5,"")</f>
        <v/>
      </c>
      <c r="Q64" s="49">
        <f>IFERROR('Resultados'!Q10/'Resultados'!Q5,"")</f>
        <v/>
      </c>
      <c r="R64" s="49">
        <f>IFERROR('Resultados'!R10/'Resultados'!R5,"")</f>
        <v/>
      </c>
      <c r="S64" s="49">
        <f>IFERROR('Resultados'!S10/'Resultados'!S5,"")</f>
        <v/>
      </c>
      <c r="T64" s="49">
        <f>IFERROR('Resultados'!T10/'Resultados'!T5,"")</f>
        <v/>
      </c>
      <c r="U64" s="49">
        <f>IFERROR('Resultados'!U10/'Resultados'!U5,"")</f>
        <v/>
      </c>
      <c r="V64" s="49">
        <f>IFERROR('Resultados'!V10/'Resultados'!V5,"")</f>
        <v/>
      </c>
      <c r="W64" s="49">
        <f>IFERROR('Resultados'!W10/'Resultados'!W5,"")</f>
        <v/>
      </c>
      <c r="X64" s="49">
        <f>IFERROR('Resultados'!X10/'Resultados'!X5,"")</f>
        <v/>
      </c>
      <c r="Y64" s="49">
        <f>IFERROR('Resultados'!Y10/'Resultados'!Y5,"")</f>
        <v/>
      </c>
      <c r="Z64" s="49">
        <f>IFERROR('Resultados'!Z10/'Resultados'!Z5,"")</f>
        <v/>
      </c>
      <c r="AA64" s="49">
        <f>IFERROR('Resultados'!AA10/'Resultados'!AA5,"")</f>
        <v/>
      </c>
      <c r="AC64" s="49">
        <f>IFERROR('Resultados'!AC10/'Resultados'!AC5,"")</f>
        <v/>
      </c>
      <c r="AD64" s="49">
        <f>IFERROR('Resultados'!AD10/'Resultados'!AD5,"")</f>
        <v/>
      </c>
      <c r="AE64" s="49">
        <f>IFERROR('Resultados'!AE10/'Resultados'!AE5,"")</f>
        <v/>
      </c>
      <c r="AF64" s="49">
        <f>IFERROR('Resultados'!AF10/'Resultados'!AF5,"")</f>
        <v/>
      </c>
      <c r="AG64" s="49">
        <f>IFERROR('Resultados'!AG10/'Resultados'!AG5,"")</f>
        <v/>
      </c>
      <c r="AH64" s="49">
        <f>IFERROR('Resultados'!AH10/'Resultados'!AH5,"")</f>
        <v/>
      </c>
      <c r="AI64" s="49">
        <f>IFERROR('Resultados'!AI10/'Resultados'!AI5,"")</f>
        <v/>
      </c>
    </row>
    <row r="65" spans="1:37">
      <c r="A65" s="42" t="s">
        <v>464</v>
      </c>
      <c r="B65" s="49">
        <f>IFERROR('Resultados'!B12/'Resultados'!B5,"")</f>
        <v/>
      </c>
      <c r="C65" s="49">
        <f>IFERROR('Resultados'!C12/'Resultados'!C5,"")</f>
        <v/>
      </c>
      <c r="D65" s="49">
        <f>IFERROR('Resultados'!D12/'Resultados'!D5,"")</f>
        <v/>
      </c>
      <c r="E65" s="49">
        <f>IFERROR('Resultados'!E12/'Resultados'!E5,"")</f>
        <v/>
      </c>
      <c r="F65" s="49">
        <f>IFERROR('Resultados'!F12/'Resultados'!F5,"")</f>
        <v/>
      </c>
      <c r="G65" s="49">
        <f>IFERROR('Resultados'!G12/'Resultados'!G5,"")</f>
        <v/>
      </c>
      <c r="H65" s="49">
        <f>IFERROR('Resultados'!H12/'Resultados'!H5,"")</f>
        <v/>
      </c>
      <c r="I65" s="49">
        <f>IFERROR('Resultados'!I12/'Resultados'!I5,"")</f>
        <v/>
      </c>
      <c r="J65" s="49">
        <f>IFERROR('Resultados'!J12/'Resultados'!J5,"")</f>
        <v/>
      </c>
      <c r="K65" s="49">
        <f>IFERROR('Resultados'!K12/'Resultados'!K5,"")</f>
        <v/>
      </c>
      <c r="L65" s="49">
        <f>IFERROR('Resultados'!L12/'Resultados'!L5,"")</f>
        <v/>
      </c>
      <c r="M65" s="49">
        <f>IFERROR('Resultados'!M12/'Resultados'!M5,"")</f>
        <v/>
      </c>
      <c r="N65" s="49">
        <f>IFERROR('Resultados'!N12/'Resultados'!N5,"")</f>
        <v/>
      </c>
      <c r="O65" s="49">
        <f>IFERROR('Resultados'!O12/'Resultados'!O5,"")</f>
        <v/>
      </c>
      <c r="P65" s="49">
        <f>IFERROR('Resultados'!P12/'Resultados'!P5,"")</f>
        <v/>
      </c>
      <c r="Q65" s="49">
        <f>IFERROR('Resultados'!Q12/'Resultados'!Q5,"")</f>
        <v/>
      </c>
      <c r="R65" s="49">
        <f>IFERROR('Resultados'!R12/'Resultados'!R5,"")</f>
        <v/>
      </c>
      <c r="S65" s="49">
        <f>IFERROR('Resultados'!S12/'Resultados'!S5,"")</f>
        <v/>
      </c>
      <c r="T65" s="49">
        <f>IFERROR('Resultados'!T12/'Resultados'!T5,"")</f>
        <v/>
      </c>
      <c r="U65" s="49">
        <f>IFERROR('Resultados'!U12/'Resultados'!U5,"")</f>
        <v/>
      </c>
      <c r="V65" s="49">
        <f>IFERROR('Resultados'!V12/'Resultados'!V5,"")</f>
        <v/>
      </c>
      <c r="W65" s="49">
        <f>IFERROR('Resultados'!W12/'Resultados'!W5,"")</f>
        <v/>
      </c>
      <c r="X65" s="49">
        <f>IFERROR('Resultados'!X12/'Resultados'!X5,"")</f>
        <v/>
      </c>
      <c r="Y65" s="49">
        <f>IFERROR('Resultados'!Y12/'Resultados'!Y5,"")</f>
        <v/>
      </c>
      <c r="Z65" s="49">
        <f>IFERROR('Resultados'!Z12/'Resultados'!Z5,"")</f>
        <v/>
      </c>
      <c r="AA65" s="49">
        <f>IFERROR('Resultados'!AA12/'Resultados'!AA5,"")</f>
        <v/>
      </c>
      <c r="AC65" s="49">
        <f>IFERROR('Resultados'!AC12/'Resultados'!AC5,"")</f>
        <v/>
      </c>
      <c r="AD65" s="49">
        <f>IFERROR('Resultados'!AD12/'Resultados'!AD5,"")</f>
        <v/>
      </c>
      <c r="AE65" s="49">
        <f>IFERROR('Resultados'!AE12/'Resultados'!AE5,"")</f>
        <v/>
      </c>
      <c r="AF65" s="49">
        <f>IFERROR('Resultados'!AF12/'Resultados'!AF5,"")</f>
        <v/>
      </c>
      <c r="AG65" s="49">
        <f>IFERROR('Resultados'!AG12/'Resultados'!AG5,"")</f>
        <v/>
      </c>
      <c r="AH65" s="49">
        <f>IFERROR('Resultados'!AH12/'Resultados'!AH5,"")</f>
        <v/>
      </c>
      <c r="AI65" s="49">
        <f>IFERROR('Resultados'!AI12/'Resultados'!AI5,"")</f>
        <v/>
      </c>
    </row>
    <row r="66" spans="1:37">
      <c r="A66" s="42" t="s">
        <v>465</v>
      </c>
      <c r="B66" s="49">
        <f>IFERROR('Resultados'!B18/'Resultados'!B5,"")</f>
        <v/>
      </c>
      <c r="C66" s="49">
        <f>IFERROR('Resultados'!C18/'Resultados'!C5,"")</f>
        <v/>
      </c>
      <c r="D66" s="49">
        <f>IFERROR('Resultados'!D18/'Resultados'!D5,"")</f>
        <v/>
      </c>
      <c r="E66" s="49">
        <f>IFERROR('Resultados'!E18/'Resultados'!E5,"")</f>
        <v/>
      </c>
      <c r="F66" s="49">
        <f>IFERROR('Resultados'!F18/'Resultados'!F5,"")</f>
        <v/>
      </c>
      <c r="G66" s="49">
        <f>IFERROR('Resultados'!G18/'Resultados'!G5,"")</f>
        <v/>
      </c>
      <c r="H66" s="49">
        <f>IFERROR('Resultados'!H18/'Resultados'!H5,"")</f>
        <v/>
      </c>
      <c r="I66" s="49">
        <f>IFERROR('Resultados'!I18/'Resultados'!I5,"")</f>
        <v/>
      </c>
      <c r="J66" s="49">
        <f>IFERROR('Resultados'!J18/'Resultados'!J5,"")</f>
        <v/>
      </c>
      <c r="K66" s="49">
        <f>IFERROR('Resultados'!K18/'Resultados'!K5,"")</f>
        <v/>
      </c>
      <c r="L66" s="49">
        <f>IFERROR('Resultados'!L18/'Resultados'!L5,"")</f>
        <v/>
      </c>
      <c r="M66" s="49">
        <f>IFERROR('Resultados'!M18/'Resultados'!M5,"")</f>
        <v/>
      </c>
      <c r="N66" s="49">
        <f>IFERROR('Resultados'!N18/'Resultados'!N5,"")</f>
        <v/>
      </c>
      <c r="O66" s="49">
        <f>IFERROR('Resultados'!O18/'Resultados'!O5,"")</f>
        <v/>
      </c>
      <c r="P66" s="49">
        <f>IFERROR('Resultados'!P18/'Resultados'!P5,"")</f>
        <v/>
      </c>
      <c r="Q66" s="49">
        <f>IFERROR('Resultados'!Q18/'Resultados'!Q5,"")</f>
        <v/>
      </c>
      <c r="R66" s="49">
        <f>IFERROR('Resultados'!R18/'Resultados'!R5,"")</f>
        <v/>
      </c>
      <c r="S66" s="49">
        <f>IFERROR('Resultados'!S18/'Resultados'!S5,"")</f>
        <v/>
      </c>
      <c r="T66" s="49">
        <f>IFERROR('Resultados'!T18/'Resultados'!T5,"")</f>
        <v/>
      </c>
      <c r="U66" s="49">
        <f>IFERROR('Resultados'!U18/'Resultados'!U5,"")</f>
        <v/>
      </c>
      <c r="V66" s="49">
        <f>IFERROR('Resultados'!V18/'Resultados'!V5,"")</f>
        <v/>
      </c>
      <c r="W66" s="49">
        <f>IFERROR('Resultados'!W18/'Resultados'!W5,"")</f>
        <v/>
      </c>
      <c r="X66" s="49">
        <f>IFERROR('Resultados'!X18/'Resultados'!X5,"")</f>
        <v/>
      </c>
      <c r="Y66" s="49">
        <f>IFERROR('Resultados'!Y18/'Resultados'!Y5,"")</f>
        <v/>
      </c>
      <c r="Z66" s="49">
        <f>IFERROR('Resultados'!Z18/'Resultados'!Z5,"")</f>
        <v/>
      </c>
      <c r="AA66" s="49">
        <f>IFERROR('Resultados'!AA18/'Resultados'!AA5,"")</f>
        <v/>
      </c>
      <c r="AC66" s="49">
        <f>IFERROR('Resultados'!AC18/'Resultados'!AC5,"")</f>
        <v/>
      </c>
      <c r="AD66" s="49">
        <f>IFERROR('Resultados'!AD18/'Resultados'!AD5,"")</f>
        <v/>
      </c>
      <c r="AE66" s="49">
        <f>IFERROR('Resultados'!AE18/'Resultados'!AE5,"")</f>
        <v/>
      </c>
      <c r="AF66" s="49">
        <f>IFERROR('Resultados'!AF18/'Resultados'!AF5,"")</f>
        <v/>
      </c>
      <c r="AG66" s="49">
        <f>IFERROR('Resultados'!AG18/'Resultados'!AG5,"")</f>
        <v/>
      </c>
      <c r="AH66" s="49">
        <f>IFERROR('Resultados'!AH18/'Resultados'!AH5,"")</f>
        <v/>
      </c>
      <c r="AI66" s="49">
        <f>IFERROR('Resultados'!AI18/'Resultados'!AI5,"")</f>
        <v/>
      </c>
    </row>
    <row r="67" spans="1:37">
      <c r="A67" s="42" t="s">
        <v>466</v>
      </c>
      <c r="B67" s="49">
        <f>IFERROR('Resultados'!B20/'Resultados'!B5,"")</f>
        <v/>
      </c>
      <c r="C67" s="49">
        <f>IFERROR('Resultados'!C20/'Resultados'!C5,"")</f>
        <v/>
      </c>
      <c r="D67" s="49">
        <f>IFERROR('Resultados'!D20/'Resultados'!D5,"")</f>
        <v/>
      </c>
      <c r="E67" s="49">
        <f>IFERROR('Resultados'!E20/'Resultados'!E5,"")</f>
        <v/>
      </c>
      <c r="F67" s="49">
        <f>IFERROR('Resultados'!F20/'Resultados'!F5,"")</f>
        <v/>
      </c>
      <c r="G67" s="49">
        <f>IFERROR('Resultados'!G20/'Resultados'!G5,"")</f>
        <v/>
      </c>
      <c r="H67" s="49">
        <f>IFERROR('Resultados'!H20/'Resultados'!H5,"")</f>
        <v/>
      </c>
      <c r="I67" s="49">
        <f>IFERROR('Resultados'!I20/'Resultados'!I5,"")</f>
        <v/>
      </c>
      <c r="J67" s="49">
        <f>IFERROR('Resultados'!J20/'Resultados'!J5,"")</f>
        <v/>
      </c>
      <c r="K67" s="49">
        <f>IFERROR('Resultados'!K20/'Resultados'!K5,"")</f>
        <v/>
      </c>
      <c r="L67" s="49">
        <f>IFERROR('Resultados'!L20/'Resultados'!L5,"")</f>
        <v/>
      </c>
      <c r="M67" s="49">
        <f>IFERROR('Resultados'!M20/'Resultados'!M5,"")</f>
        <v/>
      </c>
      <c r="N67" s="49">
        <f>IFERROR('Resultados'!N20/'Resultados'!N5,"")</f>
        <v/>
      </c>
      <c r="O67" s="49">
        <f>IFERROR('Resultados'!O20/'Resultados'!O5,"")</f>
        <v/>
      </c>
      <c r="P67" s="49">
        <f>IFERROR('Resultados'!P20/'Resultados'!P5,"")</f>
        <v/>
      </c>
      <c r="Q67" s="49">
        <f>IFERROR('Resultados'!Q20/'Resultados'!Q5,"")</f>
        <v/>
      </c>
      <c r="R67" s="49">
        <f>IFERROR('Resultados'!R20/'Resultados'!R5,"")</f>
        <v/>
      </c>
      <c r="S67" s="49">
        <f>IFERROR('Resultados'!S20/'Resultados'!S5,"")</f>
        <v/>
      </c>
      <c r="T67" s="49">
        <f>IFERROR('Resultados'!T20/'Resultados'!T5,"")</f>
        <v/>
      </c>
      <c r="U67" s="49">
        <f>IFERROR('Resultados'!U20/'Resultados'!U5,"")</f>
        <v/>
      </c>
      <c r="V67" s="49">
        <f>IFERROR('Resultados'!V20/'Resultados'!V5,"")</f>
        <v/>
      </c>
      <c r="W67" s="49">
        <f>IFERROR('Resultados'!W20/'Resultados'!W5,"")</f>
        <v/>
      </c>
      <c r="X67" s="49">
        <f>IFERROR('Resultados'!X20/'Resultados'!X5,"")</f>
        <v/>
      </c>
      <c r="Y67" s="49">
        <f>IFERROR('Resultados'!Y20/'Resultados'!Y5,"")</f>
        <v/>
      </c>
      <c r="Z67" s="49">
        <f>IFERROR('Resultados'!Z20/'Resultados'!Z5,"")</f>
        <v/>
      </c>
      <c r="AA67" s="49">
        <f>IFERROR('Resultados'!AA20/'Resultados'!AA5,"")</f>
        <v/>
      </c>
      <c r="AC67" s="49">
        <f>IFERROR('Resultados'!AC20/'Resultados'!AC5,"")</f>
        <v/>
      </c>
      <c r="AD67" s="49">
        <f>IFERROR('Resultados'!AD20/'Resultados'!AD5,"")</f>
        <v/>
      </c>
      <c r="AE67" s="49">
        <f>IFERROR('Resultados'!AE20/'Resultados'!AE5,"")</f>
        <v/>
      </c>
      <c r="AF67" s="49">
        <f>IFERROR('Resultados'!AF20/'Resultados'!AF5,"")</f>
        <v/>
      </c>
      <c r="AG67" s="49">
        <f>IFERROR('Resultados'!AG20/'Resultados'!AG5,"")</f>
        <v/>
      </c>
      <c r="AH67" s="49">
        <f>IFERROR('Resultados'!AH20/'Resultados'!AH5,"")</f>
        <v/>
      </c>
      <c r="AI67" s="49">
        <f>IFERROR('Resultados'!AI20/'Resultados'!AI5,"")</f>
        <v/>
      </c>
    </row>
    <row r="69" spans="1:37">
      <c r="A69" s="5" t="s">
        <v>467</v>
      </c>
      <c r="AK69" s="6" t="s">
        <v>468</v>
      </c>
    </row>
    <row r="70" spans="1:37">
      <c r="A70" s="42" t="s">
        <v>469</v>
      </c>
      <c r="B70" s="45">
        <f>'Resultados'!B13</f>
        <v/>
      </c>
      <c r="C70" s="45">
        <f>'Resultados'!C13</f>
        <v/>
      </c>
      <c r="D70" s="45">
        <f>'Resultados'!D13</f>
        <v/>
      </c>
      <c r="E70" s="45">
        <f>'Resultados'!E13</f>
        <v/>
      </c>
      <c r="F70" s="45">
        <f>'Resultados'!F13</f>
        <v/>
      </c>
      <c r="G70" s="45">
        <f>'Resultados'!G13</f>
        <v/>
      </c>
      <c r="H70" s="45">
        <f>'Resultados'!H13</f>
        <v/>
      </c>
      <c r="I70" s="45">
        <f>'Resultados'!I13</f>
        <v/>
      </c>
      <c r="J70" s="45">
        <f>'Resultados'!J13</f>
        <v/>
      </c>
      <c r="K70" s="45">
        <f>'Resultados'!K13</f>
        <v/>
      </c>
      <c r="L70" s="45">
        <f>'Resultados'!L13</f>
        <v/>
      </c>
      <c r="M70" s="45">
        <f>'Resultados'!M13</f>
        <v/>
      </c>
      <c r="N70" s="45">
        <f>'Resultados'!N13</f>
        <v/>
      </c>
      <c r="O70" s="45">
        <f>'Resultados'!O13</f>
        <v/>
      </c>
      <c r="P70" s="45">
        <f>'Resultados'!P13</f>
        <v/>
      </c>
      <c r="Q70" s="45">
        <f>'Resultados'!Q13</f>
        <v/>
      </c>
      <c r="R70" s="45">
        <f>'Resultados'!R13</f>
        <v/>
      </c>
      <c r="S70" s="45">
        <f>'Resultados'!S13</f>
        <v/>
      </c>
      <c r="T70" s="45">
        <f>'Resultados'!T13</f>
        <v/>
      </c>
      <c r="U70" s="45">
        <f>'Resultados'!U13</f>
        <v/>
      </c>
      <c r="V70" s="45">
        <f>'Resultados'!V13</f>
        <v/>
      </c>
      <c r="W70" s="45">
        <f>'Resultados'!W13</f>
        <v/>
      </c>
      <c r="X70" s="45">
        <f>'Resultados'!X13</f>
        <v/>
      </c>
      <c r="Y70" s="45">
        <f>'Resultados'!Y13</f>
        <v/>
      </c>
      <c r="Z70" s="45">
        <f>'Resultados'!Z13</f>
        <v/>
      </c>
      <c r="AA70" s="45">
        <f>'Resultados'!AA13</f>
        <v/>
      </c>
      <c r="AC70" s="45">
        <f>'Resultados'!AC13</f>
        <v/>
      </c>
      <c r="AD70" s="45">
        <f>'Resultados'!AD13</f>
        <v/>
      </c>
      <c r="AE70" s="45">
        <f>'Resultados'!AE13</f>
        <v/>
      </c>
      <c r="AF70" s="45">
        <f>'Resultados'!AF13</f>
        <v/>
      </c>
      <c r="AG70" s="45">
        <f>'Resultados'!AG13</f>
        <v/>
      </c>
      <c r="AH70" s="45">
        <f>'Resultados'!AH13</f>
        <v/>
      </c>
      <c r="AI70" s="45">
        <f>'Resultados'!AI13</f>
        <v/>
      </c>
    </row>
    <row r="71" spans="1:37">
      <c r="A71" s="42" t="s">
        <v>413</v>
      </c>
      <c r="B71" s="45">
        <f>('Flujo de efectivo'!B7+'Flujo de efectivo'!B8+'Flujo de efectivo'!B9)</f>
        <v/>
      </c>
      <c r="C71" s="45">
        <f>('Flujo de efectivo'!C7+'Flujo de efectivo'!C8+'Flujo de efectivo'!C9)</f>
        <v/>
      </c>
      <c r="D71" s="45">
        <f>('Flujo de efectivo'!D7+'Flujo de efectivo'!D8+'Flujo de efectivo'!D9)</f>
        <v/>
      </c>
      <c r="E71" s="45">
        <f>('Flujo de efectivo'!E7+'Flujo de efectivo'!E8+'Flujo de efectivo'!E9)</f>
        <v/>
      </c>
      <c r="F71" s="45">
        <f>('Flujo de efectivo'!F7+'Flujo de efectivo'!F8+'Flujo de efectivo'!F9)</f>
        <v/>
      </c>
      <c r="G71" s="45">
        <f>('Flujo de efectivo'!G7+'Flujo de efectivo'!G8+'Flujo de efectivo'!G9)</f>
        <v/>
      </c>
      <c r="H71" s="45">
        <f>('Flujo de efectivo'!H7+'Flujo de efectivo'!H8+'Flujo de efectivo'!H9)</f>
        <v/>
      </c>
      <c r="I71" s="45">
        <f>('Flujo de efectivo'!I7+'Flujo de efectivo'!I8+'Flujo de efectivo'!I9)</f>
        <v/>
      </c>
      <c r="J71" s="45">
        <f>('Flujo de efectivo'!J7+'Flujo de efectivo'!J8+'Flujo de efectivo'!J9)</f>
        <v/>
      </c>
      <c r="K71" s="45">
        <f>('Flujo de efectivo'!K7+'Flujo de efectivo'!K8+'Flujo de efectivo'!K9)</f>
        <v/>
      </c>
      <c r="L71" s="45">
        <f>('Flujo de efectivo'!L7+'Flujo de efectivo'!L8+'Flujo de efectivo'!L9)</f>
        <v/>
      </c>
      <c r="M71" s="45">
        <f>('Flujo de efectivo'!M7+'Flujo de efectivo'!M8+'Flujo de efectivo'!M9)</f>
        <v/>
      </c>
      <c r="N71" s="45">
        <f>('Flujo de efectivo'!N7+'Flujo de efectivo'!N8+'Flujo de efectivo'!N9)</f>
        <v/>
      </c>
      <c r="O71" s="45">
        <f>('Flujo de efectivo'!O7+'Flujo de efectivo'!O8+'Flujo de efectivo'!O9)</f>
        <v/>
      </c>
      <c r="P71" s="45">
        <f>('Flujo de efectivo'!P7+'Flujo de efectivo'!P8+'Flujo de efectivo'!P9)</f>
        <v/>
      </c>
      <c r="Q71" s="45">
        <f>('Flujo de efectivo'!Q7+'Flujo de efectivo'!Q8+'Flujo de efectivo'!Q9)</f>
        <v/>
      </c>
      <c r="R71" s="45">
        <f>('Flujo de efectivo'!R7+'Flujo de efectivo'!R8+'Flujo de efectivo'!R9)</f>
        <v/>
      </c>
      <c r="S71" s="45">
        <f>('Flujo de efectivo'!S7+'Flujo de efectivo'!S8+'Flujo de efectivo'!S9)</f>
        <v/>
      </c>
      <c r="T71" s="45">
        <f>('Flujo de efectivo'!T7+'Flujo de efectivo'!T8+'Flujo de efectivo'!T9)</f>
        <v/>
      </c>
      <c r="U71" s="45">
        <f>('Flujo de efectivo'!U7+'Flujo de efectivo'!U8+'Flujo de efectivo'!U9)</f>
        <v/>
      </c>
      <c r="V71" s="45">
        <f>('Flujo de efectivo'!V7+'Flujo de efectivo'!V8+'Flujo de efectivo'!V9)</f>
        <v/>
      </c>
      <c r="W71" s="45">
        <f>('Flujo de efectivo'!W7+'Flujo de efectivo'!W8+'Flujo de efectivo'!W9)</f>
        <v/>
      </c>
      <c r="X71" s="45">
        <f>('Flujo de efectivo'!X7+'Flujo de efectivo'!X8+'Flujo de efectivo'!X9)</f>
        <v/>
      </c>
      <c r="Y71" s="45">
        <f>('Flujo de efectivo'!Y7+'Flujo de efectivo'!Y8+'Flujo de efectivo'!Y9)</f>
        <v/>
      </c>
      <c r="Z71" s="45">
        <f>('Flujo de efectivo'!Z7+'Flujo de efectivo'!Z8+'Flujo de efectivo'!Z9)</f>
        <v/>
      </c>
      <c r="AA71" s="45">
        <f>('Flujo de efectivo'!AA7+'Flujo de efectivo'!AA8+'Flujo de efectivo'!AA9)</f>
        <v/>
      </c>
      <c r="AC71" s="45">
        <f>('Flujo de efectivo'!AC7+'Flujo de efectivo'!AC8+'Flujo de efectivo'!AC9)</f>
        <v/>
      </c>
      <c r="AD71" s="45">
        <f>('Flujo de efectivo'!AD7+'Flujo de efectivo'!AD8+'Flujo de efectivo'!AD9)</f>
        <v/>
      </c>
      <c r="AE71" s="45">
        <f>('Flujo de efectivo'!AE7+'Flujo de efectivo'!AE8+'Flujo de efectivo'!AE9)</f>
        <v/>
      </c>
      <c r="AF71" s="45">
        <f>('Flujo de efectivo'!AF7+'Flujo de efectivo'!AF8+'Flujo de efectivo'!AF9)</f>
        <v/>
      </c>
      <c r="AG71" s="45">
        <f>('Flujo de efectivo'!AG7+'Flujo de efectivo'!AG8+'Flujo de efectivo'!AG9)</f>
        <v/>
      </c>
      <c r="AH71" s="45">
        <f>('Flujo de efectivo'!AH7+'Flujo de efectivo'!AH8+'Flujo de efectivo'!AH9)</f>
        <v/>
      </c>
      <c r="AI71" s="45">
        <f>('Flujo de efectivo'!AI7+'Flujo de efectivo'!AI8+'Flujo de efectivo'!AI9)</f>
        <v/>
      </c>
    </row>
    <row r="72" spans="1:37">
      <c r="A72" s="42" t="s">
        <v>470</v>
      </c>
      <c r="B72" s="48">
        <f>('Resultados'!B13+('Flujo de efectivo'!B7+'Flujo de efectivo'!B8+'Flujo de efectivo'!B9))</f>
        <v/>
      </c>
      <c r="C72" s="48">
        <f>('Resultados'!C13+('Flujo de efectivo'!C7+'Flujo de efectivo'!C8+'Flujo de efectivo'!C9))</f>
        <v/>
      </c>
      <c r="D72" s="48">
        <f>('Resultados'!D13+('Flujo de efectivo'!D7+'Flujo de efectivo'!D8+'Flujo de efectivo'!D9))</f>
        <v/>
      </c>
      <c r="E72" s="48">
        <f>('Resultados'!E13+('Flujo de efectivo'!E7+'Flujo de efectivo'!E8+'Flujo de efectivo'!E9))</f>
        <v/>
      </c>
      <c r="F72" s="48">
        <f>('Resultados'!F13+('Flujo de efectivo'!F7+'Flujo de efectivo'!F8+'Flujo de efectivo'!F9))</f>
        <v/>
      </c>
      <c r="G72" s="48">
        <f>('Resultados'!G13+('Flujo de efectivo'!G7+'Flujo de efectivo'!G8+'Flujo de efectivo'!G9))</f>
        <v/>
      </c>
      <c r="H72" s="48">
        <f>('Resultados'!H13+('Flujo de efectivo'!H7+'Flujo de efectivo'!H8+'Flujo de efectivo'!H9))</f>
        <v/>
      </c>
      <c r="I72" s="48">
        <f>('Resultados'!I13+('Flujo de efectivo'!I7+'Flujo de efectivo'!I8+'Flujo de efectivo'!I9))</f>
        <v/>
      </c>
      <c r="J72" s="48">
        <f>('Resultados'!J13+('Flujo de efectivo'!J7+'Flujo de efectivo'!J8+'Flujo de efectivo'!J9))</f>
        <v/>
      </c>
      <c r="K72" s="48">
        <f>('Resultados'!K13+('Flujo de efectivo'!K7+'Flujo de efectivo'!K8+'Flujo de efectivo'!K9))</f>
        <v/>
      </c>
      <c r="L72" s="48">
        <f>('Resultados'!L13+('Flujo de efectivo'!L7+'Flujo de efectivo'!L8+'Flujo de efectivo'!L9))</f>
        <v/>
      </c>
      <c r="M72" s="48">
        <f>('Resultados'!M13+('Flujo de efectivo'!M7+'Flujo de efectivo'!M8+'Flujo de efectivo'!M9))</f>
        <v/>
      </c>
      <c r="N72" s="48">
        <f>('Resultados'!N13+('Flujo de efectivo'!N7+'Flujo de efectivo'!N8+'Flujo de efectivo'!N9))</f>
        <v/>
      </c>
      <c r="O72" s="48">
        <f>('Resultados'!O13+('Flujo de efectivo'!O7+'Flujo de efectivo'!O8+'Flujo de efectivo'!O9))</f>
        <v/>
      </c>
      <c r="P72" s="48">
        <f>('Resultados'!P13+('Flujo de efectivo'!P7+'Flujo de efectivo'!P8+'Flujo de efectivo'!P9))</f>
        <v/>
      </c>
      <c r="Q72" s="48">
        <f>('Resultados'!Q13+('Flujo de efectivo'!Q7+'Flujo de efectivo'!Q8+'Flujo de efectivo'!Q9))</f>
        <v/>
      </c>
      <c r="R72" s="48">
        <f>('Resultados'!R13+('Flujo de efectivo'!R7+'Flujo de efectivo'!R8+'Flujo de efectivo'!R9))</f>
        <v/>
      </c>
      <c r="S72" s="48">
        <f>('Resultados'!S13+('Flujo de efectivo'!S7+'Flujo de efectivo'!S8+'Flujo de efectivo'!S9))</f>
        <v/>
      </c>
      <c r="T72" s="48">
        <f>('Resultados'!T13+('Flujo de efectivo'!T7+'Flujo de efectivo'!T8+'Flujo de efectivo'!T9))</f>
        <v/>
      </c>
      <c r="U72" s="48">
        <f>('Resultados'!U13+('Flujo de efectivo'!U7+'Flujo de efectivo'!U8+'Flujo de efectivo'!U9))</f>
        <v/>
      </c>
      <c r="V72" s="48">
        <f>('Resultados'!V13+('Flujo de efectivo'!V7+'Flujo de efectivo'!V8+'Flujo de efectivo'!V9))</f>
        <v/>
      </c>
      <c r="W72" s="48">
        <f>('Resultados'!W13+('Flujo de efectivo'!W7+'Flujo de efectivo'!W8+'Flujo de efectivo'!W9))</f>
        <v/>
      </c>
      <c r="X72" s="48">
        <f>('Resultados'!X13+('Flujo de efectivo'!X7+'Flujo de efectivo'!X8+'Flujo de efectivo'!X9))</f>
        <v/>
      </c>
      <c r="Y72" s="48">
        <f>('Resultados'!Y13+('Flujo de efectivo'!Y7+'Flujo de efectivo'!Y8+'Flujo de efectivo'!Y9))</f>
        <v/>
      </c>
      <c r="Z72" s="48">
        <f>('Resultados'!Z13+('Flujo de efectivo'!Z7+'Flujo de efectivo'!Z8+'Flujo de efectivo'!Z9))</f>
        <v/>
      </c>
      <c r="AA72" s="48">
        <f>('Resultados'!AA13+('Flujo de efectivo'!AA7+'Flujo de efectivo'!AA8+'Flujo de efectivo'!AA9))</f>
        <v/>
      </c>
      <c r="AC72" s="48">
        <f>('Resultados'!AC13+('Flujo de efectivo'!AC7+'Flujo de efectivo'!AC8+'Flujo de efectivo'!AC9))</f>
        <v/>
      </c>
      <c r="AD72" s="48">
        <f>('Resultados'!AD13+('Flujo de efectivo'!AD7+'Flujo de efectivo'!AD8+'Flujo de efectivo'!AD9))</f>
        <v/>
      </c>
      <c r="AE72" s="48">
        <f>('Resultados'!AE13+('Flujo de efectivo'!AE7+'Flujo de efectivo'!AE8+'Flujo de efectivo'!AE9))</f>
        <v/>
      </c>
      <c r="AF72" s="48">
        <f>('Resultados'!AF13+('Flujo de efectivo'!AF7+'Flujo de efectivo'!AF8+'Flujo de efectivo'!AF9))</f>
        <v/>
      </c>
      <c r="AG72" s="48">
        <f>('Resultados'!AG13+('Flujo de efectivo'!AG7+'Flujo de efectivo'!AG8+'Flujo de efectivo'!AG9))</f>
        <v/>
      </c>
      <c r="AH72" s="48">
        <f>('Resultados'!AH13+('Flujo de efectivo'!AH7+'Flujo de efectivo'!AH8+'Flujo de efectivo'!AH9))</f>
        <v/>
      </c>
      <c r="AI72" s="48">
        <f>('Resultados'!AI13+('Flujo de efectivo'!AI7+'Flujo de efectivo'!AI8+'Flujo de efectivo'!AI9))</f>
        <v/>
      </c>
    </row>
    <row r="73" spans="1:37">
      <c r="A73" s="42" t="s">
        <v>471</v>
      </c>
      <c r="B73" s="45">
        <v>851000000</v>
      </c>
      <c r="C73" s="45">
        <v>28000000</v>
      </c>
      <c r="D73" s="45">
        <v>392000000</v>
      </c>
      <c r="E73" s="45">
        <v>183000000</v>
      </c>
      <c r="F73" s="45">
        <v>767000000</v>
      </c>
      <c r="G73" s="45">
        <v>1084000000</v>
      </c>
      <c r="H73" s="45">
        <v>1154000000</v>
      </c>
      <c r="I73" s="45">
        <v>834000000</v>
      </c>
      <c r="J73" s="45">
        <v>972000000</v>
      </c>
      <c r="K73" s="45">
        <v>1500000000</v>
      </c>
      <c r="L73" s="45">
        <v>1498000000</v>
      </c>
      <c r="M73" s="45">
        <v>933000000</v>
      </c>
      <c r="N73" s="45">
        <v>1044000000</v>
      </c>
      <c r="O73" s="45">
        <v>1005000000</v>
      </c>
      <c r="P73" s="45">
        <v>926000000</v>
      </c>
      <c r="Q73" s="45">
        <v>1082000000</v>
      </c>
      <c r="R73" s="45">
        <v>1245000000</v>
      </c>
      <c r="S73" s="45">
        <v>1204000000</v>
      </c>
      <c r="T73" s="45">
        <v>1366000000</v>
      </c>
      <c r="U73" s="45">
        <v>839000000</v>
      </c>
      <c r="V73" s="45">
        <v>1245000000</v>
      </c>
      <c r="W73" s="45">
        <v>1124000000</v>
      </c>
      <c r="X73" s="45">
        <v>1357000000</v>
      </c>
      <c r="Y73" s="45">
        <v>1283000000</v>
      </c>
      <c r="Z73" s="45">
        <v>1594000000</v>
      </c>
      <c r="AA73" s="45">
        <v>2804000000</v>
      </c>
    </row>
    <row r="74" spans="1:37">
      <c r="A74" s="47" t="s">
        <v>472</v>
      </c>
      <c r="B74" s="48">
        <f>IF(COUNT(B73)=0,"",B73-B72)</f>
        <v/>
      </c>
      <c r="C74" s="48">
        <f>IF(COUNT(C73)=0,"",C73-C72)</f>
        <v/>
      </c>
      <c r="D74" s="48">
        <f>IF(COUNT(D73)=0,"",D73-D72)</f>
        <v/>
      </c>
      <c r="E74" s="48">
        <f>IF(COUNT(E73)=0,"",E73-E72)</f>
        <v/>
      </c>
      <c r="F74" s="48">
        <f>IF(COUNT(F73)=0,"",F73-F72)</f>
        <v/>
      </c>
      <c r="G74" s="48">
        <f>IF(COUNT(G73)=0,"",G73-G72)</f>
        <v/>
      </c>
      <c r="H74" s="48">
        <f>IF(COUNT(H73)=0,"",H73-H72)</f>
        <v/>
      </c>
      <c r="I74" s="48">
        <f>IF(COUNT(I73)=0,"",I73-I72)</f>
        <v/>
      </c>
      <c r="J74" s="48">
        <f>IF(COUNT(J73)=0,"",J73-J72)</f>
        <v/>
      </c>
      <c r="K74" s="48">
        <f>IF(COUNT(K73)=0,"",K73-K72)</f>
        <v/>
      </c>
      <c r="L74" s="48">
        <f>IF(COUNT(L73)=0,"",L73-L72)</f>
        <v/>
      </c>
      <c r="M74" s="48">
        <f>IF(COUNT(M73)=0,"",M73-M72)</f>
        <v/>
      </c>
      <c r="N74" s="48">
        <f>IF(COUNT(N73)=0,"",N73-N72)</f>
        <v/>
      </c>
      <c r="O74" s="48">
        <f>IF(COUNT(O73)=0,"",O73-O72)</f>
        <v/>
      </c>
      <c r="P74" s="48">
        <f>IF(COUNT(P73)=0,"",P73-P72)</f>
        <v/>
      </c>
      <c r="Q74" s="48">
        <f>IF(COUNT(Q73)=0,"",Q73-Q72)</f>
        <v/>
      </c>
      <c r="R74" s="48">
        <f>IF(COUNT(R73)=0,"",R73-R72)</f>
        <v/>
      </c>
      <c r="S74" s="48">
        <f>IF(COUNT(S73)=0,"",S73-S72)</f>
        <v/>
      </c>
      <c r="T74" s="48">
        <f>IF(COUNT(T73)=0,"",T73-T72)</f>
        <v/>
      </c>
      <c r="U74" s="48">
        <f>IF(COUNT(U73)=0,"",U73-U72)</f>
        <v/>
      </c>
      <c r="V74" s="48">
        <f>IF(COUNT(V73)=0,"",V73-V72)</f>
        <v/>
      </c>
      <c r="W74" s="48">
        <f>IF(COUNT(W73)=0,"",W73-W72)</f>
        <v/>
      </c>
      <c r="X74" s="48">
        <f>IF(COUNT(X73)=0,"",X73-X72)</f>
        <v/>
      </c>
      <c r="Y74" s="48">
        <f>IF(COUNT(Y73)=0,"",Y73-Y72)</f>
        <v/>
      </c>
      <c r="Z74" s="48">
        <f>IF(COUNT(Z73)=0,"",Z73-Z72)</f>
        <v/>
      </c>
      <c r="AA74" s="48">
        <f>IF(COUNT(AA73)=0,"",AA73-AA72)</f>
        <v/>
      </c>
      <c r="AC74" s="48">
        <f>IF(COUNT(AC73)=0,"",AC73-AC72)</f>
        <v/>
      </c>
      <c r="AD74" s="48">
        <f>IF(COUNT(AD73)=0,"",AD73-AD72)</f>
        <v/>
      </c>
      <c r="AE74" s="48">
        <f>IF(COUNT(AE73)=0,"",AE73-AE72)</f>
        <v/>
      </c>
      <c r="AF74" s="48">
        <f>IF(COUNT(AF73)=0,"",AF73-AF72)</f>
        <v/>
      </c>
      <c r="AG74" s="48">
        <f>IF(COUNT(AG73)=0,"",AG73-AG72)</f>
        <v/>
      </c>
      <c r="AH74" s="48">
        <f>IF(COUNT(AH73)=0,"",AH73-AH72)</f>
        <v/>
      </c>
      <c r="AI74" s="48">
        <f>IF(COUNT(AI73)=0,"",AI73-AI72)</f>
        <v/>
      </c>
    </row>
    <row r="75" spans="1:37">
      <c r="A75" s="42" t="s">
        <v>473</v>
      </c>
      <c r="B75" s="45">
        <f>'Resultados'!B11</f>
        <v/>
      </c>
      <c r="C75" s="45">
        <f>'Resultados'!C11</f>
        <v/>
      </c>
      <c r="D75" s="45">
        <f>'Resultados'!D11</f>
        <v/>
      </c>
      <c r="E75" s="45">
        <f>'Resultados'!E11</f>
        <v/>
      </c>
      <c r="F75" s="45">
        <f>'Resultados'!F11</f>
        <v/>
      </c>
      <c r="G75" s="45">
        <f>'Resultados'!G11</f>
        <v/>
      </c>
      <c r="H75" s="45">
        <f>'Resultados'!H11</f>
        <v/>
      </c>
      <c r="I75" s="45">
        <f>'Resultados'!I11</f>
        <v/>
      </c>
      <c r="J75" s="45">
        <f>'Resultados'!J11</f>
        <v/>
      </c>
      <c r="K75" s="45">
        <f>'Resultados'!K11</f>
        <v/>
      </c>
      <c r="L75" s="45">
        <f>'Resultados'!L11</f>
        <v/>
      </c>
      <c r="M75" s="45">
        <f>'Resultados'!M11</f>
        <v/>
      </c>
      <c r="N75" s="45">
        <f>'Resultados'!N11</f>
        <v/>
      </c>
      <c r="O75" s="45">
        <f>'Resultados'!O11</f>
        <v/>
      </c>
      <c r="P75" s="45">
        <f>'Resultados'!P11</f>
        <v/>
      </c>
      <c r="Q75" s="45">
        <f>'Resultados'!Q11</f>
        <v/>
      </c>
      <c r="R75" s="45">
        <f>'Resultados'!R11</f>
        <v/>
      </c>
      <c r="S75" s="45">
        <f>'Resultados'!S11</f>
        <v/>
      </c>
      <c r="T75" s="45">
        <f>'Resultados'!T11</f>
        <v/>
      </c>
      <c r="U75" s="45">
        <f>'Resultados'!U11</f>
        <v/>
      </c>
      <c r="V75" s="45">
        <f>'Resultados'!V11</f>
        <v/>
      </c>
      <c r="W75" s="45">
        <f>'Resultados'!W11</f>
        <v/>
      </c>
      <c r="X75" s="45">
        <f>'Resultados'!X11</f>
        <v/>
      </c>
      <c r="Y75" s="45">
        <f>'Resultados'!Y11</f>
        <v/>
      </c>
      <c r="Z75" s="45">
        <f>'Resultados'!Z11</f>
        <v/>
      </c>
      <c r="AA75" s="45">
        <f>'Resultados'!AA11</f>
        <v/>
      </c>
      <c r="AC75" s="45">
        <f>'Resultados'!AC11</f>
        <v/>
      </c>
      <c r="AD75" s="45">
        <f>'Resultados'!AD11</f>
        <v/>
      </c>
      <c r="AE75" s="45">
        <f>'Resultados'!AE11</f>
        <v/>
      </c>
      <c r="AF75" s="45">
        <f>'Resultados'!AF11</f>
        <v/>
      </c>
      <c r="AG75" s="45">
        <f>'Resultados'!AG11</f>
        <v/>
      </c>
      <c r="AH75" s="45">
        <f>'Resultados'!AH11</f>
        <v/>
      </c>
      <c r="AI75" s="45">
        <f>'Resultados'!AI11</f>
        <v/>
      </c>
    </row>
    <row r="76" spans="1:37">
      <c r="A76" s="42" t="s">
        <v>474</v>
      </c>
      <c r="B76" s="45">
        <f>'Resultados'!B14</f>
        <v/>
      </c>
      <c r="C76" s="45">
        <f>'Resultados'!C14</f>
        <v/>
      </c>
      <c r="D76" s="45">
        <f>'Resultados'!D14</f>
        <v/>
      </c>
      <c r="E76" s="45">
        <f>'Resultados'!E14</f>
        <v/>
      </c>
      <c r="F76" s="45">
        <f>'Resultados'!F14</f>
        <v/>
      </c>
      <c r="G76" s="45">
        <f>'Resultados'!G14</f>
        <v/>
      </c>
      <c r="H76" s="45">
        <f>'Resultados'!H14</f>
        <v/>
      </c>
      <c r="I76" s="45">
        <f>'Resultados'!I14</f>
        <v/>
      </c>
      <c r="J76" s="45">
        <f>'Resultados'!J14</f>
        <v/>
      </c>
      <c r="K76" s="45">
        <f>'Resultados'!K14</f>
        <v/>
      </c>
      <c r="L76" s="45">
        <f>'Resultados'!L14</f>
        <v/>
      </c>
      <c r="M76" s="45">
        <f>'Resultados'!M14</f>
        <v/>
      </c>
      <c r="N76" s="45">
        <f>'Resultados'!N14</f>
        <v/>
      </c>
      <c r="O76" s="45">
        <f>'Resultados'!O14</f>
        <v/>
      </c>
      <c r="P76" s="45">
        <f>'Resultados'!P14</f>
        <v/>
      </c>
      <c r="Q76" s="45">
        <f>'Resultados'!Q14</f>
        <v/>
      </c>
      <c r="R76" s="45">
        <f>'Resultados'!R14</f>
        <v/>
      </c>
      <c r="S76" s="45">
        <f>'Resultados'!S14</f>
        <v/>
      </c>
      <c r="T76" s="45">
        <f>'Resultados'!T14</f>
        <v/>
      </c>
      <c r="U76" s="45">
        <f>'Resultados'!U14</f>
        <v/>
      </c>
      <c r="V76" s="45">
        <f>'Resultados'!V14</f>
        <v/>
      </c>
      <c r="W76" s="45">
        <f>'Resultados'!W14</f>
        <v/>
      </c>
      <c r="X76" s="45">
        <f>'Resultados'!X14</f>
        <v/>
      </c>
      <c r="Y76" s="45">
        <f>'Resultados'!Y14</f>
        <v/>
      </c>
      <c r="Z76" s="45">
        <f>'Resultados'!Z14</f>
        <v/>
      </c>
      <c r="AA76" s="45">
        <f>'Resultados'!AA14</f>
        <v/>
      </c>
      <c r="AC76" s="45">
        <f>'Resultados'!AC14</f>
        <v/>
      </c>
      <c r="AD76" s="45">
        <f>'Resultados'!AD14</f>
        <v/>
      </c>
      <c r="AE76" s="45">
        <f>'Resultados'!AE14</f>
        <v/>
      </c>
      <c r="AF76" s="45">
        <f>'Resultados'!AF14</f>
        <v/>
      </c>
      <c r="AG76" s="45">
        <f>'Resultados'!AG14</f>
        <v/>
      </c>
      <c r="AH76" s="45">
        <f>'Resultados'!AH14</f>
        <v/>
      </c>
      <c r="AI76" s="45">
        <f>'Resultados'!AI14</f>
        <v/>
      </c>
    </row>
    <row r="78" spans="1:37">
      <c r="A78" s="5" t="s">
        <v>475</v>
      </c>
    </row>
    <row r="79" spans="1:37">
      <c r="A79" s="42" t="s">
        <v>476</v>
      </c>
      <c r="B79" s="45">
        <v>598000000</v>
      </c>
      <c r="C79" s="45">
        <v>162000000</v>
      </c>
      <c r="D79" s="45">
        <v>257000000</v>
      </c>
      <c r="E79" s="45">
        <v>538000000</v>
      </c>
      <c r="F79" s="45">
        <v>487000000</v>
      </c>
      <c r="G79" s="45">
        <v>580000000</v>
      </c>
      <c r="H79" s="45">
        <v>696000000</v>
      </c>
      <c r="I79" s="45">
        <v>908000000</v>
      </c>
      <c r="J79" s="45">
        <v>748000000</v>
      </c>
      <c r="K79" s="45">
        <v>932000000</v>
      </c>
      <c r="L79" s="45">
        <v>1186000000</v>
      </c>
      <c r="M79" s="45">
        <v>1421000000</v>
      </c>
      <c r="N79" s="45">
        <v>1298000000</v>
      </c>
      <c r="O79" s="45">
        <v>1374000000</v>
      </c>
      <c r="P79" s="45">
        <v>1546000000</v>
      </c>
      <c r="Q79" s="45">
        <v>1466000000</v>
      </c>
      <c r="R79" s="45">
        <v>1252000000</v>
      </c>
      <c r="S79" s="45">
        <v>1200000000</v>
      </c>
      <c r="T79" s="45">
        <v>1353000000</v>
      </c>
      <c r="U79" s="45">
        <v>1320000000</v>
      </c>
      <c r="V79" s="45">
        <v>1214000000</v>
      </c>
      <c r="W79" s="45">
        <v>1160000000</v>
      </c>
      <c r="X79" s="45">
        <v>1017000000</v>
      </c>
      <c r="Y79" s="45">
        <v>1086000000</v>
      </c>
      <c r="Z79" s="45">
        <v>980000000</v>
      </c>
      <c r="AA79" s="45">
        <v>1340000000</v>
      </c>
    </row>
    <row r="80" spans="1:37">
      <c r="A80" s="42" t="s">
        <v>477</v>
      </c>
      <c r="B80" s="45">
        <v>-85000000</v>
      </c>
      <c r="C80" s="45">
        <v>61000000</v>
      </c>
      <c r="D80" s="45">
        <v>150000000</v>
      </c>
      <c r="E80" s="45">
        <v>182000000</v>
      </c>
      <c r="F80" s="45">
        <v>284000000</v>
      </c>
      <c r="G80" s="45">
        <v>311000000</v>
      </c>
      <c r="H80" s="45">
        <v>144000000</v>
      </c>
      <c r="I80" s="45">
        <v>143000000</v>
      </c>
      <c r="J80" s="45">
        <v>391000000</v>
      </c>
      <c r="K80" s="45">
        <v>318000000</v>
      </c>
      <c r="L80" s="45">
        <v>262000000</v>
      </c>
      <c r="M80" s="45">
        <v>-188000000</v>
      </c>
      <c r="N80" s="45">
        <v>-17000000</v>
      </c>
      <c r="O80" s="45">
        <v>-284000000</v>
      </c>
      <c r="P80" s="45">
        <v>-379000000</v>
      </c>
      <c r="Q80" s="45">
        <v>-60000000</v>
      </c>
      <c r="R80" s="45">
        <v>-394000000</v>
      </c>
      <c r="S80" s="45">
        <v>-257000000</v>
      </c>
      <c r="T80" s="45">
        <v>-173000000</v>
      </c>
      <c r="U80" s="45">
        <v>64000000</v>
      </c>
      <c r="V80" s="45">
        <v>-957000000</v>
      </c>
      <c r="W80" s="45">
        <v>-365000000</v>
      </c>
      <c r="X80" s="45">
        <v>-759000000</v>
      </c>
      <c r="Y80" s="45">
        <v>265000000</v>
      </c>
      <c r="Z80" s="45">
        <v>871000000</v>
      </c>
      <c r="AA80" s="45">
        <v>824000000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0054EB"/>
  </sheetPr>
  <dimension ref="A1:AK117"/>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62.7109375" customWidth="1"/>
    <col min="2" max="37" width="19.7109375" customWidth="1"/>
  </cols>
  <sheetData>
    <row r="1" spans="1:35">
      <c r="A1" s="1" t="s">
        <v>60</v>
      </c>
    </row>
    <row r="2" spans="1:35">
      <c r="A2" s="2" t="s">
        <v>478</v>
      </c>
    </row>
    <row r="4" spans="1:35">
      <c r="A4" s="40" t="s">
        <v>158</v>
      </c>
      <c r="B4" s="41" t="s">
        <v>159</v>
      </c>
      <c r="C4" s="41" t="s">
        <v>160</v>
      </c>
      <c r="D4" s="41" t="s">
        <v>161</v>
      </c>
      <c r="E4" s="41" t="s">
        <v>162</v>
      </c>
      <c r="F4" s="41" t="s">
        <v>163</v>
      </c>
      <c r="G4" s="41" t="s">
        <v>164</v>
      </c>
      <c r="H4" s="41" t="s">
        <v>165</v>
      </c>
      <c r="I4" s="41" t="s">
        <v>166</v>
      </c>
      <c r="J4" s="41" t="s">
        <v>167</v>
      </c>
      <c r="K4" s="41" t="s">
        <v>168</v>
      </c>
      <c r="L4" s="41" t="s">
        <v>169</v>
      </c>
      <c r="M4" s="41" t="s">
        <v>170</v>
      </c>
      <c r="N4" s="41" t="s">
        <v>171</v>
      </c>
      <c r="O4" s="41" t="s">
        <v>172</v>
      </c>
      <c r="P4" s="41" t="s">
        <v>173</v>
      </c>
      <c r="Q4" s="41" t="s">
        <v>174</v>
      </c>
      <c r="R4" s="41" t="s">
        <v>175</v>
      </c>
      <c r="S4" s="41" t="s">
        <v>176</v>
      </c>
      <c r="T4" s="41" t="s">
        <v>177</v>
      </c>
      <c r="U4" s="41" t="s">
        <v>178</v>
      </c>
      <c r="V4" s="41" t="s">
        <v>179</v>
      </c>
      <c r="W4" s="41" t="s">
        <v>180</v>
      </c>
      <c r="X4" s="41" t="s">
        <v>181</v>
      </c>
      <c r="Y4" s="41" t="s">
        <v>182</v>
      </c>
      <c r="Z4" s="41" t="s">
        <v>183</v>
      </c>
      <c r="AA4" s="41" t="s">
        <v>184</v>
      </c>
      <c r="AC4" s="41" t="s">
        <v>185</v>
      </c>
      <c r="AD4" s="41" t="s">
        <v>186</v>
      </c>
      <c r="AE4" s="41" t="s">
        <v>187</v>
      </c>
      <c r="AF4" s="41" t="s">
        <v>188</v>
      </c>
      <c r="AG4" s="41" t="s">
        <v>189</v>
      </c>
      <c r="AH4" s="41" t="s">
        <v>190</v>
      </c>
      <c r="AI4" s="41" t="s">
        <v>191</v>
      </c>
    </row>
    <row r="5" spans="1:35">
      <c r="A5" s="5" t="s">
        <v>456</v>
      </c>
    </row>
    <row r="6" spans="1:35">
      <c r="A6" s="42" t="s">
        <v>479</v>
      </c>
      <c r="B6" s="45">
        <v>1316104013.766902</v>
      </c>
      <c r="C6" s="45">
        <v>801958021.4247153</v>
      </c>
      <c r="D6" s="45">
        <v>1078219318.407956</v>
      </c>
      <c r="E6" s="45">
        <v>973906989.3017389</v>
      </c>
      <c r="F6" s="45">
        <v>1246764805.087437</v>
      </c>
      <c r="G6" s="45">
        <v>1385840690.285953</v>
      </c>
      <c r="H6" s="45">
        <v>1602876299.128315</v>
      </c>
      <c r="I6" s="45">
        <v>1520107850.838733</v>
      </c>
      <c r="J6" s="45">
        <v>1598000000</v>
      </c>
      <c r="K6" s="45">
        <v>1810000000</v>
      </c>
      <c r="L6" s="45">
        <v>2087000000</v>
      </c>
      <c r="N6" s="45">
        <v>1828000000</v>
      </c>
      <c r="O6" s="45">
        <v>1896000000</v>
      </c>
      <c r="P6" s="45">
        <v>1920000000</v>
      </c>
      <c r="Q6" s="45">
        <v>1710000000</v>
      </c>
      <c r="R6" s="45">
        <v>1947000000</v>
      </c>
      <c r="S6" s="45">
        <v>2172000000</v>
      </c>
      <c r="T6" s="45">
        <v>2150000000</v>
      </c>
      <c r="U6" s="45">
        <v>1969000000</v>
      </c>
      <c r="V6" s="45">
        <v>2067000000</v>
      </c>
      <c r="W6" s="45">
        <v>1895000000</v>
      </c>
      <c r="X6" s="45">
        <v>1967000000</v>
      </c>
      <c r="Y6" s="45">
        <v>1646000000</v>
      </c>
      <c r="Z6" s="45">
        <v>2021000000</v>
      </c>
      <c r="AA6" s="45">
        <v>2741000000</v>
      </c>
      <c r="AC6" s="45">
        <v>5996135159.954681</v>
      </c>
      <c r="AD6" s="45">
        <v>4255000000</v>
      </c>
      <c r="AE6" s="45">
        <v>5967000000</v>
      </c>
      <c r="AF6" s="45">
        <v>7185000000</v>
      </c>
      <c r="AG6" s="45">
        <v>7243000000</v>
      </c>
      <c r="AH6" s="45">
        <v>8275000000</v>
      </c>
      <c r="AI6" s="45">
        <v>7575000000</v>
      </c>
    </row>
    <row r="7" spans="1:35">
      <c r="A7" s="42" t="s">
        <v>480</v>
      </c>
      <c r="R7" s="45">
        <v>3790000000</v>
      </c>
      <c r="U7" s="45">
        <v>4071000000</v>
      </c>
      <c r="V7" s="45">
        <v>3930000000</v>
      </c>
      <c r="W7" s="45">
        <v>3741000000</v>
      </c>
      <c r="X7" s="45">
        <v>3721000000</v>
      </c>
      <c r="Y7" s="45">
        <v>3958000000</v>
      </c>
      <c r="Z7" s="45">
        <v>4257000000</v>
      </c>
      <c r="AA7" s="45">
        <v>5682000000</v>
      </c>
      <c r="AG7" s="45">
        <v>15113000000</v>
      </c>
      <c r="AH7" s="45">
        <v>16023000000</v>
      </c>
      <c r="AI7" s="45">
        <v>15338000000</v>
      </c>
    </row>
    <row r="8" spans="1:35">
      <c r="A8" s="42" t="s">
        <v>481</v>
      </c>
      <c r="B8" s="45">
        <v>2356625496.103193</v>
      </c>
      <c r="C8" s="45">
        <v>1554104709.625965</v>
      </c>
      <c r="D8" s="45">
        <v>1833400245.514168</v>
      </c>
      <c r="E8" s="45">
        <v>1951914323.795003</v>
      </c>
      <c r="F8" s="45">
        <v>2274530991.849997</v>
      </c>
      <c r="G8" s="45">
        <v>2777865508.383398</v>
      </c>
      <c r="H8" s="45">
        <v>2866391750.849616</v>
      </c>
      <c r="I8" s="45">
        <v>3098686365.322042</v>
      </c>
      <c r="N8" s="45">
        <v>3753000000</v>
      </c>
      <c r="O8" s="45">
        <v>3654000000</v>
      </c>
      <c r="Q8" s="45">
        <v>3920000000</v>
      </c>
      <c r="S8" s="45">
        <v>3957000000</v>
      </c>
      <c r="T8" s="45">
        <v>4127000000</v>
      </c>
      <c r="AC8" s="45">
        <v>11117855149.61354</v>
      </c>
      <c r="AD8" s="45">
        <v>7862000000</v>
      </c>
      <c r="AE8" s="45">
        <v>11284000000</v>
      </c>
      <c r="AF8" s="45">
        <v>16125000000</v>
      </c>
    </row>
    <row r="9" spans="1:35">
      <c r="A9" s="42" t="s">
        <v>482</v>
      </c>
      <c r="J9" s="45">
        <v>2564000000</v>
      </c>
      <c r="K9" s="45">
        <v>3267000000</v>
      </c>
      <c r="L9" s="45">
        <v>3478000000</v>
      </c>
      <c r="P9" s="45">
        <v>2770000000</v>
      </c>
    </row>
    <row r="10" spans="1:35">
      <c r="A10" s="42" t="s">
        <v>483</v>
      </c>
      <c r="J10" s="45">
        <v>3577000000</v>
      </c>
      <c r="K10" s="45">
        <v>4713000000</v>
      </c>
      <c r="L10" s="45">
        <v>5027000000</v>
      </c>
      <c r="P10" s="45">
        <v>4209000000</v>
      </c>
    </row>
    <row r="11" spans="1:35">
      <c r="A11" s="42" t="s">
        <v>484</v>
      </c>
      <c r="B11" s="45">
        <v>476704861.0158926</v>
      </c>
      <c r="C11" s="45">
        <v>448687100.0114306</v>
      </c>
      <c r="D11" s="45">
        <v>544810657.9937011</v>
      </c>
      <c r="E11" s="45">
        <v>385607462.7371632</v>
      </c>
      <c r="F11" s="45">
        <v>372408359.2127255</v>
      </c>
      <c r="G11" s="45">
        <v>583042976.1274475</v>
      </c>
      <c r="H11" s="45">
        <v>751824772.7883452</v>
      </c>
      <c r="I11" s="45">
        <v>539246043.8572643</v>
      </c>
      <c r="J11" s="45">
        <v>149000000</v>
      </c>
      <c r="K11" s="45">
        <v>269000000</v>
      </c>
      <c r="L11" s="45">
        <v>284000000</v>
      </c>
      <c r="N11" s="45">
        <v>506000000</v>
      </c>
      <c r="O11" s="45">
        <v>728000000</v>
      </c>
      <c r="P11" s="45">
        <v>290000000</v>
      </c>
      <c r="Q11" s="45">
        <v>318000000</v>
      </c>
      <c r="S11" s="45">
        <v>862000000</v>
      </c>
      <c r="T11" s="45">
        <v>1057000000</v>
      </c>
      <c r="AC11" s="45">
        <v>2903263616.430621</v>
      </c>
      <c r="AD11" s="45">
        <v>1772000000</v>
      </c>
      <c r="AE11" s="45">
        <v>2230000000</v>
      </c>
      <c r="AF11" s="45">
        <v>2695000000</v>
      </c>
    </row>
    <row r="12" spans="1:35">
      <c r="A12" s="42" t="s">
        <v>485</v>
      </c>
      <c r="R12" s="45">
        <v>366000000</v>
      </c>
      <c r="U12" s="45">
        <v>361000000</v>
      </c>
      <c r="V12" s="45">
        <v>400000000</v>
      </c>
      <c r="W12" s="45">
        <v>565000000</v>
      </c>
      <c r="X12" s="45">
        <v>662000000</v>
      </c>
      <c r="Y12" s="45">
        <v>338000000</v>
      </c>
      <c r="Z12" s="45">
        <v>371000000</v>
      </c>
      <c r="AA12" s="45">
        <v>582000000</v>
      </c>
      <c r="AG12" s="45">
        <v>1814000000</v>
      </c>
      <c r="AH12" s="45">
        <v>1927000000</v>
      </c>
      <c r="AI12" s="45">
        <v>1965000000</v>
      </c>
    </row>
    <row r="13" spans="1:35">
      <c r="A13" s="42" t="s">
        <v>486</v>
      </c>
      <c r="R13" s="45">
        <v>78000000</v>
      </c>
      <c r="U13" s="45">
        <v>207000000</v>
      </c>
      <c r="V13" s="45">
        <v>192000000</v>
      </c>
      <c r="W13" s="45">
        <v>229000000</v>
      </c>
      <c r="X13" s="45">
        <v>234000000</v>
      </c>
      <c r="Y13" s="45">
        <v>188000000</v>
      </c>
      <c r="Z13" s="45">
        <v>206000000</v>
      </c>
      <c r="AA13" s="45">
        <v>237000000</v>
      </c>
      <c r="AG13" s="45">
        <v>428000000</v>
      </c>
      <c r="AH13" s="45">
        <v>904000000</v>
      </c>
      <c r="AI13" s="45">
        <v>843000000</v>
      </c>
    </row>
    <row r="14" spans="1:35">
      <c r="A14" s="42" t="s">
        <v>487</v>
      </c>
      <c r="B14" s="45">
        <v>177138101.0005088</v>
      </c>
      <c r="C14" s="45">
        <v>103058952.2952344</v>
      </c>
      <c r="D14" s="45">
        <v>137151693.039469</v>
      </c>
      <c r="E14" s="45">
        <v>187690800.9315882</v>
      </c>
      <c r="F14" s="45">
        <v>146767257.2617767</v>
      </c>
      <c r="G14" s="45">
        <v>185938947.9155554</v>
      </c>
      <c r="H14" s="45">
        <v>232252748.6438028</v>
      </c>
      <c r="I14" s="45">
        <v>272863097.0080175</v>
      </c>
      <c r="J14" s="45">
        <v>207000000</v>
      </c>
      <c r="K14" s="45">
        <v>259000000</v>
      </c>
      <c r="L14" s="45">
        <v>300000000</v>
      </c>
      <c r="N14" s="45">
        <v>310000000</v>
      </c>
      <c r="O14" s="45">
        <v>335000000</v>
      </c>
      <c r="P14" s="45">
        <v>361000000</v>
      </c>
      <c r="Q14" s="45">
        <v>38000000</v>
      </c>
      <c r="R14" s="45">
        <v>362000000</v>
      </c>
      <c r="S14" s="45">
        <v>413000000</v>
      </c>
      <c r="T14" s="45">
        <v>625000000</v>
      </c>
      <c r="U14" s="45">
        <v>496000000</v>
      </c>
      <c r="V14" s="45">
        <v>482000000</v>
      </c>
      <c r="W14" s="45">
        <v>482000000</v>
      </c>
      <c r="X14" s="45">
        <v>422000000</v>
      </c>
      <c r="Y14" s="45">
        <v>449000000</v>
      </c>
      <c r="Z14" s="45">
        <v>459000000</v>
      </c>
      <c r="AA14" s="45">
        <v>502000000</v>
      </c>
      <c r="AC14" s="45">
        <v>981486415.6381639</v>
      </c>
      <c r="AD14" s="45">
        <v>555000000</v>
      </c>
      <c r="AE14" s="45">
        <v>730000000</v>
      </c>
      <c r="AF14" s="45">
        <v>1165000000</v>
      </c>
      <c r="AG14" s="45">
        <v>1137000000</v>
      </c>
      <c r="AH14" s="45">
        <v>1852000000</v>
      </c>
      <c r="AI14" s="45">
        <v>1846000000</v>
      </c>
    </row>
    <row r="15" spans="1:35">
      <c r="A15" s="42" t="s">
        <v>488</v>
      </c>
      <c r="B15" s="45">
        <v>-1482495617.234518</v>
      </c>
      <c r="C15" s="45">
        <v>-929604191.427637</v>
      </c>
      <c r="D15" s="45">
        <v>-1224629160.380197</v>
      </c>
      <c r="E15" s="45">
        <v>-1155509777.708105</v>
      </c>
      <c r="F15" s="45">
        <v>-1386979952.650027</v>
      </c>
      <c r="G15" s="45">
        <v>-1570555585.364467</v>
      </c>
      <c r="H15" s="45">
        <v>-1815600597.104244</v>
      </c>
      <c r="I15" s="45">
        <v>-1777641560.37439</v>
      </c>
      <c r="J15" s="45">
        <v>-4335000000</v>
      </c>
      <c r="K15" s="45">
        <v>-5323000000</v>
      </c>
      <c r="L15" s="45">
        <v>-5819000000</v>
      </c>
      <c r="N15" s="45">
        <v>-2159000000</v>
      </c>
      <c r="O15" s="45">
        <v>-2238000000</v>
      </c>
      <c r="P15" s="45">
        <v>-5046000000</v>
      </c>
      <c r="Q15" s="45">
        <v>-1792000000</v>
      </c>
      <c r="R15" s="45">
        <v>-2233000000</v>
      </c>
      <c r="S15" s="45">
        <v>-2469000000</v>
      </c>
      <c r="T15" s="45">
        <v>-2662000000</v>
      </c>
      <c r="U15" s="45">
        <v>-2353000000</v>
      </c>
      <c r="V15" s="45">
        <v>-2463000000</v>
      </c>
      <c r="W15" s="45">
        <v>-2271000000</v>
      </c>
      <c r="X15" s="45">
        <v>-2363000000</v>
      </c>
      <c r="Y15" s="45">
        <v>-2023000000</v>
      </c>
      <c r="Z15" s="45">
        <v>-2368000000</v>
      </c>
      <c r="AA15" s="45">
        <v>-3170000000</v>
      </c>
      <c r="AC15" s="45">
        <v>-6901337987.525888</v>
      </c>
      <c r="AD15" s="45">
        <v>-4754000000</v>
      </c>
      <c r="AE15" s="45">
        <v>-6529000000</v>
      </c>
      <c r="AF15" s="45">
        <v>-8413000000</v>
      </c>
      <c r="AG15" s="45">
        <v>-8424000000</v>
      </c>
      <c r="AH15" s="45">
        <v>-9688000000</v>
      </c>
      <c r="AI15" s="45">
        <v>-9119000000</v>
      </c>
    </row>
    <row r="16" spans="1:35">
      <c r="A16" s="47" t="s">
        <v>489</v>
      </c>
      <c r="B16" s="48">
        <v>2844076854.651978</v>
      </c>
      <c r="C16" s="48">
        <v>1978204591.929708</v>
      </c>
      <c r="D16" s="48">
        <v>2368952754.575097</v>
      </c>
      <c r="E16" s="48">
        <v>2343609799.057388</v>
      </c>
      <c r="F16" s="48">
        <v>2653491460.761909</v>
      </c>
      <c r="G16" s="48">
        <v>3362132537.347887</v>
      </c>
      <c r="H16" s="48">
        <v>3637744974.305836</v>
      </c>
      <c r="I16" s="48">
        <v>3653261796.651667</v>
      </c>
      <c r="J16" s="48">
        <v>3760000000</v>
      </c>
      <c r="K16" s="48">
        <v>4995000000</v>
      </c>
      <c r="L16" s="48">
        <v>5357000000</v>
      </c>
      <c r="M16" s="48">
        <v>4645000000</v>
      </c>
      <c r="N16" s="48">
        <v>4238000000</v>
      </c>
      <c r="O16" s="48">
        <v>4375000000</v>
      </c>
      <c r="P16" s="48">
        <v>4504000000</v>
      </c>
      <c r="Q16" s="48">
        <v>4194000000</v>
      </c>
      <c r="R16" s="48">
        <v>4310000000</v>
      </c>
      <c r="S16" s="48">
        <v>4935000000</v>
      </c>
      <c r="T16" s="48">
        <v>5297000000</v>
      </c>
      <c r="U16" s="48">
        <v>4751000000</v>
      </c>
      <c r="V16" s="48">
        <v>4608000000</v>
      </c>
      <c r="W16" s="48">
        <v>4641000000</v>
      </c>
      <c r="X16" s="48">
        <v>4643000000</v>
      </c>
      <c r="Y16" s="48">
        <v>4556000000</v>
      </c>
      <c r="Z16" s="48">
        <v>4946000000</v>
      </c>
      <c r="AA16" s="48">
        <v>6574000000</v>
      </c>
      <c r="AC16" s="48">
        <v>14097402354.11112</v>
      </c>
      <c r="AD16" s="48">
        <v>9690000000</v>
      </c>
      <c r="AE16" s="48">
        <v>13682000000</v>
      </c>
      <c r="AF16" s="48">
        <v>18757000000</v>
      </c>
      <c r="AG16" s="48">
        <v>17311000000</v>
      </c>
      <c r="AH16" s="48">
        <v>19293000000</v>
      </c>
      <c r="AI16" s="48">
        <v>18448000000</v>
      </c>
    </row>
    <row r="17" spans="1:37">
      <c r="A17" s="6" t="s">
        <v>490</v>
      </c>
      <c r="B17" s="45">
        <f>IF(COUNT(B16)=1,SUM(B6,B7,B8,B9,B10,B11,B12,B13,B14,B15)-B16,"")</f>
        <v/>
      </c>
      <c r="C17" s="45">
        <f>IF(COUNT(C16)=1,SUM(C6,C7,C8,C9,C10,C11,C12,C13,C14,C15)-C16,"")</f>
        <v/>
      </c>
      <c r="D17" s="45">
        <f>IF(COUNT(D16)=1,SUM(D6,D7,D8,D9,D10,D11,D12,D13,D14,D15)-D16,"")</f>
        <v/>
      </c>
      <c r="E17" s="45">
        <f>IF(COUNT(E16)=1,SUM(E6,E7,E8,E9,E10,E11,E12,E13,E14,E15)-E16,"")</f>
        <v/>
      </c>
      <c r="F17" s="45">
        <f>IF(COUNT(F16)=1,SUM(F6,F7,F8,F9,F10,F11,F12,F13,F14,F15)-F16,"")</f>
        <v/>
      </c>
      <c r="G17" s="45">
        <f>IF(COUNT(G16)=1,SUM(G6,G7,G8,G9,G10,G11,G12,G13,G14,G15)-G16,"")</f>
        <v/>
      </c>
      <c r="H17" s="45">
        <f>IF(COUNT(H16)=1,SUM(H6,H7,H8,H9,H10,H11,H12,H13,H14,H15)-H16,"")</f>
        <v/>
      </c>
      <c r="I17" s="45">
        <f>IF(COUNT(I16)=1,SUM(I6,I7,I8,I9,I10,I11,I12,I13,I14,I15)-I16,"")</f>
        <v/>
      </c>
      <c r="J17" s="45">
        <f>IF(COUNT(J16)=1,SUM(J6,J7,J8,J9,J10,J11,J12,J13,J14,J15)-J16,"")</f>
        <v/>
      </c>
      <c r="K17" s="45">
        <f>IF(COUNT(K16)=1,SUM(K6,K7,K8,K9,K10,K11,K12,K13,K14,K15)-K16,"")</f>
        <v/>
      </c>
      <c r="L17" s="45">
        <f>IF(COUNT(L16)=1,SUM(L6,L7,L8,L9,L10,L11,L12,L13,L14,L15)-L16,"")</f>
        <v/>
      </c>
      <c r="M17" s="45">
        <f>IF(COUNT(M16)=1,SUM(M6,M7,M8,M9,M10,M11,M12,M13,M14,M15)-M16,"")</f>
        <v/>
      </c>
      <c r="N17" s="45">
        <f>IF(COUNT(N16)=1,SUM(N6,N7,N8,N9,N10,N11,N12,N13,N14,N15)-N16,"")</f>
        <v/>
      </c>
      <c r="O17" s="45">
        <f>IF(COUNT(O16)=1,SUM(O6,O7,O8,O9,O10,O11,O12,O13,O14,O15)-O16,"")</f>
        <v/>
      </c>
      <c r="P17" s="45">
        <f>IF(COUNT(P16)=1,SUM(P6,P7,P8,P9,P10,P11,P12,P13,P14,P15)-P16,"")</f>
        <v/>
      </c>
      <c r="Q17" s="45">
        <f>IF(COUNT(Q16)=1,SUM(Q6,Q7,Q8,Q9,Q10,Q11,Q12,Q13,Q14,Q15)-Q16,"")</f>
        <v/>
      </c>
      <c r="R17" s="45">
        <f>IF(COUNT(R16)=1,SUM(R6,R7,R8,R9,R10,R11,R12,R13,R14,R15)-R16,"")</f>
        <v/>
      </c>
      <c r="S17" s="45">
        <f>IF(COUNT(S16)=1,SUM(S6,S7,S8,S9,S10,S11,S12,S13,S14,S15)-S16,"")</f>
        <v/>
      </c>
      <c r="T17" s="45">
        <f>IF(COUNT(T16)=1,SUM(T6,T7,T8,T9,T10,T11,T12,T13,T14,T15)-T16,"")</f>
        <v/>
      </c>
      <c r="U17" s="45">
        <f>IF(COUNT(U16)=1,SUM(U6,U7,U8,U9,U10,U11,U12,U13,U14,U15)-U16,"")</f>
        <v/>
      </c>
      <c r="V17" s="45">
        <f>IF(COUNT(V16)=1,SUM(V6,V7,V8,V9,V10,V11,V12,V13,V14,V15)-V16,"")</f>
        <v/>
      </c>
      <c r="W17" s="45">
        <f>IF(COUNT(W16)=1,SUM(W6,W7,W8,W9,W10,W11,W12,W13,W14,W15)-W16,"")</f>
        <v/>
      </c>
      <c r="X17" s="45">
        <f>IF(COUNT(X16)=1,SUM(X6,X7,X8,X9,X10,X11,X12,X13,X14,X15)-X16,"")</f>
        <v/>
      </c>
      <c r="Y17" s="45">
        <f>IF(COUNT(Y16)=1,SUM(Y6,Y7,Y8,Y9,Y10,Y11,Y12,Y13,Y14,Y15)-Y16,"")</f>
        <v/>
      </c>
      <c r="Z17" s="45">
        <f>IF(COUNT(Z16)=1,SUM(Z6,Z7,Z8,Z9,Z10,Z11,Z12,Z13,Z14,Z15)-Z16,"")</f>
        <v/>
      </c>
      <c r="AA17" s="45">
        <f>IF(COUNT(AA16)=1,SUM(AA6,AA7,AA8,AA9,AA10,AA11,AA12,AA13,AA14,AA15)-AA16,"")</f>
        <v/>
      </c>
      <c r="AC17" s="45">
        <f>IF(COUNT(AC16)=1,SUM(AC6,AC7,AC8,AC9,AC10,AC11,AC12,AC13,AC14,AC15)-AC16,"")</f>
        <v/>
      </c>
      <c r="AD17" s="45">
        <f>IF(COUNT(AD16)=1,SUM(AD6,AD7,AD8,AD9,AD10,AD11,AD12,AD13,AD14,AD15)-AD16,"")</f>
        <v/>
      </c>
      <c r="AE17" s="45">
        <f>IF(COUNT(AE16)=1,SUM(AE6,AE7,AE8,AE9,AE10,AE11,AE12,AE13,AE14,AE15)-AE16,"")</f>
        <v/>
      </c>
      <c r="AF17" s="45">
        <f>IF(COUNT(AF16)=1,SUM(AF6,AF7,AF8,AF9,AF10,AF11,AF12,AF13,AF14,AF15)-AF16,"")</f>
        <v/>
      </c>
      <c r="AG17" s="45">
        <f>IF(COUNT(AG16)=1,SUM(AG6,AG7,AG8,AG9,AG10,AG11,AG12,AG13,AG14,AG15)-AG16,"")</f>
        <v/>
      </c>
      <c r="AH17" s="45">
        <f>IF(COUNT(AH16)=1,SUM(AH6,AH7,AH8,AH9,AH10,AH11,AH12,AH13,AH14,AH15)-AH16,"")</f>
        <v/>
      </c>
      <c r="AI17" s="45">
        <f>IF(COUNT(AI16)=1,SUM(AI6,AI7,AI8,AI9,AI10,AI11,AI12,AI13,AI14,AI15)-AI16,"")</f>
        <v/>
      </c>
      <c r="AK17" s="6" t="s">
        <v>491</v>
      </c>
    </row>
    <row r="19" spans="1:37">
      <c r="A19" s="5" t="s">
        <v>469</v>
      </c>
    </row>
    <row r="20" spans="1:37">
      <c r="A20" s="42" t="s">
        <v>479</v>
      </c>
      <c r="B20" s="45">
        <v>10811627.82097048</v>
      </c>
      <c r="C20" s="45">
        <v>-1092975884.991367</v>
      </c>
      <c r="D20" s="45">
        <v>-178335435.1946899</v>
      </c>
      <c r="E20" s="45">
        <v>753938471.0393021</v>
      </c>
      <c r="F20" s="45">
        <v>18436281.08460741</v>
      </c>
      <c r="G20" s="45">
        <v>-11889278.42587872</v>
      </c>
      <c r="H20" s="45">
        <v>221758006.9782431</v>
      </c>
      <c r="I20" s="45">
        <v>-202865530.3160439</v>
      </c>
      <c r="J20" s="45">
        <v>232000000</v>
      </c>
      <c r="K20" s="45">
        <v>350000000</v>
      </c>
      <c r="L20" s="45">
        <v>319000000</v>
      </c>
      <c r="N20" s="45">
        <v>144000000</v>
      </c>
      <c r="O20" s="45">
        <v>75000000</v>
      </c>
      <c r="P20" s="45">
        <v>-436000000</v>
      </c>
      <c r="Q20" s="45">
        <v>-1706000000</v>
      </c>
      <c r="R20" s="45">
        <v>400000000</v>
      </c>
      <c r="S20" s="45">
        <v>362000000</v>
      </c>
      <c r="T20" s="45">
        <v>333000000</v>
      </c>
      <c r="U20" s="45">
        <v>-580000000</v>
      </c>
      <c r="V20" s="45">
        <v>-103000000</v>
      </c>
      <c r="W20" s="45">
        <v>176000000</v>
      </c>
      <c r="X20" s="45">
        <v>415000000</v>
      </c>
      <c r="Y20" s="45">
        <v>-62000000</v>
      </c>
      <c r="Z20" s="45">
        <v>616000000</v>
      </c>
      <c r="AA20" s="45">
        <v>955000000</v>
      </c>
      <c r="AC20" s="45">
        <v>-1021975716.602896</v>
      </c>
      <c r="AD20" s="45">
        <v>-444000000</v>
      </c>
      <c r="AE20" s="45">
        <v>80000000</v>
      </c>
      <c r="AF20" s="45">
        <v>1306000000</v>
      </c>
      <c r="AG20" s="45">
        <v>-1915000000</v>
      </c>
      <c r="AH20" s="45">
        <v>515000000</v>
      </c>
      <c r="AI20" s="45">
        <v>410000000</v>
      </c>
    </row>
    <row r="21" spans="1:37">
      <c r="A21" s="42" t="s">
        <v>480</v>
      </c>
      <c r="R21" s="45">
        <v>560000000</v>
      </c>
      <c r="S21" s="45">
        <v>301000000</v>
      </c>
      <c r="T21" s="45">
        <v>295000000</v>
      </c>
      <c r="U21" s="45">
        <v>200000000</v>
      </c>
      <c r="V21" s="45">
        <v>422000000</v>
      </c>
      <c r="W21" s="45">
        <v>286000000</v>
      </c>
      <c r="X21" s="45">
        <v>158000000</v>
      </c>
      <c r="Y21" s="45">
        <v>341000000</v>
      </c>
      <c r="Z21" s="45">
        <v>1085000000</v>
      </c>
      <c r="AA21" s="45">
        <v>707000000</v>
      </c>
      <c r="AG21" s="45">
        <v>939000000</v>
      </c>
      <c r="AH21" s="45">
        <v>1356000000</v>
      </c>
      <c r="AI21" s="45">
        <v>1167000000</v>
      </c>
    </row>
    <row r="22" spans="1:37">
      <c r="A22" s="42" t="s">
        <v>481</v>
      </c>
      <c r="B22" s="45">
        <v>67295870.15673341</v>
      </c>
      <c r="C22" s="45">
        <v>2754953.309415577</v>
      </c>
      <c r="D22" s="45">
        <v>-112435985.7115679</v>
      </c>
      <c r="E22" s="45">
        <v>109434212.8250382</v>
      </c>
      <c r="F22" s="45">
        <v>198833935.8885877</v>
      </c>
      <c r="G22" s="45">
        <v>343245703.3820386</v>
      </c>
      <c r="H22" s="45">
        <v>235473193.8803912</v>
      </c>
      <c r="I22" s="45">
        <v>136979026.6280216</v>
      </c>
      <c r="N22" s="45">
        <v>254000000</v>
      </c>
      <c r="O22" s="45">
        <v>197000000</v>
      </c>
      <c r="Q22" s="45">
        <v>455000000</v>
      </c>
      <c r="AC22" s="45">
        <v>844541586.5157855</v>
      </c>
      <c r="AD22" s="45">
        <v>89000000</v>
      </c>
      <c r="AE22" s="45">
        <v>945000000</v>
      </c>
      <c r="AF22" s="45">
        <v>1523000000</v>
      </c>
    </row>
    <row r="23" spans="1:37">
      <c r="A23" s="42" t="s">
        <v>482</v>
      </c>
      <c r="J23" s="45">
        <v>220000000</v>
      </c>
      <c r="K23" s="45">
        <v>525000000</v>
      </c>
      <c r="L23" s="45">
        <v>286000000</v>
      </c>
      <c r="P23" s="45">
        <v>-93000000</v>
      </c>
    </row>
    <row r="24" spans="1:37">
      <c r="A24" s="42" t="s">
        <v>483</v>
      </c>
      <c r="J24" s="45">
        <v>103000000</v>
      </c>
      <c r="K24" s="45">
        <v>120000000</v>
      </c>
      <c r="L24" s="45">
        <v>108000000</v>
      </c>
      <c r="P24" s="45">
        <v>88000000</v>
      </c>
    </row>
    <row r="25" spans="1:37">
      <c r="A25" s="42" t="s">
        <v>484</v>
      </c>
      <c r="B25" s="45">
        <v>-17910829.22148724</v>
      </c>
      <c r="C25" s="45">
        <v>-130415934.8892697</v>
      </c>
      <c r="D25" s="45">
        <v>20701111.77298238</v>
      </c>
      <c r="E25" s="45">
        <v>-132573660.8418471</v>
      </c>
      <c r="F25" s="45">
        <v>-31935886.41310365</v>
      </c>
      <c r="G25" s="45">
        <v>10462990.77228181</v>
      </c>
      <c r="H25" s="45">
        <v>28510714.85810382</v>
      </c>
      <c r="I25" s="45">
        <v>4041383.969985959</v>
      </c>
      <c r="J25" s="45">
        <v>-4000000</v>
      </c>
      <c r="K25" s="45">
        <v>32000000</v>
      </c>
      <c r="L25" s="45">
        <v>35000000</v>
      </c>
      <c r="N25" s="45">
        <v>-23000000</v>
      </c>
      <c r="O25" s="45">
        <v>26000000</v>
      </c>
      <c r="P25" s="45">
        <v>29000000</v>
      </c>
      <c r="Q25" s="45">
        <v>-40000000</v>
      </c>
      <c r="AC25" s="45">
        <v>61159826.59834384</v>
      </c>
      <c r="AD25" s="45">
        <v>-272000000</v>
      </c>
      <c r="AE25" s="45">
        <v>10000000</v>
      </c>
      <c r="AF25" s="45">
        <v>90000000</v>
      </c>
    </row>
    <row r="26" spans="1:37">
      <c r="A26" s="42" t="s">
        <v>485</v>
      </c>
      <c r="R26" s="45">
        <v>-33000000</v>
      </c>
      <c r="S26" s="45">
        <v>-22000000</v>
      </c>
      <c r="T26" s="45">
        <v>10000000</v>
      </c>
      <c r="U26" s="45">
        <v>-4000000</v>
      </c>
      <c r="V26" s="45">
        <v>-5000000</v>
      </c>
      <c r="W26" s="45">
        <v>0</v>
      </c>
      <c r="X26" s="45">
        <v>-6000000</v>
      </c>
      <c r="Y26" s="45">
        <v>3000000</v>
      </c>
      <c r="Z26" s="45">
        <v>-1000000</v>
      </c>
      <c r="AA26" s="45">
        <v>-35000000</v>
      </c>
      <c r="AG26" s="45">
        <v>-1000000</v>
      </c>
      <c r="AH26" s="45">
        <v>-49000000</v>
      </c>
      <c r="AI26" s="45">
        <v>-8000000</v>
      </c>
    </row>
    <row r="27" spans="1:37">
      <c r="A27" s="42" t="s">
        <v>486</v>
      </c>
      <c r="R27" s="45">
        <v>-25000000</v>
      </c>
      <c r="S27" s="45">
        <v>29000000</v>
      </c>
      <c r="T27" s="45">
        <v>79000000</v>
      </c>
      <c r="U27" s="45">
        <v>23000000</v>
      </c>
      <c r="V27" s="45">
        <v>24000000</v>
      </c>
      <c r="W27" s="45">
        <v>24000000</v>
      </c>
      <c r="X27" s="45">
        <v>38000000</v>
      </c>
      <c r="Y27" s="45">
        <v>346000000</v>
      </c>
      <c r="Z27" s="45">
        <v>13000000</v>
      </c>
      <c r="AA27" s="45">
        <v>27000000</v>
      </c>
      <c r="AG27" s="45">
        <v>-64000000</v>
      </c>
      <c r="AH27" s="45">
        <v>106000000</v>
      </c>
      <c r="AI27" s="45">
        <v>432000000</v>
      </c>
    </row>
    <row r="28" spans="1:37">
      <c r="A28" s="42" t="s">
        <v>487</v>
      </c>
      <c r="B28" s="45">
        <v>-56207438.61143086</v>
      </c>
      <c r="C28" s="45">
        <v>-100318810.5627511</v>
      </c>
      <c r="D28" s="45">
        <v>-74556774.59134813</v>
      </c>
      <c r="E28" s="45">
        <v>-82756966.9752973</v>
      </c>
      <c r="F28" s="45">
        <v>-41831831.40704733</v>
      </c>
      <c r="G28" s="45">
        <v>-36189388.22559325</v>
      </c>
      <c r="H28" s="45">
        <v>-36937375.07780322</v>
      </c>
      <c r="I28" s="45">
        <v>-78956299.63036606</v>
      </c>
      <c r="J28" s="45">
        <v>-56000000</v>
      </c>
      <c r="K28" s="45">
        <v>-82000000</v>
      </c>
      <c r="L28" s="45">
        <v>-87000000</v>
      </c>
      <c r="N28" s="45">
        <v>-64000000</v>
      </c>
      <c r="O28" s="45">
        <v>-90000000</v>
      </c>
      <c r="P28" s="45">
        <v>-94000000</v>
      </c>
      <c r="Q28" s="45">
        <v>-26000000</v>
      </c>
      <c r="R28" s="45">
        <v>-26000000</v>
      </c>
      <c r="S28" s="45">
        <v>-68000000</v>
      </c>
      <c r="T28" s="45">
        <v>-76000000</v>
      </c>
      <c r="U28" s="45">
        <v>-162000000</v>
      </c>
      <c r="V28" s="45">
        <v>-115000000</v>
      </c>
      <c r="W28" s="45">
        <v>-69000000</v>
      </c>
      <c r="X28" s="45">
        <v>-81000000</v>
      </c>
      <c r="Y28" s="45">
        <v>-127000000</v>
      </c>
      <c r="Z28" s="45">
        <v>-170000000</v>
      </c>
      <c r="AA28" s="45">
        <v>-177000000</v>
      </c>
      <c r="AC28" s="45">
        <v>-329606592.6662104</v>
      </c>
      <c r="AD28" s="45">
        <v>-290000000</v>
      </c>
      <c r="AE28" s="45">
        <v>-198000000</v>
      </c>
      <c r="AF28" s="45">
        <v>-401000000</v>
      </c>
      <c r="AG28" s="45">
        <v>-262000000</v>
      </c>
      <c r="AH28" s="45">
        <v>-332000000</v>
      </c>
      <c r="AI28" s="45">
        <v>-336000000</v>
      </c>
    </row>
    <row r="29" spans="1:37">
      <c r="A29" s="42" t="s">
        <v>488</v>
      </c>
      <c r="B29" s="45">
        <v>236960270.6002761</v>
      </c>
      <c r="C29" s="45">
        <v>-63097317.73177613</v>
      </c>
      <c r="D29" s="45">
        <v>23882747.02569009</v>
      </c>
      <c r="E29" s="45">
        <v>-101271025.5992271</v>
      </c>
      <c r="F29" s="45">
        <v>-66074637.29403723</v>
      </c>
      <c r="G29" s="45">
        <v>4544961.403625976</v>
      </c>
      <c r="H29" s="45">
        <v>-20413301.43575532</v>
      </c>
      <c r="I29" s="45">
        <v>-52916249.22277181</v>
      </c>
      <c r="J29" s="45">
        <v>-91000000</v>
      </c>
      <c r="K29" s="45">
        <v>-60000000</v>
      </c>
      <c r="L29" s="45">
        <v>90000000</v>
      </c>
      <c r="N29" s="45">
        <v>24000000</v>
      </c>
      <c r="O29" s="45">
        <v>13000000</v>
      </c>
      <c r="P29" s="45">
        <v>119000000</v>
      </c>
      <c r="Q29" s="45">
        <v>-100000000</v>
      </c>
      <c r="R29" s="45">
        <v>-210000000</v>
      </c>
      <c r="S29" s="45">
        <v>-12000000</v>
      </c>
      <c r="T29" s="45">
        <v>113000000</v>
      </c>
      <c r="U29" s="45">
        <v>-7000000</v>
      </c>
      <c r="V29" s="45">
        <v>-31000000</v>
      </c>
      <c r="W29" s="45">
        <v>-5000000</v>
      </c>
      <c r="X29" s="45">
        <v>28000000</v>
      </c>
      <c r="Y29" s="45">
        <v>83000000</v>
      </c>
      <c r="Z29" s="45">
        <v>-665000000</v>
      </c>
      <c r="AA29" s="45">
        <v>336000000</v>
      </c>
      <c r="AC29" s="45">
        <v>9369253.327395745</v>
      </c>
      <c r="AD29" s="45">
        <v>113000000</v>
      </c>
      <c r="AE29" s="45">
        <v>-138000000</v>
      </c>
      <c r="AF29" s="45">
        <v>-36000000</v>
      </c>
      <c r="AG29" s="45">
        <v>55000000</v>
      </c>
      <c r="AH29" s="45">
        <v>-116000000</v>
      </c>
      <c r="AI29" s="45">
        <v>75000000</v>
      </c>
    </row>
    <row r="30" spans="1:37">
      <c r="A30" s="47" t="s">
        <v>489</v>
      </c>
      <c r="B30" s="48">
        <v>240949500.745062</v>
      </c>
      <c r="C30" s="48">
        <v>-1384052994.865749</v>
      </c>
      <c r="D30" s="48">
        <v>-320744336.6989334</v>
      </c>
      <c r="E30" s="48">
        <v>546771030.4479687</v>
      </c>
      <c r="F30" s="48">
        <v>77427861.85900687</v>
      </c>
      <c r="G30" s="48">
        <v>310174988.9064744</v>
      </c>
      <c r="H30" s="48">
        <v>428391239.2031796</v>
      </c>
      <c r="I30" s="48">
        <v>-193717668.5711742</v>
      </c>
      <c r="J30" s="48">
        <v>404000000</v>
      </c>
      <c r="K30" s="48">
        <v>885000000</v>
      </c>
      <c r="L30" s="48">
        <v>751000000</v>
      </c>
      <c r="M30" s="48">
        <v>442000000</v>
      </c>
      <c r="N30" s="48">
        <v>335000000</v>
      </c>
      <c r="O30" s="48">
        <v>221000000</v>
      </c>
      <c r="P30" s="48">
        <v>-387000000</v>
      </c>
      <c r="Q30" s="48">
        <v>-1417000000</v>
      </c>
      <c r="R30" s="48">
        <v>666000000</v>
      </c>
      <c r="S30" s="48">
        <v>590000000</v>
      </c>
      <c r="T30" s="48">
        <v>754000000</v>
      </c>
      <c r="U30" s="48">
        <v>-530000000</v>
      </c>
      <c r="V30" s="48">
        <v>192000000</v>
      </c>
      <c r="W30" s="48">
        <v>412000000</v>
      </c>
      <c r="X30" s="48">
        <v>552000000</v>
      </c>
      <c r="Y30" s="48">
        <v>584000000</v>
      </c>
      <c r="Z30" s="48">
        <v>878000000</v>
      </c>
      <c r="AA30" s="48">
        <v>1813000000</v>
      </c>
      <c r="AC30" s="48">
        <v>-436511642.8275818</v>
      </c>
      <c r="AD30" s="48">
        <v>-804000000</v>
      </c>
      <c r="AE30" s="48">
        <v>699000000</v>
      </c>
      <c r="AF30" s="48">
        <v>2482000000</v>
      </c>
      <c r="AG30" s="48">
        <v>-1248000000</v>
      </c>
      <c r="AH30" s="48">
        <v>1480000000</v>
      </c>
      <c r="AI30" s="48">
        <v>1740000000</v>
      </c>
    </row>
    <row r="31" spans="1:37">
      <c r="A31" s="6" t="s">
        <v>490</v>
      </c>
      <c r="B31" s="45">
        <f>IF(COUNT(B30)=1,SUM(B20,B21,B22,B23,B24,B25,B26,B27,B28,B29)-B30,"")</f>
        <v/>
      </c>
      <c r="C31" s="45">
        <f>IF(COUNT(C30)=1,SUM(C20,C21,C22,C23,C24,C25,C26,C27,C28,C29)-C30,"")</f>
        <v/>
      </c>
      <c r="D31" s="45">
        <f>IF(COUNT(D30)=1,SUM(D20,D21,D22,D23,D24,D25,D26,D27,D28,D29)-D30,"")</f>
        <v/>
      </c>
      <c r="E31" s="45">
        <f>IF(COUNT(E30)=1,SUM(E20,E21,E22,E23,E24,E25,E26,E27,E28,E29)-E30,"")</f>
        <v/>
      </c>
      <c r="F31" s="45">
        <f>IF(COUNT(F30)=1,SUM(F20,F21,F22,F23,F24,F25,F26,F27,F28,F29)-F30,"")</f>
        <v/>
      </c>
      <c r="G31" s="45">
        <f>IF(COUNT(G30)=1,SUM(G20,G21,G22,G23,G24,G25,G26,G27,G28,G29)-G30,"")</f>
        <v/>
      </c>
      <c r="H31" s="45">
        <f>IF(COUNT(H30)=1,SUM(H20,H21,H22,H23,H24,H25,H26,H27,H28,H29)-H30,"")</f>
        <v/>
      </c>
      <c r="I31" s="45">
        <f>IF(COUNT(I30)=1,SUM(I20,I21,I22,I23,I24,I25,I26,I27,I28,I29)-I30,"")</f>
        <v/>
      </c>
      <c r="J31" s="45">
        <f>IF(COUNT(J30)=1,SUM(J20,J21,J22,J23,J24,J25,J26,J27,J28,J29)-J30,"")</f>
        <v/>
      </c>
      <c r="K31" s="45">
        <f>IF(COUNT(K30)=1,SUM(K20,K21,K22,K23,K24,K25,K26,K27,K28,K29)-K30,"")</f>
        <v/>
      </c>
      <c r="L31" s="45">
        <f>IF(COUNT(L30)=1,SUM(L20,L21,L22,L23,L24,L25,L26,L27,L28,L29)-L30,"")</f>
        <v/>
      </c>
      <c r="M31" s="45">
        <f>IF(COUNT(M30)=1,SUM(M20,M21,M22,M23,M24,M25,M26,M27,M28,M29)-M30,"")</f>
        <v/>
      </c>
      <c r="N31" s="45">
        <f>IF(COUNT(N30)=1,SUM(N20,N21,N22,N23,N24,N25,N26,N27,N28,N29)-N30,"")</f>
        <v/>
      </c>
      <c r="O31" s="45">
        <f>IF(COUNT(O30)=1,SUM(O20,O21,O22,O23,O24,O25,O26,O27,O28,O29)-O30,"")</f>
        <v/>
      </c>
      <c r="P31" s="45">
        <f>IF(COUNT(P30)=1,SUM(P20,P21,P22,P23,P24,P25,P26,P27,P28,P29)-P30,"")</f>
        <v/>
      </c>
      <c r="Q31" s="45">
        <f>IF(COUNT(Q30)=1,SUM(Q20,Q21,Q22,Q23,Q24,Q25,Q26,Q27,Q28,Q29)-Q30,"")</f>
        <v/>
      </c>
      <c r="R31" s="45">
        <f>IF(COUNT(R30)=1,SUM(R20,R21,R22,R23,R24,R25,R26,R27,R28,R29)-R30,"")</f>
        <v/>
      </c>
      <c r="S31" s="45">
        <f>IF(COUNT(S30)=1,SUM(S20,S21,S22,S23,S24,S25,S26,S27,S28,S29)-S30,"")</f>
        <v/>
      </c>
      <c r="T31" s="45">
        <f>IF(COUNT(T30)=1,SUM(T20,T21,T22,T23,T24,T25,T26,T27,T28,T29)-T30,"")</f>
        <v/>
      </c>
      <c r="U31" s="45">
        <f>IF(COUNT(U30)=1,SUM(U20,U21,U22,U23,U24,U25,U26,U27,U28,U29)-U30,"")</f>
        <v/>
      </c>
      <c r="V31" s="45">
        <f>IF(COUNT(V30)=1,SUM(V20,V21,V22,V23,V24,V25,V26,V27,V28,V29)-V30,"")</f>
        <v/>
      </c>
      <c r="W31" s="45">
        <f>IF(COUNT(W30)=1,SUM(W20,W21,W22,W23,W24,W25,W26,W27,W28,W29)-W30,"")</f>
        <v/>
      </c>
      <c r="X31" s="45">
        <f>IF(COUNT(X30)=1,SUM(X20,X21,X22,X23,X24,X25,X26,X27,X28,X29)-X30,"")</f>
        <v/>
      </c>
      <c r="Y31" s="45">
        <f>IF(COUNT(Y30)=1,SUM(Y20,Y21,Y22,Y23,Y24,Y25,Y26,Y27,Y28,Y29)-Y30,"")</f>
        <v/>
      </c>
      <c r="Z31" s="45">
        <f>IF(COUNT(Z30)=1,SUM(Z20,Z21,Z22,Z23,Z24,Z25,Z26,Z27,Z28,Z29)-Z30,"")</f>
        <v/>
      </c>
      <c r="AA31" s="45">
        <f>IF(COUNT(AA30)=1,SUM(AA20,AA21,AA22,AA23,AA24,AA25,AA26,AA27,AA28,AA29)-AA30,"")</f>
        <v/>
      </c>
      <c r="AC31" s="45">
        <f>IF(COUNT(AC30)=1,SUM(AC20,AC21,AC22,AC23,AC24,AC25,AC26,AC27,AC28,AC29)-AC30,"")</f>
        <v/>
      </c>
      <c r="AD31" s="45">
        <f>IF(COUNT(AD30)=1,SUM(AD20,AD21,AD22,AD23,AD24,AD25,AD26,AD27,AD28,AD29)-AD30,"")</f>
        <v/>
      </c>
      <c r="AE31" s="45">
        <f>IF(COUNT(AE30)=1,SUM(AE20,AE21,AE22,AE23,AE24,AE25,AE26,AE27,AE28,AE29)-AE30,"")</f>
        <v/>
      </c>
      <c r="AF31" s="45">
        <f>IF(COUNT(AF30)=1,SUM(AF20,AF21,AF22,AF23,AF24,AF25,AF26,AF27,AF28,AF29)-AF30,"")</f>
        <v/>
      </c>
      <c r="AG31" s="45">
        <f>IF(COUNT(AG30)=1,SUM(AG20,AG21,AG22,AG23,AG24,AG25,AG26,AG27,AG28,AG29)-AG30,"")</f>
        <v/>
      </c>
      <c r="AH31" s="45">
        <f>IF(COUNT(AH30)=1,SUM(AH20,AH21,AH22,AH23,AH24,AH25,AH26,AH27,AH28,AH29)-AH30,"")</f>
        <v/>
      </c>
      <c r="AI31" s="45">
        <f>IF(COUNT(AI30)=1,SUM(AI20,AI21,AI22,AI23,AI24,AI25,AI26,AI27,AI28,AI29)-AI30,"")</f>
        <v/>
      </c>
      <c r="AK31" s="6" t="s">
        <v>491</v>
      </c>
    </row>
    <row r="33" spans="1:37">
      <c r="A33" s="5" t="s">
        <v>492</v>
      </c>
    </row>
    <row r="34" spans="1:37">
      <c r="A34" s="42" t="s">
        <v>479</v>
      </c>
      <c r="J34" s="45">
        <v>599000000</v>
      </c>
      <c r="K34" s="45">
        <v>712000000</v>
      </c>
      <c r="L34" s="45">
        <v>833000000</v>
      </c>
      <c r="N34" s="45">
        <v>1015000000</v>
      </c>
      <c r="O34" s="45">
        <v>1017000000</v>
      </c>
      <c r="P34" s="45">
        <v>1150000000</v>
      </c>
      <c r="Q34" s="45">
        <v>1587000000</v>
      </c>
      <c r="R34" s="45">
        <v>1009000000</v>
      </c>
      <c r="S34" s="45">
        <v>939000000</v>
      </c>
      <c r="T34" s="45">
        <v>1071000000</v>
      </c>
      <c r="U34" s="45">
        <v>1154000000</v>
      </c>
      <c r="V34" s="45">
        <v>1060000000</v>
      </c>
      <c r="W34" s="45">
        <v>939000000</v>
      </c>
      <c r="X34" s="45">
        <v>846000000</v>
      </c>
      <c r="Y34" s="45">
        <v>852000000</v>
      </c>
      <c r="Z34" s="45">
        <v>828000000</v>
      </c>
      <c r="AA34" s="45">
        <v>1484000000</v>
      </c>
      <c r="AD34" s="45">
        <v>886000000</v>
      </c>
      <c r="AE34" s="45">
        <v>2168000000</v>
      </c>
      <c r="AF34" s="45">
        <v>3378000000</v>
      </c>
      <c r="AG34" s="45">
        <v>4717000000</v>
      </c>
      <c r="AH34" s="45">
        <v>4177000000</v>
      </c>
      <c r="AI34" s="45">
        <v>3697000000</v>
      </c>
    </row>
    <row r="35" spans="1:37">
      <c r="A35" s="42" t="s">
        <v>480</v>
      </c>
      <c r="R35" s="45">
        <v>214000000</v>
      </c>
      <c r="U35" s="45">
        <v>345000000</v>
      </c>
      <c r="V35" s="45">
        <v>213000000</v>
      </c>
      <c r="W35" s="45">
        <v>287000000</v>
      </c>
      <c r="X35" s="45">
        <v>249000000</v>
      </c>
      <c r="Y35" s="45">
        <v>275000000</v>
      </c>
      <c r="Z35" s="45">
        <v>169000000</v>
      </c>
      <c r="AA35" s="45">
        <v>241000000</v>
      </c>
      <c r="AG35" s="45">
        <v>1285000000</v>
      </c>
      <c r="AH35" s="45">
        <v>1233000000</v>
      </c>
      <c r="AI35" s="45">
        <v>1024000000</v>
      </c>
    </row>
    <row r="36" spans="1:37">
      <c r="A36" s="42" t="s">
        <v>481</v>
      </c>
      <c r="N36" s="45">
        <v>214000000</v>
      </c>
      <c r="O36" s="45">
        <v>281000000</v>
      </c>
      <c r="Q36" s="45">
        <v>323000000</v>
      </c>
      <c r="S36" s="45">
        <v>317000000</v>
      </c>
      <c r="T36" s="45">
        <v>320000000</v>
      </c>
      <c r="AD36" s="45">
        <v>319000000</v>
      </c>
      <c r="AE36" s="45">
        <v>406000000</v>
      </c>
      <c r="AF36" s="45">
        <v>837000000</v>
      </c>
    </row>
    <row r="37" spans="1:37">
      <c r="A37" s="42" t="s">
        <v>482</v>
      </c>
      <c r="J37" s="45">
        <v>97000000</v>
      </c>
      <c r="K37" s="45">
        <v>146000000</v>
      </c>
      <c r="L37" s="45">
        <v>202000000</v>
      </c>
      <c r="P37" s="45">
        <v>301000000</v>
      </c>
    </row>
    <row r="38" spans="1:37">
      <c r="A38" s="42" t="s">
        <v>483</v>
      </c>
      <c r="J38" s="45">
        <v>6000000</v>
      </c>
      <c r="K38" s="45">
        <v>20000000</v>
      </c>
      <c r="L38" s="45">
        <v>20000000</v>
      </c>
      <c r="P38" s="45">
        <v>21000000</v>
      </c>
    </row>
    <row r="39" spans="1:37">
      <c r="A39" s="42" t="s">
        <v>484</v>
      </c>
      <c r="J39" s="45">
        <v>5000000</v>
      </c>
      <c r="K39" s="45">
        <v>11000000</v>
      </c>
      <c r="L39" s="45">
        <v>27000000</v>
      </c>
      <c r="N39" s="45">
        <v>52000000</v>
      </c>
      <c r="O39" s="45">
        <v>45000000</v>
      </c>
      <c r="P39" s="45">
        <v>39000000</v>
      </c>
      <c r="Q39" s="45">
        <v>42000000</v>
      </c>
      <c r="S39" s="45">
        <v>17000000</v>
      </c>
      <c r="T39" s="45">
        <v>45000000</v>
      </c>
      <c r="AD39" s="45">
        <v>58000000</v>
      </c>
      <c r="AE39" s="45">
        <v>27000000</v>
      </c>
      <c r="AF39" s="45">
        <v>78000000</v>
      </c>
    </row>
    <row r="40" spans="1:37">
      <c r="A40" s="42" t="s">
        <v>485</v>
      </c>
      <c r="U40" s="45">
        <v>18000000</v>
      </c>
      <c r="V40" s="45">
        <v>3000000</v>
      </c>
      <c r="W40" s="45">
        <v>14000000</v>
      </c>
      <c r="X40" s="45">
        <v>9000000</v>
      </c>
      <c r="Y40" s="45">
        <v>16000000</v>
      </c>
      <c r="Z40" s="45">
        <v>18000000</v>
      </c>
      <c r="AA40" s="45">
        <v>23000000</v>
      </c>
      <c r="AG40" s="45">
        <v>14000000</v>
      </c>
      <c r="AH40" s="45">
        <v>26000000</v>
      </c>
      <c r="AI40" s="45">
        <v>42000000</v>
      </c>
    </row>
    <row r="41" spans="1:37">
      <c r="A41" s="42" t="s">
        <v>486</v>
      </c>
      <c r="R41" s="45">
        <v>5000000</v>
      </c>
      <c r="U41" s="45">
        <v>14000000</v>
      </c>
      <c r="V41" s="45">
        <v>10000000</v>
      </c>
      <c r="W41" s="45">
        <v>8000000</v>
      </c>
      <c r="X41" s="45">
        <v>7000000</v>
      </c>
      <c r="Y41" s="45">
        <v>13000000</v>
      </c>
      <c r="Z41" s="45">
        <v>9000000</v>
      </c>
      <c r="AA41" s="45">
        <v>8000000</v>
      </c>
      <c r="AG41" s="45">
        <v>24000000</v>
      </c>
      <c r="AH41" s="45">
        <v>37000000</v>
      </c>
      <c r="AI41" s="45">
        <v>38000000</v>
      </c>
    </row>
    <row r="42" spans="1:37">
      <c r="A42" s="42" t="s">
        <v>487</v>
      </c>
      <c r="J42" s="45">
        <v>23000000</v>
      </c>
      <c r="K42" s="45">
        <v>15000000</v>
      </c>
      <c r="L42" s="45">
        <v>55000000</v>
      </c>
      <c r="N42" s="45">
        <v>17000000</v>
      </c>
      <c r="O42" s="45">
        <v>31000000</v>
      </c>
      <c r="P42" s="45">
        <v>35000000</v>
      </c>
      <c r="Q42" s="45">
        <v>21000000</v>
      </c>
      <c r="R42" s="45">
        <v>24000000</v>
      </c>
      <c r="S42" s="45">
        <v>21000000</v>
      </c>
      <c r="T42" s="45">
        <v>30000000</v>
      </c>
      <c r="U42" s="45">
        <v>57000000</v>
      </c>
      <c r="V42" s="45">
        <v>20000000</v>
      </c>
      <c r="W42" s="45">
        <v>26000000</v>
      </c>
      <c r="X42" s="45">
        <v>33000000</v>
      </c>
      <c r="Y42" s="45">
        <v>29000000</v>
      </c>
      <c r="Z42" s="45">
        <v>12000000</v>
      </c>
      <c r="AA42" s="45">
        <v>32000000</v>
      </c>
      <c r="AD42" s="45">
        <v>62000000</v>
      </c>
      <c r="AE42" s="45">
        <v>65000000</v>
      </c>
      <c r="AF42" s="45">
        <v>166000000</v>
      </c>
      <c r="AG42" s="45">
        <v>151000000</v>
      </c>
      <c r="AH42" s="45">
        <v>127000000</v>
      </c>
      <c r="AI42" s="45">
        <v>108000000</v>
      </c>
    </row>
    <row r="43" spans="1:37">
      <c r="A43" s="47" t="s">
        <v>489</v>
      </c>
      <c r="J43" s="48">
        <v>730000000</v>
      </c>
      <c r="K43" s="48">
        <v>904000000</v>
      </c>
      <c r="L43" s="48">
        <v>1137000000</v>
      </c>
      <c r="M43" s="48">
        <v>1688000000</v>
      </c>
      <c r="N43" s="48">
        <v>1298000000</v>
      </c>
      <c r="O43" s="48">
        <v>1374000000</v>
      </c>
      <c r="P43" s="48">
        <v>1546000000</v>
      </c>
      <c r="Q43" s="48">
        <v>1973000000</v>
      </c>
      <c r="R43" s="48">
        <v>1252000000</v>
      </c>
      <c r="S43" s="48">
        <v>1294000000</v>
      </c>
      <c r="T43" s="48">
        <v>1466000000</v>
      </c>
      <c r="U43" s="48">
        <v>1588000000</v>
      </c>
      <c r="V43" s="48">
        <v>1306000000</v>
      </c>
      <c r="W43" s="48">
        <v>1274000000</v>
      </c>
      <c r="X43" s="48">
        <v>1144000000</v>
      </c>
      <c r="Y43" s="48">
        <v>1185000000</v>
      </c>
      <c r="Z43" s="48">
        <v>1036000000</v>
      </c>
      <c r="AA43" s="48">
        <v>1788000000</v>
      </c>
      <c r="AD43" s="48">
        <v>1325000000</v>
      </c>
      <c r="AE43" s="48">
        <v>2666000000</v>
      </c>
      <c r="AF43" s="48">
        <v>4459000000</v>
      </c>
      <c r="AG43" s="48">
        <v>6191000000</v>
      </c>
      <c r="AH43" s="48">
        <v>5600000000</v>
      </c>
      <c r="AI43" s="48">
        <v>4909000000</v>
      </c>
    </row>
    <row r="44" spans="1:37">
      <c r="A44" s="6" t="s">
        <v>490</v>
      </c>
      <c r="B44" s="45">
        <f>IF(COUNT(B43)=1,SUM(B34,B35,B36,B37,B38,B39,B40,B41,B42)-B43,"")</f>
        <v/>
      </c>
      <c r="C44" s="45">
        <f>IF(COUNT(C43)=1,SUM(C34,C35,C36,C37,C38,C39,C40,C41,C42)-C43,"")</f>
        <v/>
      </c>
      <c r="D44" s="45">
        <f>IF(COUNT(D43)=1,SUM(D34,D35,D36,D37,D38,D39,D40,D41,D42)-D43,"")</f>
        <v/>
      </c>
      <c r="E44" s="45">
        <f>IF(COUNT(E43)=1,SUM(E34,E35,E36,E37,E38,E39,E40,E41,E42)-E43,"")</f>
        <v/>
      </c>
      <c r="F44" s="45">
        <f>IF(COUNT(F43)=1,SUM(F34,F35,F36,F37,F38,F39,F40,F41,F42)-F43,"")</f>
        <v/>
      </c>
      <c r="G44" s="45">
        <f>IF(COUNT(G43)=1,SUM(G34,G35,G36,G37,G38,G39,G40,G41,G42)-G43,"")</f>
        <v/>
      </c>
      <c r="H44" s="45">
        <f>IF(COUNT(H43)=1,SUM(H34,H35,H36,H37,H38,H39,H40,H41,H42)-H43,"")</f>
        <v/>
      </c>
      <c r="I44" s="45">
        <f>IF(COUNT(I43)=1,SUM(I34,I35,I36,I37,I38,I39,I40,I41,I42)-I43,"")</f>
        <v/>
      </c>
      <c r="J44" s="45">
        <f>IF(COUNT(J43)=1,SUM(J34,J35,J36,J37,J38,J39,J40,J41,J42)-J43,"")</f>
        <v/>
      </c>
      <c r="K44" s="45">
        <f>IF(COUNT(K43)=1,SUM(K34,K35,K36,K37,K38,K39,K40,K41,K42)-K43,"")</f>
        <v/>
      </c>
      <c r="L44" s="45">
        <f>IF(COUNT(L43)=1,SUM(L34,L35,L36,L37,L38,L39,L40,L41,L42)-L43,"")</f>
        <v/>
      </c>
      <c r="M44" s="45">
        <f>IF(COUNT(M43)=1,SUM(M34,M35,M36,M37,M38,M39,M40,M41,M42)-M43,"")</f>
        <v/>
      </c>
      <c r="N44" s="45">
        <f>IF(COUNT(N43)=1,SUM(N34,N35,N36,N37,N38,N39,N40,N41,N42)-N43,"")</f>
        <v/>
      </c>
      <c r="O44" s="45">
        <f>IF(COUNT(O43)=1,SUM(O34,O35,O36,O37,O38,O39,O40,O41,O42)-O43,"")</f>
        <v/>
      </c>
      <c r="P44" s="45">
        <f>IF(COUNT(P43)=1,SUM(P34,P35,P36,P37,P38,P39,P40,P41,P42)-P43,"")</f>
        <v/>
      </c>
      <c r="Q44" s="45">
        <f>IF(COUNT(Q43)=1,SUM(Q34,Q35,Q36,Q37,Q38,Q39,Q40,Q41,Q42)-Q43,"")</f>
        <v/>
      </c>
      <c r="R44" s="45">
        <f>IF(COUNT(R43)=1,SUM(R34,R35,R36,R37,R38,R39,R40,R41,R42)-R43,"")</f>
        <v/>
      </c>
      <c r="S44" s="45">
        <f>IF(COUNT(S43)=1,SUM(S34,S35,S36,S37,S38,S39,S40,S41,S42)-S43,"")</f>
        <v/>
      </c>
      <c r="T44" s="45">
        <f>IF(COUNT(T43)=1,SUM(T34,T35,T36,T37,T38,T39,T40,T41,T42)-T43,"")</f>
        <v/>
      </c>
      <c r="U44" s="45">
        <f>IF(COUNT(U43)=1,SUM(U34,U35,U36,U37,U38,U39,U40,U41,U42)-U43,"")</f>
        <v/>
      </c>
      <c r="V44" s="45">
        <f>IF(COUNT(V43)=1,SUM(V34,V35,V36,V37,V38,V39,V40,V41,V42)-V43,"")</f>
        <v/>
      </c>
      <c r="W44" s="45">
        <f>IF(COUNT(W43)=1,SUM(W34,W35,W36,W37,W38,W39,W40,W41,W42)-W43,"")</f>
        <v/>
      </c>
      <c r="X44" s="45">
        <f>IF(COUNT(X43)=1,SUM(X34,X35,X36,X37,X38,X39,X40,X41,X42)-X43,"")</f>
        <v/>
      </c>
      <c r="Y44" s="45">
        <f>IF(COUNT(Y43)=1,SUM(Y34,Y35,Y36,Y37,Y38,Y39,Y40,Y41,Y42)-Y43,"")</f>
        <v/>
      </c>
      <c r="Z44" s="45">
        <f>IF(COUNT(Z43)=1,SUM(Z34,Z35,Z36,Z37,Z38,Z39,Z40,Z41,Z42)-Z43,"")</f>
        <v/>
      </c>
      <c r="AA44" s="45">
        <f>IF(COUNT(AA43)=1,SUM(AA34,AA35,AA36,AA37,AA38,AA39,AA40,AA41,AA42)-AA43,"")</f>
        <v/>
      </c>
      <c r="AC44" s="45">
        <f>IF(COUNT(AC43)=1,SUM(AC34,AC35,AC36,AC37,AC38,AC39,AC40,AC41,AC42)-AC43,"")</f>
        <v/>
      </c>
      <c r="AD44" s="45">
        <f>IF(COUNT(AD43)=1,SUM(AD34,AD35,AD36,AD37,AD38,AD39,AD40,AD41,AD42)-AD43,"")</f>
        <v/>
      </c>
      <c r="AE44" s="45">
        <f>IF(COUNT(AE43)=1,SUM(AE34,AE35,AE36,AE37,AE38,AE39,AE40,AE41,AE42)-AE43,"")</f>
        <v/>
      </c>
      <c r="AF44" s="45">
        <f>IF(COUNT(AF43)=1,SUM(AF34,AF35,AF36,AF37,AF38,AF39,AF40,AF41,AF42)-AF43,"")</f>
        <v/>
      </c>
      <c r="AG44" s="45">
        <f>IF(COUNT(AG43)=1,SUM(AG34,AG35,AG36,AG37,AG38,AG39,AG40,AG41,AG42)-AG43,"")</f>
        <v/>
      </c>
      <c r="AH44" s="45">
        <f>IF(COUNT(AH43)=1,SUM(AH34,AH35,AH36,AH37,AH38,AH39,AH40,AH41,AH42)-AH43,"")</f>
        <v/>
      </c>
      <c r="AI44" s="45">
        <f>IF(COUNT(AI43)=1,SUM(AI34,AI35,AI36,AI37,AI38,AI39,AI40,AI41,AI42)-AI43,"")</f>
        <v/>
      </c>
      <c r="AK44" s="6" t="s">
        <v>491</v>
      </c>
    </row>
    <row r="46" spans="1:37">
      <c r="A46" s="5" t="s">
        <v>493</v>
      </c>
    </row>
    <row r="47" spans="1:37">
      <c r="A47" s="42" t="s">
        <v>479</v>
      </c>
      <c r="B47" s="45">
        <v>573065122.2274939</v>
      </c>
      <c r="C47" s="45">
        <v>475910778.4130749</v>
      </c>
      <c r="D47" s="45">
        <v>473817861.0888625</v>
      </c>
      <c r="E47" s="45">
        <v>326364975.3510705</v>
      </c>
      <c r="F47" s="45">
        <v>550173873.3961705</v>
      </c>
      <c r="G47" s="45">
        <v>630876832.2115111</v>
      </c>
      <c r="H47" s="45">
        <v>572220644.8334334</v>
      </c>
      <c r="I47" s="45">
        <v>496781649.7292839</v>
      </c>
      <c r="J47" s="45">
        <v>446000000</v>
      </c>
      <c r="K47" s="45">
        <v>475000000</v>
      </c>
      <c r="L47" s="45">
        <v>508000000</v>
      </c>
      <c r="N47" s="45">
        <v>568000000</v>
      </c>
      <c r="O47" s="45">
        <v>636000000</v>
      </c>
      <c r="P47" s="45">
        <v>661000000</v>
      </c>
      <c r="Q47" s="45">
        <v>583000000</v>
      </c>
      <c r="R47" s="45">
        <v>431000000</v>
      </c>
      <c r="S47" s="45">
        <v>415000000</v>
      </c>
      <c r="T47" s="45">
        <v>428000000</v>
      </c>
      <c r="U47" s="45">
        <v>530000000</v>
      </c>
      <c r="V47" s="45">
        <v>561000000</v>
      </c>
      <c r="W47" s="45">
        <v>548000000</v>
      </c>
      <c r="X47" s="45">
        <v>582000000</v>
      </c>
      <c r="Y47" s="45">
        <v>508000000</v>
      </c>
      <c r="Z47" s="45">
        <v>480000000</v>
      </c>
      <c r="AA47" s="45">
        <v>590000000</v>
      </c>
      <c r="AC47" s="45">
        <v>2489209097.432118</v>
      </c>
      <c r="AD47" s="45">
        <v>1854000000</v>
      </c>
      <c r="AE47" s="45">
        <v>2259000000</v>
      </c>
      <c r="AF47" s="45">
        <v>1935000000</v>
      </c>
      <c r="AG47" s="45">
        <v>2437000000</v>
      </c>
      <c r="AH47" s="45">
        <v>1809000000</v>
      </c>
      <c r="AI47" s="45">
        <v>2199000000</v>
      </c>
    </row>
    <row r="48" spans="1:37">
      <c r="A48" s="42" t="s">
        <v>480</v>
      </c>
      <c r="R48" s="45">
        <v>118000000</v>
      </c>
      <c r="U48" s="45">
        <v>151000000</v>
      </c>
      <c r="V48" s="45">
        <v>125000000</v>
      </c>
      <c r="W48" s="45">
        <v>127000000</v>
      </c>
      <c r="X48" s="45">
        <v>140000000</v>
      </c>
      <c r="Y48" s="45">
        <v>147000000</v>
      </c>
      <c r="Z48" s="45">
        <v>137000000</v>
      </c>
      <c r="AA48" s="45">
        <v>141000000</v>
      </c>
      <c r="AG48" s="45">
        <v>486000000</v>
      </c>
      <c r="AH48" s="45">
        <v>516000000</v>
      </c>
      <c r="AI48" s="45">
        <v>539000000</v>
      </c>
    </row>
    <row r="49" spans="1:37">
      <c r="A49" s="42" t="s">
        <v>481</v>
      </c>
      <c r="B49" s="45">
        <v>113961721.5647174</v>
      </c>
      <c r="C49" s="45">
        <v>114286127.6099494</v>
      </c>
      <c r="D49" s="45">
        <v>142736623.5903594</v>
      </c>
      <c r="E49" s="45">
        <v>114097105.3751569</v>
      </c>
      <c r="F49" s="45">
        <v>110877511.5474398</v>
      </c>
      <c r="G49" s="45">
        <v>114347822.8551613</v>
      </c>
      <c r="H49" s="45">
        <v>114804242.6512892</v>
      </c>
      <c r="I49" s="45">
        <v>116433665.7559748</v>
      </c>
      <c r="N49" s="45">
        <v>114000000</v>
      </c>
      <c r="O49" s="45">
        <v>118000000</v>
      </c>
      <c r="Q49" s="45">
        <v>118000000</v>
      </c>
      <c r="S49" s="45">
        <v>115000000</v>
      </c>
      <c r="T49" s="45">
        <v>119000000</v>
      </c>
      <c r="AC49" s="45">
        <v>432211342.5198858</v>
      </c>
      <c r="AD49" s="45">
        <v>484000000</v>
      </c>
      <c r="AE49" s="45">
        <v>456000000</v>
      </c>
      <c r="AF49" s="45">
        <v>477000000</v>
      </c>
    </row>
    <row r="50" spans="1:37">
      <c r="A50" s="42" t="s">
        <v>482</v>
      </c>
      <c r="J50" s="45">
        <v>99000000</v>
      </c>
      <c r="K50" s="45">
        <v>102000000</v>
      </c>
      <c r="L50" s="45">
        <v>104000000</v>
      </c>
      <c r="P50" s="45">
        <v>101000000</v>
      </c>
    </row>
    <row r="51" spans="1:37">
      <c r="A51" s="42" t="s">
        <v>483</v>
      </c>
      <c r="J51" s="45">
        <v>13000000</v>
      </c>
      <c r="K51" s="45">
        <v>14000000</v>
      </c>
      <c r="L51" s="45">
        <v>14000000</v>
      </c>
      <c r="P51" s="45">
        <v>13000000</v>
      </c>
    </row>
    <row r="52" spans="1:37">
      <c r="A52" s="42" t="s">
        <v>484</v>
      </c>
      <c r="B52" s="45">
        <v>6594441.66791121</v>
      </c>
      <c r="C52" s="45">
        <v>6591151.734892108</v>
      </c>
      <c r="D52" s="45">
        <v>6513476.461551843</v>
      </c>
      <c r="E52" s="45">
        <v>6638058.831402246</v>
      </c>
      <c r="F52" s="45">
        <v>6597296.662629123</v>
      </c>
      <c r="G52" s="45">
        <v>7056930.703990684</v>
      </c>
      <c r="H52" s="45">
        <v>7706432.850494321</v>
      </c>
      <c r="I52" s="45">
        <v>8102676.235390566</v>
      </c>
      <c r="J52" s="45">
        <v>14000000</v>
      </c>
      <c r="K52" s="45">
        <v>12000000</v>
      </c>
      <c r="L52" s="45">
        <v>11000000</v>
      </c>
      <c r="N52" s="45">
        <v>12000000</v>
      </c>
      <c r="O52" s="45">
        <v>20000000</v>
      </c>
      <c r="P52" s="45">
        <v>8000000</v>
      </c>
      <c r="Q52" s="45">
        <v>4000000</v>
      </c>
      <c r="S52" s="45">
        <v>14000000</v>
      </c>
      <c r="T52" s="45">
        <v>15000000</v>
      </c>
      <c r="AC52" s="45">
        <v>28627119.92273024</v>
      </c>
      <c r="AD52" s="45">
        <v>23000000</v>
      </c>
      <c r="AE52" s="45">
        <v>28000000</v>
      </c>
      <c r="AF52" s="45">
        <v>48000000</v>
      </c>
    </row>
    <row r="53" spans="1:37">
      <c r="A53" s="42" t="s">
        <v>485</v>
      </c>
      <c r="U53" s="45">
        <v>1000000</v>
      </c>
      <c r="V53" s="45">
        <v>1000000</v>
      </c>
      <c r="W53" s="45">
        <v>0</v>
      </c>
      <c r="X53" s="45">
        <v>1000000</v>
      </c>
      <c r="Y53" s="45">
        <v>0</v>
      </c>
      <c r="Z53" s="45">
        <v>1000000</v>
      </c>
      <c r="AA53" s="45">
        <v>33000000</v>
      </c>
      <c r="AG53" s="45">
        <v>10000000</v>
      </c>
      <c r="AH53" s="45">
        <v>2000000</v>
      </c>
      <c r="AI53" s="45">
        <v>2000000</v>
      </c>
    </row>
    <row r="54" spans="1:37">
      <c r="A54" s="42" t="s">
        <v>486</v>
      </c>
      <c r="R54" s="45">
        <v>8000000</v>
      </c>
      <c r="U54" s="45">
        <v>8000000</v>
      </c>
      <c r="V54" s="45">
        <v>10000000</v>
      </c>
      <c r="W54" s="45">
        <v>8000000</v>
      </c>
      <c r="X54" s="45">
        <v>7000000</v>
      </c>
      <c r="Y54" s="45">
        <v>9000000</v>
      </c>
      <c r="Z54" s="45">
        <v>11000000</v>
      </c>
      <c r="AA54" s="45">
        <v>6000000</v>
      </c>
      <c r="AG54" s="45">
        <v>15000000</v>
      </c>
      <c r="AH54" s="45">
        <v>32000000</v>
      </c>
      <c r="AI54" s="45">
        <v>34000000</v>
      </c>
    </row>
    <row r="55" spans="1:37">
      <c r="A55" s="42" t="s">
        <v>487</v>
      </c>
      <c r="B55" s="45">
        <v>16885027.1842566</v>
      </c>
      <c r="C55" s="45">
        <v>39161809.40911176</v>
      </c>
      <c r="D55" s="45">
        <v>23841781.76492561</v>
      </c>
      <c r="E55" s="45">
        <v>21751831.19894521</v>
      </c>
      <c r="F55" s="45">
        <v>20040418.28682203</v>
      </c>
      <c r="G55" s="45">
        <v>19957383.21264334</v>
      </c>
      <c r="H55" s="45">
        <v>20845437.85727836</v>
      </c>
      <c r="I55" s="45">
        <v>22824860.69748227</v>
      </c>
      <c r="J55" s="45">
        <v>17000000</v>
      </c>
      <c r="K55" s="45">
        <v>26000000</v>
      </c>
      <c r="L55" s="45">
        <v>20000000</v>
      </c>
      <c r="N55" s="45">
        <v>15000000</v>
      </c>
      <c r="O55" s="45">
        <v>17000000</v>
      </c>
      <c r="P55" s="45">
        <v>15000000</v>
      </c>
      <c r="Q55" s="45">
        <v>13000000</v>
      </c>
      <c r="R55" s="45">
        <v>19000000</v>
      </c>
      <c r="S55" s="45">
        <v>17000000</v>
      </c>
      <c r="T55" s="45">
        <v>33000000</v>
      </c>
      <c r="U55" s="45">
        <v>24000000</v>
      </c>
      <c r="V55" s="45">
        <v>21000000</v>
      </c>
      <c r="W55" s="45">
        <v>21000000</v>
      </c>
      <c r="X55" s="45">
        <v>20000000</v>
      </c>
      <c r="Y55" s="45">
        <v>21000000</v>
      </c>
      <c r="Z55" s="45">
        <v>24000000</v>
      </c>
      <c r="AA55" s="45">
        <v>18000000</v>
      </c>
      <c r="AC55" s="45">
        <v>80812406.74849102</v>
      </c>
      <c r="AD55" s="45">
        <v>99000000</v>
      </c>
      <c r="AE55" s="45">
        <v>73000000</v>
      </c>
      <c r="AF55" s="45">
        <v>91000000</v>
      </c>
      <c r="AG55" s="45">
        <v>68000000</v>
      </c>
      <c r="AH55" s="45">
        <v>87000000</v>
      </c>
      <c r="AI55" s="45">
        <v>83000000</v>
      </c>
    </row>
    <row r="56" spans="1:37">
      <c r="A56" s="47" t="s">
        <v>489</v>
      </c>
      <c r="B56" s="48">
        <v>710506312.6443791</v>
      </c>
      <c r="C56" s="48">
        <v>635949867.1670282</v>
      </c>
      <c r="D56" s="48">
        <v>646909742.9056993</v>
      </c>
      <c r="E56" s="48">
        <v>468851970.7565748</v>
      </c>
      <c r="F56" s="48">
        <v>687689099.8930614</v>
      </c>
      <c r="G56" s="48">
        <v>772238968.9833063</v>
      </c>
      <c r="H56" s="48">
        <v>715576758.1924953</v>
      </c>
      <c r="I56" s="48">
        <v>644142852.4181315</v>
      </c>
      <c r="J56" s="48">
        <v>589000000</v>
      </c>
      <c r="K56" s="48">
        <v>629000000</v>
      </c>
      <c r="L56" s="48">
        <v>657000000</v>
      </c>
      <c r="M56" s="48">
        <v>676000000</v>
      </c>
      <c r="N56" s="48">
        <v>709000000</v>
      </c>
      <c r="O56" s="48">
        <v>791000000</v>
      </c>
      <c r="P56" s="48">
        <v>798000000</v>
      </c>
      <c r="Q56" s="48">
        <v>718000000</v>
      </c>
      <c r="R56" s="48">
        <v>576000000</v>
      </c>
      <c r="S56" s="48">
        <v>561000000</v>
      </c>
      <c r="T56" s="48">
        <v>595000000</v>
      </c>
      <c r="U56" s="48">
        <v>714000000</v>
      </c>
      <c r="V56" s="48">
        <v>718000000</v>
      </c>
      <c r="W56" s="48">
        <v>704000000</v>
      </c>
      <c r="X56" s="48">
        <v>750000000</v>
      </c>
      <c r="Y56" s="48">
        <v>685000000</v>
      </c>
      <c r="Z56" s="48">
        <v>653000000</v>
      </c>
      <c r="AA56" s="48">
        <v>788000000</v>
      </c>
      <c r="AC56" s="48">
        <v>3030859966.623226</v>
      </c>
      <c r="AD56" s="48">
        <v>2460000000</v>
      </c>
      <c r="AE56" s="48">
        <v>2816000000</v>
      </c>
      <c r="AF56" s="48">
        <v>2551000000</v>
      </c>
      <c r="AG56" s="48">
        <v>3016000000</v>
      </c>
      <c r="AH56" s="48">
        <v>2446000000</v>
      </c>
      <c r="AI56" s="48">
        <v>2857000000</v>
      </c>
    </row>
    <row r="57" spans="1:37">
      <c r="A57" s="6" t="s">
        <v>490</v>
      </c>
      <c r="B57" s="45">
        <f>IF(COUNT(B56)=1,SUM(B47,B48,B49,B50,B51,B52,B53,B54,B55)-B56,"")</f>
        <v/>
      </c>
      <c r="C57" s="45">
        <f>IF(COUNT(C56)=1,SUM(C47,C48,C49,C50,C51,C52,C53,C54,C55)-C56,"")</f>
        <v/>
      </c>
      <c r="D57" s="45">
        <f>IF(COUNT(D56)=1,SUM(D47,D48,D49,D50,D51,D52,D53,D54,D55)-D56,"")</f>
        <v/>
      </c>
      <c r="E57" s="45">
        <f>IF(COUNT(E56)=1,SUM(E47,E48,E49,E50,E51,E52,E53,E54,E55)-E56,"")</f>
        <v/>
      </c>
      <c r="F57" s="45">
        <f>IF(COUNT(F56)=1,SUM(F47,F48,F49,F50,F51,F52,F53,F54,F55)-F56,"")</f>
        <v/>
      </c>
      <c r="G57" s="45">
        <f>IF(COUNT(G56)=1,SUM(G47,G48,G49,G50,G51,G52,G53,G54,G55)-G56,"")</f>
        <v/>
      </c>
      <c r="H57" s="45">
        <f>IF(COUNT(H56)=1,SUM(H47,H48,H49,H50,H51,H52,H53,H54,H55)-H56,"")</f>
        <v/>
      </c>
      <c r="I57" s="45">
        <f>IF(COUNT(I56)=1,SUM(I47,I48,I49,I50,I51,I52,I53,I54,I55)-I56,"")</f>
        <v/>
      </c>
      <c r="J57" s="45">
        <f>IF(COUNT(J56)=1,SUM(J47,J48,J49,J50,J51,J52,J53,J54,J55)-J56,"")</f>
        <v/>
      </c>
      <c r="K57" s="45">
        <f>IF(COUNT(K56)=1,SUM(K47,K48,K49,K50,K51,K52,K53,K54,K55)-K56,"")</f>
        <v/>
      </c>
      <c r="L57" s="45">
        <f>IF(COUNT(L56)=1,SUM(L47,L48,L49,L50,L51,L52,L53,L54,L55)-L56,"")</f>
        <v/>
      </c>
      <c r="M57" s="45">
        <f>IF(COUNT(M56)=1,SUM(M47,M48,M49,M50,M51,M52,M53,M54,M55)-M56,"")</f>
        <v/>
      </c>
      <c r="N57" s="45">
        <f>IF(COUNT(N56)=1,SUM(N47,N48,N49,N50,N51,N52,N53,N54,N55)-N56,"")</f>
        <v/>
      </c>
      <c r="O57" s="45">
        <f>IF(COUNT(O56)=1,SUM(O47,O48,O49,O50,O51,O52,O53,O54,O55)-O56,"")</f>
        <v/>
      </c>
      <c r="P57" s="45">
        <f>IF(COUNT(P56)=1,SUM(P47,P48,P49,P50,P51,P52,P53,P54,P55)-P56,"")</f>
        <v/>
      </c>
      <c r="Q57" s="45">
        <f>IF(COUNT(Q56)=1,SUM(Q47,Q48,Q49,Q50,Q51,Q52,Q53,Q54,Q55)-Q56,"")</f>
        <v/>
      </c>
      <c r="R57" s="45">
        <f>IF(COUNT(R56)=1,SUM(R47,R48,R49,R50,R51,R52,R53,R54,R55)-R56,"")</f>
        <v/>
      </c>
      <c r="S57" s="45">
        <f>IF(COUNT(S56)=1,SUM(S47,S48,S49,S50,S51,S52,S53,S54,S55)-S56,"")</f>
        <v/>
      </c>
      <c r="T57" s="45">
        <f>IF(COUNT(T56)=1,SUM(T47,T48,T49,T50,T51,T52,T53,T54,T55)-T56,"")</f>
        <v/>
      </c>
      <c r="U57" s="45">
        <f>IF(COUNT(U56)=1,SUM(U47,U48,U49,U50,U51,U52,U53,U54,U55)-U56,"")</f>
        <v/>
      </c>
      <c r="V57" s="45">
        <f>IF(COUNT(V56)=1,SUM(V47,V48,V49,V50,V51,V52,V53,V54,V55)-V56,"")</f>
        <v/>
      </c>
      <c r="W57" s="45">
        <f>IF(COUNT(W56)=1,SUM(W47,W48,W49,W50,W51,W52,W53,W54,W55)-W56,"")</f>
        <v/>
      </c>
      <c r="X57" s="45">
        <f>IF(COUNT(X56)=1,SUM(X47,X48,X49,X50,X51,X52,X53,X54,X55)-X56,"")</f>
        <v/>
      </c>
      <c r="Y57" s="45">
        <f>IF(COUNT(Y56)=1,SUM(Y47,Y48,Y49,Y50,Y51,Y52,Y53,Y54,Y55)-Y56,"")</f>
        <v/>
      </c>
      <c r="Z57" s="45">
        <f>IF(COUNT(Z56)=1,SUM(Z47,Z48,Z49,Z50,Z51,Z52,Z53,Z54,Z55)-Z56,"")</f>
        <v/>
      </c>
      <c r="AA57" s="45">
        <f>IF(COUNT(AA56)=1,SUM(AA47,AA48,AA49,AA50,AA51,AA52,AA53,AA54,AA55)-AA56,"")</f>
        <v/>
      </c>
      <c r="AC57" s="45">
        <f>IF(COUNT(AC56)=1,SUM(AC47,AC48,AC49,AC50,AC51,AC52,AC53,AC54,AC55)-AC56,"")</f>
        <v/>
      </c>
      <c r="AD57" s="45">
        <f>IF(COUNT(AD56)=1,SUM(AD47,AD48,AD49,AD50,AD51,AD52,AD53,AD54,AD55)-AD56,"")</f>
        <v/>
      </c>
      <c r="AE57" s="45">
        <f>IF(COUNT(AE56)=1,SUM(AE47,AE48,AE49,AE50,AE51,AE52,AE53,AE54,AE55)-AE56,"")</f>
        <v/>
      </c>
      <c r="AF57" s="45">
        <f>IF(COUNT(AF56)=1,SUM(AF47,AF48,AF49,AF50,AF51,AF52,AF53,AF54,AF55)-AF56,"")</f>
        <v/>
      </c>
      <c r="AG57" s="45">
        <f>IF(COUNT(AG56)=1,SUM(AG47,AG48,AG49,AG50,AG51,AG52,AG53,AG54,AG55)-AG56,"")</f>
        <v/>
      </c>
      <c r="AH57" s="45">
        <f>IF(COUNT(AH56)=1,SUM(AH47,AH48,AH49,AH50,AH51,AH52,AH53,AH54,AH55)-AH56,"")</f>
        <v/>
      </c>
      <c r="AI57" s="45">
        <f>IF(COUNT(AI56)=1,SUM(AI47,AI48,AI49,AI50,AI51,AI52,AI53,AI54,AI55)-AI56,"")</f>
        <v/>
      </c>
      <c r="AK57" s="6" t="s">
        <v>491</v>
      </c>
    </row>
    <row r="59" spans="1:37">
      <c r="A59" s="5" t="s">
        <v>494</v>
      </c>
    </row>
    <row r="60" spans="1:37">
      <c r="A60" s="42" t="s">
        <v>479</v>
      </c>
      <c r="B60" s="45">
        <v>14886455446.86296</v>
      </c>
      <c r="C60" s="45">
        <v>0</v>
      </c>
      <c r="D60" s="45">
        <v>0</v>
      </c>
      <c r="E60" s="45">
        <v>0</v>
      </c>
      <c r="F60" s="45">
        <v>12149678685.8692</v>
      </c>
      <c r="G60" s="45">
        <v>0</v>
      </c>
      <c r="H60" s="45">
        <v>235617239.3542322</v>
      </c>
      <c r="I60" s="45">
        <v>10474083985.36152</v>
      </c>
      <c r="J60" s="45">
        <v>10738941892.11235</v>
      </c>
      <c r="K60" s="45">
        <v>1598562312.917335</v>
      </c>
      <c r="L60" s="45">
        <v>10773121486.53353</v>
      </c>
      <c r="M60" s="45">
        <v>11528000000</v>
      </c>
      <c r="N60" s="45">
        <v>12121000000</v>
      </c>
      <c r="O60" s="45">
        <v>12309000000</v>
      </c>
      <c r="P60" s="45">
        <v>12275000000</v>
      </c>
      <c r="Q60" s="45">
        <v>10869000000</v>
      </c>
      <c r="R60" s="45">
        <v>11909000000</v>
      </c>
      <c r="S60" s="45">
        <v>12487000000</v>
      </c>
      <c r="T60" s="45">
        <v>12684000000</v>
      </c>
      <c r="U60" s="45">
        <v>12795000000</v>
      </c>
      <c r="V60" s="45">
        <v>13072000000</v>
      </c>
      <c r="W60" s="45">
        <v>12621000000</v>
      </c>
      <c r="X60" s="45">
        <v>13300000000</v>
      </c>
      <c r="Y60" s="45">
        <v>13167000000</v>
      </c>
      <c r="Z60" s="45">
        <v>13578000000</v>
      </c>
      <c r="AA60" s="45">
        <v>14142000000</v>
      </c>
      <c r="AC60" s="45">
        <v>15432261273.29474</v>
      </c>
      <c r="AD60" s="45">
        <v>10876000000</v>
      </c>
      <c r="AE60" s="45">
        <v>10681000000</v>
      </c>
      <c r="AF60" s="45">
        <v>11317000000</v>
      </c>
      <c r="AG60" s="45">
        <v>10869000000</v>
      </c>
      <c r="AH60" s="45">
        <v>12795000000</v>
      </c>
      <c r="AI60" s="45">
        <v>13167000000</v>
      </c>
    </row>
    <row r="61" spans="1:37">
      <c r="A61" s="42" t="s">
        <v>480</v>
      </c>
      <c r="U61" s="45">
        <v>10735000000</v>
      </c>
      <c r="V61" s="45">
        <v>10982000000</v>
      </c>
      <c r="W61" s="45">
        <v>11163000000</v>
      </c>
      <c r="X61" s="45">
        <v>11194000000</v>
      </c>
      <c r="Y61" s="45">
        <v>11093000000</v>
      </c>
      <c r="Z61" s="45">
        <v>12019000000</v>
      </c>
      <c r="AA61" s="45">
        <v>11932000000</v>
      </c>
      <c r="AG61" s="45">
        <v>9734000000</v>
      </c>
      <c r="AH61" s="45">
        <v>10758000000</v>
      </c>
      <c r="AI61" s="45">
        <v>11093000000</v>
      </c>
    </row>
    <row r="62" spans="1:37">
      <c r="A62" s="42" t="s">
        <v>481</v>
      </c>
      <c r="B62" s="45">
        <v>10528131959.53837</v>
      </c>
      <c r="C62" s="45">
        <v>0</v>
      </c>
      <c r="D62" s="45">
        <v>0</v>
      </c>
      <c r="E62" s="45">
        <v>0</v>
      </c>
      <c r="F62" s="45">
        <v>9940962506.273439</v>
      </c>
      <c r="G62" s="45">
        <v>0</v>
      </c>
      <c r="H62" s="45">
        <v>570924235.5688643</v>
      </c>
      <c r="I62" s="45">
        <v>8569977764.690901</v>
      </c>
      <c r="J62" s="45">
        <v>9100460383.956356</v>
      </c>
      <c r="K62" s="45">
        <v>1359220485.138523</v>
      </c>
      <c r="L62" s="45">
        <v>9438418088.592892</v>
      </c>
      <c r="Q62" s="45">
        <v>9916000000</v>
      </c>
      <c r="R62" s="45">
        <v>9627000000</v>
      </c>
      <c r="S62" s="45">
        <v>9940000000</v>
      </c>
      <c r="T62" s="45">
        <v>10252000000</v>
      </c>
      <c r="AC62" s="45">
        <v>10553934126.17195</v>
      </c>
      <c r="AD62" s="45">
        <v>7694000000</v>
      </c>
      <c r="AE62" s="45">
        <v>8321000000</v>
      </c>
      <c r="AF62" s="45">
        <v>9530000000</v>
      </c>
    </row>
    <row r="63" spans="1:37">
      <c r="A63" s="42" t="s">
        <v>482</v>
      </c>
      <c r="M63" s="45">
        <v>6732000000</v>
      </c>
      <c r="N63" s="45">
        <v>7078000000</v>
      </c>
      <c r="O63" s="45">
        <v>7139000000</v>
      </c>
      <c r="P63" s="45">
        <v>7081000000</v>
      </c>
    </row>
    <row r="64" spans="1:37">
      <c r="A64" s="42" t="s">
        <v>483</v>
      </c>
      <c r="M64" s="45">
        <v>3216000000</v>
      </c>
      <c r="N64" s="45">
        <v>2425000000</v>
      </c>
      <c r="O64" s="45">
        <v>2481000000</v>
      </c>
      <c r="P64" s="45">
        <v>2612000000</v>
      </c>
    </row>
    <row r="65" spans="1:37">
      <c r="A65" s="42" t="s">
        <v>484</v>
      </c>
      <c r="B65" s="45">
        <v>3406721130.78697</v>
      </c>
      <c r="C65" s="45">
        <v>0</v>
      </c>
      <c r="D65" s="45">
        <v>0</v>
      </c>
      <c r="E65" s="45">
        <v>0</v>
      </c>
      <c r="F65" s="45">
        <v>3005565686.425435</v>
      </c>
      <c r="G65" s="45">
        <v>0</v>
      </c>
      <c r="H65" s="45">
        <v>195253639.7914963</v>
      </c>
      <c r="I65" s="45">
        <v>2591060079.61795</v>
      </c>
      <c r="J65" s="45">
        <v>2781224881.123899</v>
      </c>
      <c r="K65" s="45">
        <v>532659124.5997992</v>
      </c>
      <c r="L65" s="45">
        <v>3056667713.208519</v>
      </c>
      <c r="M65" s="45">
        <v>2797000000</v>
      </c>
      <c r="N65" s="45">
        <v>2781000000</v>
      </c>
      <c r="O65" s="45">
        <v>2811000000</v>
      </c>
      <c r="P65" s="45">
        <v>2882000000</v>
      </c>
      <c r="Q65" s="45">
        <v>2282000000</v>
      </c>
      <c r="R65" s="45">
        <v>3253000000</v>
      </c>
      <c r="S65" s="45">
        <v>3401000000</v>
      </c>
      <c r="T65" s="45">
        <v>3811000000</v>
      </c>
      <c r="AC65" s="45">
        <v>4141521586.673245</v>
      </c>
      <c r="AD65" s="45">
        <v>2490000000</v>
      </c>
      <c r="AE65" s="45">
        <v>2846000000</v>
      </c>
      <c r="AF65" s="45">
        <v>3215000000</v>
      </c>
    </row>
    <row r="66" spans="1:37">
      <c r="A66" s="42" t="s">
        <v>485</v>
      </c>
      <c r="U66" s="45">
        <v>743000000</v>
      </c>
      <c r="V66" s="45">
        <v>757000000</v>
      </c>
      <c r="W66" s="45">
        <v>936000000</v>
      </c>
      <c r="X66" s="45">
        <v>953000000</v>
      </c>
      <c r="Y66" s="45">
        <v>735000000</v>
      </c>
      <c r="Z66" s="45">
        <v>746000000</v>
      </c>
      <c r="AA66" s="45">
        <v>901000000</v>
      </c>
      <c r="AG66" s="45">
        <v>651000000</v>
      </c>
      <c r="AH66" s="45">
        <v>720000000</v>
      </c>
      <c r="AI66" s="45">
        <v>735000000</v>
      </c>
    </row>
    <row r="67" spans="1:37">
      <c r="A67" s="42" t="s">
        <v>486</v>
      </c>
      <c r="U67" s="45">
        <v>2524000000</v>
      </c>
      <c r="V67" s="45">
        <v>2629000000</v>
      </c>
      <c r="W67" s="45">
        <v>2460000000</v>
      </c>
      <c r="X67" s="45">
        <v>2458000000</v>
      </c>
      <c r="Y67" s="45">
        <v>2502000000</v>
      </c>
      <c r="Z67" s="45">
        <v>2320000000</v>
      </c>
      <c r="AA67" s="45">
        <v>2423000000</v>
      </c>
      <c r="AG67" s="45">
        <v>1877000000</v>
      </c>
      <c r="AH67" s="45">
        <v>2524000000</v>
      </c>
      <c r="AI67" s="45">
        <v>2502000000</v>
      </c>
    </row>
    <row r="68" spans="1:37">
      <c r="A68" s="42" t="s">
        <v>487</v>
      </c>
      <c r="B68" s="45">
        <v>2488237525.737085</v>
      </c>
      <c r="C68" s="45">
        <v>0</v>
      </c>
      <c r="D68" s="45">
        <v>0</v>
      </c>
      <c r="E68" s="45">
        <v>0</v>
      </c>
      <c r="F68" s="45">
        <v>2058040249.996188</v>
      </c>
      <c r="G68" s="45">
        <v>0</v>
      </c>
      <c r="H68" s="45">
        <v>157904706.2170044</v>
      </c>
      <c r="I68" s="45">
        <v>1774210411.735868</v>
      </c>
      <c r="J68" s="45">
        <v>2140841741.343072</v>
      </c>
      <c r="K68" s="45">
        <v>299437964.1130314</v>
      </c>
      <c r="L68" s="45">
        <v>2239781034.308331</v>
      </c>
      <c r="M68" s="45">
        <v>1807000000</v>
      </c>
      <c r="N68" s="45">
        <v>2033000000</v>
      </c>
      <c r="O68" s="45">
        <v>2399000000</v>
      </c>
      <c r="P68" s="45">
        <v>2019000000</v>
      </c>
      <c r="Q68" s="45">
        <v>2086000000</v>
      </c>
      <c r="R68" s="45">
        <v>2187000000</v>
      </c>
      <c r="S68" s="45">
        <v>2047000000</v>
      </c>
      <c r="T68" s="45">
        <v>2233000000</v>
      </c>
      <c r="U68" s="45">
        <v>2822000000</v>
      </c>
      <c r="V68" s="45">
        <v>2532000000</v>
      </c>
      <c r="W68" s="45">
        <v>2099000000</v>
      </c>
      <c r="X68" s="45">
        <v>1899000000</v>
      </c>
      <c r="Y68" s="45">
        <v>2094000000</v>
      </c>
      <c r="Z68" s="45">
        <v>2513000000</v>
      </c>
      <c r="AA68" s="45">
        <v>3477000000</v>
      </c>
      <c r="AC68" s="45">
        <v>2686773618.814676</v>
      </c>
      <c r="AD68" s="45">
        <v>1818000000</v>
      </c>
      <c r="AE68" s="45">
        <v>1575000000</v>
      </c>
      <c r="AF68" s="45">
        <v>2018000000</v>
      </c>
      <c r="AG68" s="45">
        <v>2022000000</v>
      </c>
      <c r="AH68" s="45">
        <v>2822000000</v>
      </c>
      <c r="AI68" s="45">
        <v>2094000000</v>
      </c>
    </row>
    <row r="69" spans="1:37">
      <c r="A69" s="42" t="s">
        <v>488</v>
      </c>
      <c r="B69" s="45">
        <v>5503509.342602442</v>
      </c>
      <c r="C69" s="45">
        <v>0</v>
      </c>
      <c r="D69" s="45">
        <v>0</v>
      </c>
      <c r="E69" s="45">
        <v>0</v>
      </c>
      <c r="F69" s="45">
        <v>-154268293.1932591</v>
      </c>
      <c r="G69" s="45">
        <v>0</v>
      </c>
      <c r="H69" s="45">
        <v>-21267285.31638419</v>
      </c>
      <c r="I69" s="45">
        <v>-132992740.0519542</v>
      </c>
      <c r="J69" s="45">
        <v>-230666620.3841941</v>
      </c>
      <c r="K69" s="45">
        <v>-87011813.13787879</v>
      </c>
      <c r="L69" s="45">
        <v>-192423434.6100708</v>
      </c>
      <c r="M69" s="45">
        <v>-168000000</v>
      </c>
      <c r="N69" s="45">
        <v>-146000000</v>
      </c>
      <c r="O69" s="45">
        <v>-134000000</v>
      </c>
      <c r="P69" s="45">
        <v>-22000000</v>
      </c>
      <c r="Q69" s="45">
        <v>-118000000</v>
      </c>
      <c r="R69" s="45">
        <v>-327000000</v>
      </c>
      <c r="S69" s="45">
        <v>-336000000</v>
      </c>
      <c r="T69" s="45">
        <v>-222000000</v>
      </c>
      <c r="U69" s="45">
        <v>-228000000</v>
      </c>
      <c r="V69" s="45">
        <v>-258000000</v>
      </c>
      <c r="W69" s="45">
        <v>-264000000</v>
      </c>
      <c r="X69" s="45">
        <v>-235000000</v>
      </c>
      <c r="Y69" s="45">
        <v>-152000000</v>
      </c>
      <c r="Z69" s="45">
        <v>-818000000</v>
      </c>
      <c r="AA69" s="45">
        <v>-482000000</v>
      </c>
      <c r="AC69" s="45">
        <v>-130359345.0762933</v>
      </c>
      <c r="AD69" s="45">
        <v>4000000</v>
      </c>
      <c r="AE69" s="45">
        <v>-133000000</v>
      </c>
      <c r="AF69" s="45">
        <v>-168000000</v>
      </c>
      <c r="AG69" s="45">
        <v>-118000000</v>
      </c>
      <c r="AH69" s="45">
        <v>-228000000</v>
      </c>
      <c r="AI69" s="45">
        <v>-152000000</v>
      </c>
    </row>
    <row r="70" spans="1:37">
      <c r="A70" s="47" t="s">
        <v>489</v>
      </c>
      <c r="B70" s="48">
        <v>31315049572.26799</v>
      </c>
      <c r="C70" s="48">
        <v>0</v>
      </c>
      <c r="D70" s="48">
        <v>0</v>
      </c>
      <c r="E70" s="48">
        <v>0</v>
      </c>
      <c r="F70" s="48">
        <v>26999978835.371</v>
      </c>
      <c r="G70" s="48">
        <v>0</v>
      </c>
      <c r="H70" s="48">
        <v>1138432535.615213</v>
      </c>
      <c r="I70" s="48">
        <v>23276339501.35428</v>
      </c>
      <c r="J70" s="48">
        <v>24530802278.15148</v>
      </c>
      <c r="K70" s="48">
        <v>3702868073.63081</v>
      </c>
      <c r="L70" s="48">
        <v>25315564888.0332</v>
      </c>
      <c r="M70" s="48">
        <v>25912000000</v>
      </c>
      <c r="N70" s="48">
        <v>26292000000</v>
      </c>
      <c r="O70" s="48">
        <v>27005000000</v>
      </c>
      <c r="P70" s="48">
        <v>26847000000</v>
      </c>
      <c r="Q70" s="48">
        <v>25035000000</v>
      </c>
      <c r="R70" s="48">
        <v>26649000000</v>
      </c>
      <c r="S70" s="48">
        <v>27539000000</v>
      </c>
      <c r="T70" s="48">
        <v>28758000000</v>
      </c>
      <c r="U70" s="48">
        <v>29391000000</v>
      </c>
      <c r="V70" s="48">
        <v>29714000000</v>
      </c>
      <c r="W70" s="48">
        <v>29015000000</v>
      </c>
      <c r="X70" s="48">
        <v>29569000000</v>
      </c>
      <c r="Y70" s="48">
        <v>29439000000</v>
      </c>
      <c r="Z70" s="48">
        <v>30358000000</v>
      </c>
      <c r="AA70" s="48">
        <v>32393000000</v>
      </c>
      <c r="AC70" s="48">
        <v>32684131259.87832</v>
      </c>
      <c r="AD70" s="48">
        <v>22882000000</v>
      </c>
      <c r="AE70" s="48">
        <v>23290000000</v>
      </c>
      <c r="AF70" s="48">
        <v>25912000000</v>
      </c>
      <c r="AG70" s="48">
        <v>25035000000</v>
      </c>
      <c r="AH70" s="48">
        <v>29391000000</v>
      </c>
      <c r="AI70" s="48">
        <v>29439000000</v>
      </c>
    </row>
    <row r="71" spans="1:37">
      <c r="A71" s="6" t="s">
        <v>490</v>
      </c>
      <c r="B71" s="45">
        <f>IF(COUNT(B70)=1,SUM(B60,B61,B62,B63,B64,B65,B66,B67,B68,B69)-B70,"")</f>
        <v/>
      </c>
      <c r="C71" s="45">
        <f>IF(COUNT(C70)=1,SUM(C60,C61,C62,C63,C64,C65,C66,C67,C68,C69)-C70,"")</f>
        <v/>
      </c>
      <c r="D71" s="45">
        <f>IF(COUNT(D70)=1,SUM(D60,D61,D62,D63,D64,D65,D66,D67,D68,D69)-D70,"")</f>
        <v/>
      </c>
      <c r="E71" s="45">
        <f>IF(COUNT(E70)=1,SUM(E60,E61,E62,E63,E64,E65,E66,E67,E68,E69)-E70,"")</f>
        <v/>
      </c>
      <c r="F71" s="45">
        <f>IF(COUNT(F70)=1,SUM(F60,F61,F62,F63,F64,F65,F66,F67,F68,F69)-F70,"")</f>
        <v/>
      </c>
      <c r="G71" s="45">
        <f>IF(COUNT(G70)=1,SUM(G60,G61,G62,G63,G64,G65,G66,G67,G68,G69)-G70,"")</f>
        <v/>
      </c>
      <c r="H71" s="45">
        <f>IF(COUNT(H70)=1,SUM(H60,H61,H62,H63,H64,H65,H66,H67,H68,H69)-H70,"")</f>
        <v/>
      </c>
      <c r="I71" s="45">
        <f>IF(COUNT(I70)=1,SUM(I60,I61,I62,I63,I64,I65,I66,I67,I68,I69)-I70,"")</f>
        <v/>
      </c>
      <c r="J71" s="45">
        <f>IF(COUNT(J70)=1,SUM(J60,J61,J62,J63,J64,J65,J66,J67,J68,J69)-J70,"")</f>
        <v/>
      </c>
      <c r="K71" s="45">
        <f>IF(COUNT(K70)=1,SUM(K60,K61,K62,K63,K64,K65,K66,K67,K68,K69)-K70,"")</f>
        <v/>
      </c>
      <c r="L71" s="45">
        <f>IF(COUNT(L70)=1,SUM(L60,L61,L62,L63,L64,L65,L66,L67,L68,L69)-L70,"")</f>
        <v/>
      </c>
      <c r="M71" s="45">
        <f>IF(COUNT(M70)=1,SUM(M60,M61,M62,M63,M64,M65,M66,M67,M68,M69)-M70,"")</f>
        <v/>
      </c>
      <c r="N71" s="45">
        <f>IF(COUNT(N70)=1,SUM(N60,N61,N62,N63,N64,N65,N66,N67,N68,N69)-N70,"")</f>
        <v/>
      </c>
      <c r="O71" s="45">
        <f>IF(COUNT(O70)=1,SUM(O60,O61,O62,O63,O64,O65,O66,O67,O68,O69)-O70,"")</f>
        <v/>
      </c>
      <c r="P71" s="45">
        <f>IF(COUNT(P70)=1,SUM(P60,P61,P62,P63,P64,P65,P66,P67,P68,P69)-P70,"")</f>
        <v/>
      </c>
      <c r="Q71" s="45">
        <f>IF(COUNT(Q70)=1,SUM(Q60,Q61,Q62,Q63,Q64,Q65,Q66,Q67,Q68,Q69)-Q70,"")</f>
        <v/>
      </c>
      <c r="R71" s="45">
        <f>IF(COUNT(R70)=1,SUM(R60,R61,R62,R63,R64,R65,R66,R67,R68,R69)-R70,"")</f>
        <v/>
      </c>
      <c r="S71" s="45">
        <f>IF(COUNT(S70)=1,SUM(S60,S61,S62,S63,S64,S65,S66,S67,S68,S69)-S70,"")</f>
        <v/>
      </c>
      <c r="T71" s="45">
        <f>IF(COUNT(T70)=1,SUM(T60,T61,T62,T63,T64,T65,T66,T67,T68,T69)-T70,"")</f>
        <v/>
      </c>
      <c r="U71" s="45">
        <f>IF(COUNT(U70)=1,SUM(U60,U61,U62,U63,U64,U65,U66,U67,U68,U69)-U70,"")</f>
        <v/>
      </c>
      <c r="V71" s="45">
        <f>IF(COUNT(V70)=1,SUM(V60,V61,V62,V63,V64,V65,V66,V67,V68,V69)-V70,"")</f>
        <v/>
      </c>
      <c r="W71" s="45">
        <f>IF(COUNT(W70)=1,SUM(W60,W61,W62,W63,W64,W65,W66,W67,W68,W69)-W70,"")</f>
        <v/>
      </c>
      <c r="X71" s="45">
        <f>IF(COUNT(X70)=1,SUM(X60,X61,X62,X63,X64,X65,X66,X67,X68,X69)-X70,"")</f>
        <v/>
      </c>
      <c r="Y71" s="45">
        <f>IF(COUNT(Y70)=1,SUM(Y60,Y61,Y62,Y63,Y64,Y65,Y66,Y67,Y68,Y69)-Y70,"")</f>
        <v/>
      </c>
      <c r="Z71" s="45">
        <f>IF(COUNT(Z70)=1,SUM(Z60,Z61,Z62,Z63,Z64,Z65,Z66,Z67,Z68,Z69)-Z70,"")</f>
        <v/>
      </c>
      <c r="AA71" s="45">
        <f>IF(COUNT(AA70)=1,SUM(AA60,AA61,AA62,AA63,AA64,AA65,AA66,AA67,AA68,AA69)-AA70,"")</f>
        <v/>
      </c>
      <c r="AC71" s="45">
        <f>IF(COUNT(AC70)=1,SUM(AC60,AC61,AC62,AC63,AC64,AC65,AC66,AC67,AC68,AC69)-AC70,"")</f>
        <v/>
      </c>
      <c r="AD71" s="45">
        <f>IF(COUNT(AD70)=1,SUM(AD60,AD61,AD62,AD63,AD64,AD65,AD66,AD67,AD68,AD69)-AD70,"")</f>
        <v/>
      </c>
      <c r="AE71" s="45">
        <f>IF(COUNT(AE70)=1,SUM(AE60,AE61,AE62,AE63,AE64,AE65,AE66,AE67,AE68,AE69)-AE70,"")</f>
        <v/>
      </c>
      <c r="AF71" s="45">
        <f>IF(COUNT(AF70)=1,SUM(AF60,AF61,AF62,AF63,AF64,AF65,AF66,AF67,AF68,AF69)-AF70,"")</f>
        <v/>
      </c>
      <c r="AG71" s="45">
        <f>IF(COUNT(AG70)=1,SUM(AG60,AG61,AG62,AG63,AG64,AG65,AG66,AG67,AG68,AG69)-AG70,"")</f>
        <v/>
      </c>
      <c r="AH71" s="45">
        <f>IF(COUNT(AH70)=1,SUM(AH60,AH61,AH62,AH63,AH64,AH65,AH66,AH67,AH68,AH69)-AH70,"")</f>
        <v/>
      </c>
      <c r="AI71" s="45">
        <f>IF(COUNT(AI70)=1,SUM(AI60,AI61,AI62,AI63,AI64,AI65,AI66,AI67,AI68,AI69)-AI70,"")</f>
        <v/>
      </c>
      <c r="AK71" s="6" t="s">
        <v>491</v>
      </c>
    </row>
    <row r="73" spans="1:37">
      <c r="A73" s="5" t="s">
        <v>495</v>
      </c>
    </row>
    <row r="74" spans="1:37">
      <c r="A74" s="42" t="s">
        <v>479</v>
      </c>
      <c r="B74" s="49">
        <f>IFERROR(B20/B6,"")</f>
        <v/>
      </c>
      <c r="C74" s="49">
        <f>IFERROR(C20/C6,"")</f>
        <v/>
      </c>
      <c r="D74" s="49">
        <f>IFERROR(D20/D6,"")</f>
        <v/>
      </c>
      <c r="E74" s="49">
        <f>IFERROR(E20/E6,"")</f>
        <v/>
      </c>
      <c r="F74" s="49">
        <f>IFERROR(F20/F6,"")</f>
        <v/>
      </c>
      <c r="G74" s="49">
        <f>IFERROR(G20/G6,"")</f>
        <v/>
      </c>
      <c r="H74" s="49">
        <f>IFERROR(H20/H6,"")</f>
        <v/>
      </c>
      <c r="I74" s="49">
        <f>IFERROR(I20/I6,"")</f>
        <v/>
      </c>
      <c r="J74" s="49">
        <f>IFERROR(J20/J6,"")</f>
        <v/>
      </c>
      <c r="K74" s="49">
        <f>IFERROR(K20/K6,"")</f>
        <v/>
      </c>
      <c r="L74" s="49">
        <f>IFERROR(L20/L6,"")</f>
        <v/>
      </c>
      <c r="M74" s="49">
        <f>IFERROR(M20/M6,"")</f>
        <v/>
      </c>
      <c r="N74" s="49">
        <f>IFERROR(N20/N6,"")</f>
        <v/>
      </c>
      <c r="O74" s="49">
        <f>IFERROR(O20/O6,"")</f>
        <v/>
      </c>
      <c r="P74" s="49">
        <f>IFERROR(P20/P6,"")</f>
        <v/>
      </c>
      <c r="Q74" s="49">
        <f>IFERROR(Q20/Q6,"")</f>
        <v/>
      </c>
      <c r="R74" s="49">
        <f>IFERROR(R20/R6,"")</f>
        <v/>
      </c>
      <c r="S74" s="49">
        <f>IFERROR(S20/S6,"")</f>
        <v/>
      </c>
      <c r="T74" s="49">
        <f>IFERROR(T20/T6,"")</f>
        <v/>
      </c>
      <c r="U74" s="49">
        <f>IFERROR(U20/U6,"")</f>
        <v/>
      </c>
      <c r="V74" s="49">
        <f>IFERROR(V20/V6,"")</f>
        <v/>
      </c>
      <c r="W74" s="49">
        <f>IFERROR(W20/W6,"")</f>
        <v/>
      </c>
      <c r="X74" s="49">
        <f>IFERROR(X20/X6,"")</f>
        <v/>
      </c>
      <c r="Y74" s="49">
        <f>IFERROR(Y20/Y6,"")</f>
        <v/>
      </c>
      <c r="Z74" s="49">
        <f>IFERROR(Z20/Z6,"")</f>
        <v/>
      </c>
      <c r="AA74" s="49">
        <f>IFERROR(AA20/AA6,"")</f>
        <v/>
      </c>
      <c r="AC74" s="49">
        <f>IFERROR(AC20/AC6,"")</f>
        <v/>
      </c>
      <c r="AD74" s="49">
        <f>IFERROR(AD20/AD6,"")</f>
        <v/>
      </c>
      <c r="AE74" s="49">
        <f>IFERROR(AE20/AE6,"")</f>
        <v/>
      </c>
      <c r="AF74" s="49">
        <f>IFERROR(AF20/AF6,"")</f>
        <v/>
      </c>
      <c r="AG74" s="49">
        <f>IFERROR(AG20/AG6,"")</f>
        <v/>
      </c>
      <c r="AH74" s="49">
        <f>IFERROR(AH20/AH6,"")</f>
        <v/>
      </c>
      <c r="AI74" s="49">
        <f>IFERROR(AI20/AI6,"")</f>
        <v/>
      </c>
    </row>
    <row r="75" spans="1:37">
      <c r="A75" s="42" t="s">
        <v>480</v>
      </c>
      <c r="B75" s="49">
        <f>IFERROR(B21/B7,"")</f>
        <v/>
      </c>
      <c r="C75" s="49">
        <f>IFERROR(C21/C7,"")</f>
        <v/>
      </c>
      <c r="D75" s="49">
        <f>IFERROR(D21/D7,"")</f>
        <v/>
      </c>
      <c r="E75" s="49">
        <f>IFERROR(E21/E7,"")</f>
        <v/>
      </c>
      <c r="F75" s="49">
        <f>IFERROR(F21/F7,"")</f>
        <v/>
      </c>
      <c r="G75" s="49">
        <f>IFERROR(G21/G7,"")</f>
        <v/>
      </c>
      <c r="H75" s="49">
        <f>IFERROR(H21/H7,"")</f>
        <v/>
      </c>
      <c r="I75" s="49">
        <f>IFERROR(I21/I7,"")</f>
        <v/>
      </c>
      <c r="J75" s="49">
        <f>IFERROR(J21/J7,"")</f>
        <v/>
      </c>
      <c r="K75" s="49">
        <f>IFERROR(K21/K7,"")</f>
        <v/>
      </c>
      <c r="L75" s="49">
        <f>IFERROR(L21/L7,"")</f>
        <v/>
      </c>
      <c r="M75" s="49">
        <f>IFERROR(M21/M7,"")</f>
        <v/>
      </c>
      <c r="N75" s="49">
        <f>IFERROR(N21/N7,"")</f>
        <v/>
      </c>
      <c r="O75" s="49">
        <f>IFERROR(O21/O7,"")</f>
        <v/>
      </c>
      <c r="P75" s="49">
        <f>IFERROR(P21/P7,"")</f>
        <v/>
      </c>
      <c r="Q75" s="49">
        <f>IFERROR(Q21/Q7,"")</f>
        <v/>
      </c>
      <c r="R75" s="49">
        <f>IFERROR(R21/R7,"")</f>
        <v/>
      </c>
      <c r="S75" s="49">
        <f>IFERROR(S21/S7,"")</f>
        <v/>
      </c>
      <c r="T75" s="49">
        <f>IFERROR(T21/T7,"")</f>
        <v/>
      </c>
      <c r="U75" s="49">
        <f>IFERROR(U21/U7,"")</f>
        <v/>
      </c>
      <c r="V75" s="49">
        <f>IFERROR(V21/V7,"")</f>
        <v/>
      </c>
      <c r="W75" s="49">
        <f>IFERROR(W21/W7,"")</f>
        <v/>
      </c>
      <c r="X75" s="49">
        <f>IFERROR(X21/X7,"")</f>
        <v/>
      </c>
      <c r="Y75" s="49">
        <f>IFERROR(Y21/Y7,"")</f>
        <v/>
      </c>
      <c r="Z75" s="49">
        <f>IFERROR(Z21/Z7,"")</f>
        <v/>
      </c>
      <c r="AA75" s="49">
        <f>IFERROR(AA21/AA7,"")</f>
        <v/>
      </c>
      <c r="AC75" s="49">
        <f>IFERROR(AC21/AC7,"")</f>
        <v/>
      </c>
      <c r="AD75" s="49">
        <f>IFERROR(AD21/AD7,"")</f>
        <v/>
      </c>
      <c r="AE75" s="49">
        <f>IFERROR(AE21/AE7,"")</f>
        <v/>
      </c>
      <c r="AF75" s="49">
        <f>IFERROR(AF21/AF7,"")</f>
        <v/>
      </c>
      <c r="AG75" s="49">
        <f>IFERROR(AG21/AG7,"")</f>
        <v/>
      </c>
      <c r="AH75" s="49">
        <f>IFERROR(AH21/AH7,"")</f>
        <v/>
      </c>
      <c r="AI75" s="49">
        <f>IFERROR(AI21/AI7,"")</f>
        <v/>
      </c>
    </row>
    <row r="76" spans="1:37">
      <c r="A76" s="42" t="s">
        <v>481</v>
      </c>
      <c r="B76" s="49">
        <f>IFERROR(B22/B8,"")</f>
        <v/>
      </c>
      <c r="C76" s="49">
        <f>IFERROR(C22/C8,"")</f>
        <v/>
      </c>
      <c r="D76" s="49">
        <f>IFERROR(D22/D8,"")</f>
        <v/>
      </c>
      <c r="E76" s="49">
        <f>IFERROR(E22/E8,"")</f>
        <v/>
      </c>
      <c r="F76" s="49">
        <f>IFERROR(F22/F8,"")</f>
        <v/>
      </c>
      <c r="G76" s="49">
        <f>IFERROR(G22/G8,"")</f>
        <v/>
      </c>
      <c r="H76" s="49">
        <f>IFERROR(H22/H8,"")</f>
        <v/>
      </c>
      <c r="I76" s="49">
        <f>IFERROR(I22/I8,"")</f>
        <v/>
      </c>
      <c r="J76" s="49">
        <f>IFERROR(J22/J8,"")</f>
        <v/>
      </c>
      <c r="K76" s="49">
        <f>IFERROR(K22/K8,"")</f>
        <v/>
      </c>
      <c r="L76" s="49">
        <f>IFERROR(L22/L8,"")</f>
        <v/>
      </c>
      <c r="M76" s="49">
        <f>IFERROR(M22/M8,"")</f>
        <v/>
      </c>
      <c r="N76" s="49">
        <f>IFERROR(N22/N8,"")</f>
        <v/>
      </c>
      <c r="O76" s="49">
        <f>IFERROR(O22/O8,"")</f>
        <v/>
      </c>
      <c r="P76" s="49">
        <f>IFERROR(P22/P8,"")</f>
        <v/>
      </c>
      <c r="Q76" s="49">
        <f>IFERROR(Q22/Q8,"")</f>
        <v/>
      </c>
      <c r="R76" s="49">
        <f>IFERROR(R22/R8,"")</f>
        <v/>
      </c>
      <c r="S76" s="49">
        <f>IFERROR(S22/S8,"")</f>
        <v/>
      </c>
      <c r="T76" s="49">
        <f>IFERROR(T22/T8,"")</f>
        <v/>
      </c>
      <c r="U76" s="49">
        <f>IFERROR(U22/U8,"")</f>
        <v/>
      </c>
      <c r="V76" s="49">
        <f>IFERROR(V22/V8,"")</f>
        <v/>
      </c>
      <c r="W76" s="49">
        <f>IFERROR(W22/W8,"")</f>
        <v/>
      </c>
      <c r="X76" s="49">
        <f>IFERROR(X22/X8,"")</f>
        <v/>
      </c>
      <c r="Y76" s="49">
        <f>IFERROR(Y22/Y8,"")</f>
        <v/>
      </c>
      <c r="Z76" s="49">
        <f>IFERROR(Z22/Z8,"")</f>
        <v/>
      </c>
      <c r="AA76" s="49">
        <f>IFERROR(AA22/AA8,"")</f>
        <v/>
      </c>
      <c r="AC76" s="49">
        <f>IFERROR(AC22/AC8,"")</f>
        <v/>
      </c>
      <c r="AD76" s="49">
        <f>IFERROR(AD22/AD8,"")</f>
        <v/>
      </c>
      <c r="AE76" s="49">
        <f>IFERROR(AE22/AE8,"")</f>
        <v/>
      </c>
      <c r="AF76" s="49">
        <f>IFERROR(AF22/AF8,"")</f>
        <v/>
      </c>
      <c r="AG76" s="49">
        <f>IFERROR(AG22/AG8,"")</f>
        <v/>
      </c>
      <c r="AH76" s="49">
        <f>IFERROR(AH22/AH8,"")</f>
        <v/>
      </c>
      <c r="AI76" s="49">
        <f>IFERROR(AI22/AI8,"")</f>
        <v/>
      </c>
    </row>
    <row r="77" spans="1:37">
      <c r="A77" s="42" t="s">
        <v>482</v>
      </c>
      <c r="B77" s="49">
        <f>IFERROR(B23/B9,"")</f>
        <v/>
      </c>
      <c r="C77" s="49">
        <f>IFERROR(C23/C9,"")</f>
        <v/>
      </c>
      <c r="D77" s="49">
        <f>IFERROR(D23/D9,"")</f>
        <v/>
      </c>
      <c r="E77" s="49">
        <f>IFERROR(E23/E9,"")</f>
        <v/>
      </c>
      <c r="F77" s="49">
        <f>IFERROR(F23/F9,"")</f>
        <v/>
      </c>
      <c r="G77" s="49">
        <f>IFERROR(G23/G9,"")</f>
        <v/>
      </c>
      <c r="H77" s="49">
        <f>IFERROR(H23/H9,"")</f>
        <v/>
      </c>
      <c r="I77" s="49">
        <f>IFERROR(I23/I9,"")</f>
        <v/>
      </c>
      <c r="J77" s="49">
        <f>IFERROR(J23/J9,"")</f>
        <v/>
      </c>
      <c r="K77" s="49">
        <f>IFERROR(K23/K9,"")</f>
        <v/>
      </c>
      <c r="L77" s="49">
        <f>IFERROR(L23/L9,"")</f>
        <v/>
      </c>
      <c r="M77" s="49">
        <f>IFERROR(M23/M9,"")</f>
        <v/>
      </c>
      <c r="N77" s="49">
        <f>IFERROR(N23/N9,"")</f>
        <v/>
      </c>
      <c r="O77" s="49">
        <f>IFERROR(O23/O9,"")</f>
        <v/>
      </c>
      <c r="P77" s="49">
        <f>IFERROR(P23/P9,"")</f>
        <v/>
      </c>
      <c r="Q77" s="49">
        <f>IFERROR(Q23/Q9,"")</f>
        <v/>
      </c>
      <c r="R77" s="49">
        <f>IFERROR(R23/R9,"")</f>
        <v/>
      </c>
      <c r="S77" s="49">
        <f>IFERROR(S23/S9,"")</f>
        <v/>
      </c>
      <c r="T77" s="49">
        <f>IFERROR(T23/T9,"")</f>
        <v/>
      </c>
      <c r="U77" s="49">
        <f>IFERROR(U23/U9,"")</f>
        <v/>
      </c>
      <c r="V77" s="49">
        <f>IFERROR(V23/V9,"")</f>
        <v/>
      </c>
      <c r="W77" s="49">
        <f>IFERROR(W23/W9,"")</f>
        <v/>
      </c>
      <c r="X77" s="49">
        <f>IFERROR(X23/X9,"")</f>
        <v/>
      </c>
      <c r="Y77" s="49">
        <f>IFERROR(Y23/Y9,"")</f>
        <v/>
      </c>
      <c r="Z77" s="49">
        <f>IFERROR(Z23/Z9,"")</f>
        <v/>
      </c>
      <c r="AA77" s="49">
        <f>IFERROR(AA23/AA9,"")</f>
        <v/>
      </c>
      <c r="AC77" s="49">
        <f>IFERROR(AC23/AC9,"")</f>
        <v/>
      </c>
      <c r="AD77" s="49">
        <f>IFERROR(AD23/AD9,"")</f>
        <v/>
      </c>
      <c r="AE77" s="49">
        <f>IFERROR(AE23/AE9,"")</f>
        <v/>
      </c>
      <c r="AF77" s="49">
        <f>IFERROR(AF23/AF9,"")</f>
        <v/>
      </c>
      <c r="AG77" s="49">
        <f>IFERROR(AG23/AG9,"")</f>
        <v/>
      </c>
      <c r="AH77" s="49">
        <f>IFERROR(AH23/AH9,"")</f>
        <v/>
      </c>
      <c r="AI77" s="49">
        <f>IFERROR(AI23/AI9,"")</f>
        <v/>
      </c>
    </row>
    <row r="78" spans="1:37">
      <c r="A78" s="42" t="s">
        <v>483</v>
      </c>
      <c r="B78" s="49">
        <f>IFERROR(B24/B10,"")</f>
        <v/>
      </c>
      <c r="C78" s="49">
        <f>IFERROR(C24/C10,"")</f>
        <v/>
      </c>
      <c r="D78" s="49">
        <f>IFERROR(D24/D10,"")</f>
        <v/>
      </c>
      <c r="E78" s="49">
        <f>IFERROR(E24/E10,"")</f>
        <v/>
      </c>
      <c r="F78" s="49">
        <f>IFERROR(F24/F10,"")</f>
        <v/>
      </c>
      <c r="G78" s="49">
        <f>IFERROR(G24/G10,"")</f>
        <v/>
      </c>
      <c r="H78" s="49">
        <f>IFERROR(H24/H10,"")</f>
        <v/>
      </c>
      <c r="I78" s="49">
        <f>IFERROR(I24/I10,"")</f>
        <v/>
      </c>
      <c r="J78" s="49">
        <f>IFERROR(J24/J10,"")</f>
        <v/>
      </c>
      <c r="K78" s="49">
        <f>IFERROR(K24/K10,"")</f>
        <v/>
      </c>
      <c r="L78" s="49">
        <f>IFERROR(L24/L10,"")</f>
        <v/>
      </c>
      <c r="M78" s="49">
        <f>IFERROR(M24/M10,"")</f>
        <v/>
      </c>
      <c r="N78" s="49">
        <f>IFERROR(N24/N10,"")</f>
        <v/>
      </c>
      <c r="O78" s="49">
        <f>IFERROR(O24/O10,"")</f>
        <v/>
      </c>
      <c r="P78" s="49">
        <f>IFERROR(P24/P10,"")</f>
        <v/>
      </c>
      <c r="Q78" s="49">
        <f>IFERROR(Q24/Q10,"")</f>
        <v/>
      </c>
      <c r="R78" s="49">
        <f>IFERROR(R24/R10,"")</f>
        <v/>
      </c>
      <c r="S78" s="49">
        <f>IFERROR(S24/S10,"")</f>
        <v/>
      </c>
      <c r="T78" s="49">
        <f>IFERROR(T24/T10,"")</f>
        <v/>
      </c>
      <c r="U78" s="49">
        <f>IFERROR(U24/U10,"")</f>
        <v/>
      </c>
      <c r="V78" s="49">
        <f>IFERROR(V24/V10,"")</f>
        <v/>
      </c>
      <c r="W78" s="49">
        <f>IFERROR(W24/W10,"")</f>
        <v/>
      </c>
      <c r="X78" s="49">
        <f>IFERROR(X24/X10,"")</f>
        <v/>
      </c>
      <c r="Y78" s="49">
        <f>IFERROR(Y24/Y10,"")</f>
        <v/>
      </c>
      <c r="Z78" s="49">
        <f>IFERROR(Z24/Z10,"")</f>
        <v/>
      </c>
      <c r="AA78" s="49">
        <f>IFERROR(AA24/AA10,"")</f>
        <v/>
      </c>
      <c r="AC78" s="49">
        <f>IFERROR(AC24/AC10,"")</f>
        <v/>
      </c>
      <c r="AD78" s="49">
        <f>IFERROR(AD24/AD10,"")</f>
        <v/>
      </c>
      <c r="AE78" s="49">
        <f>IFERROR(AE24/AE10,"")</f>
        <v/>
      </c>
      <c r="AF78" s="49">
        <f>IFERROR(AF24/AF10,"")</f>
        <v/>
      </c>
      <c r="AG78" s="49">
        <f>IFERROR(AG24/AG10,"")</f>
        <v/>
      </c>
      <c r="AH78" s="49">
        <f>IFERROR(AH24/AH10,"")</f>
        <v/>
      </c>
      <c r="AI78" s="49">
        <f>IFERROR(AI24/AI10,"")</f>
        <v/>
      </c>
    </row>
    <row r="79" spans="1:37">
      <c r="A79" s="42" t="s">
        <v>484</v>
      </c>
      <c r="B79" s="49">
        <f>IFERROR(B25/B11,"")</f>
        <v/>
      </c>
      <c r="C79" s="49">
        <f>IFERROR(C25/C11,"")</f>
        <v/>
      </c>
      <c r="D79" s="49">
        <f>IFERROR(D25/D11,"")</f>
        <v/>
      </c>
      <c r="E79" s="49">
        <f>IFERROR(E25/E11,"")</f>
        <v/>
      </c>
      <c r="F79" s="49">
        <f>IFERROR(F25/F11,"")</f>
        <v/>
      </c>
      <c r="G79" s="49">
        <f>IFERROR(G25/G11,"")</f>
        <v/>
      </c>
      <c r="H79" s="49">
        <f>IFERROR(H25/H11,"")</f>
        <v/>
      </c>
      <c r="I79" s="49">
        <f>IFERROR(I25/I11,"")</f>
        <v/>
      </c>
      <c r="J79" s="49">
        <f>IFERROR(J25/J11,"")</f>
        <v/>
      </c>
      <c r="K79" s="49">
        <f>IFERROR(K25/K11,"")</f>
        <v/>
      </c>
      <c r="L79" s="49">
        <f>IFERROR(L25/L11,"")</f>
        <v/>
      </c>
      <c r="M79" s="49">
        <f>IFERROR(M25/M11,"")</f>
        <v/>
      </c>
      <c r="N79" s="49">
        <f>IFERROR(N25/N11,"")</f>
        <v/>
      </c>
      <c r="O79" s="49">
        <f>IFERROR(O25/O11,"")</f>
        <v/>
      </c>
      <c r="P79" s="49">
        <f>IFERROR(P25/P11,"")</f>
        <v/>
      </c>
      <c r="Q79" s="49">
        <f>IFERROR(Q25/Q11,"")</f>
        <v/>
      </c>
      <c r="R79" s="49">
        <f>IFERROR(R25/R11,"")</f>
        <v/>
      </c>
      <c r="S79" s="49">
        <f>IFERROR(S25/S11,"")</f>
        <v/>
      </c>
      <c r="T79" s="49">
        <f>IFERROR(T25/T11,"")</f>
        <v/>
      </c>
      <c r="U79" s="49">
        <f>IFERROR(U25/U11,"")</f>
        <v/>
      </c>
      <c r="V79" s="49">
        <f>IFERROR(V25/V11,"")</f>
        <v/>
      </c>
      <c r="W79" s="49">
        <f>IFERROR(W25/W11,"")</f>
        <v/>
      </c>
      <c r="X79" s="49">
        <f>IFERROR(X25/X11,"")</f>
        <v/>
      </c>
      <c r="Y79" s="49">
        <f>IFERROR(Y25/Y11,"")</f>
        <v/>
      </c>
      <c r="Z79" s="49">
        <f>IFERROR(Z25/Z11,"")</f>
        <v/>
      </c>
      <c r="AA79" s="49">
        <f>IFERROR(AA25/AA11,"")</f>
        <v/>
      </c>
      <c r="AC79" s="49">
        <f>IFERROR(AC25/AC11,"")</f>
        <v/>
      </c>
      <c r="AD79" s="49">
        <f>IFERROR(AD25/AD11,"")</f>
        <v/>
      </c>
      <c r="AE79" s="49">
        <f>IFERROR(AE25/AE11,"")</f>
        <v/>
      </c>
      <c r="AF79" s="49">
        <f>IFERROR(AF25/AF11,"")</f>
        <v/>
      </c>
      <c r="AG79" s="49">
        <f>IFERROR(AG25/AG11,"")</f>
        <v/>
      </c>
      <c r="AH79" s="49">
        <f>IFERROR(AH25/AH11,"")</f>
        <v/>
      </c>
      <c r="AI79" s="49">
        <f>IFERROR(AI25/AI11,"")</f>
        <v/>
      </c>
    </row>
    <row r="80" spans="1:37">
      <c r="A80" s="42" t="s">
        <v>485</v>
      </c>
      <c r="B80" s="49">
        <f>IFERROR(B26/B12,"")</f>
        <v/>
      </c>
      <c r="C80" s="49">
        <f>IFERROR(C26/C12,"")</f>
        <v/>
      </c>
      <c r="D80" s="49">
        <f>IFERROR(D26/D12,"")</f>
        <v/>
      </c>
      <c r="E80" s="49">
        <f>IFERROR(E26/E12,"")</f>
        <v/>
      </c>
      <c r="F80" s="49">
        <f>IFERROR(F26/F12,"")</f>
        <v/>
      </c>
      <c r="G80" s="49">
        <f>IFERROR(G26/G12,"")</f>
        <v/>
      </c>
      <c r="H80" s="49">
        <f>IFERROR(H26/H12,"")</f>
        <v/>
      </c>
      <c r="I80" s="49">
        <f>IFERROR(I26/I12,"")</f>
        <v/>
      </c>
      <c r="J80" s="49">
        <f>IFERROR(J26/J12,"")</f>
        <v/>
      </c>
      <c r="K80" s="49">
        <f>IFERROR(K26/K12,"")</f>
        <v/>
      </c>
      <c r="L80" s="49">
        <f>IFERROR(L26/L12,"")</f>
        <v/>
      </c>
      <c r="M80" s="49">
        <f>IFERROR(M26/M12,"")</f>
        <v/>
      </c>
      <c r="N80" s="49">
        <f>IFERROR(N26/N12,"")</f>
        <v/>
      </c>
      <c r="O80" s="49">
        <f>IFERROR(O26/O12,"")</f>
        <v/>
      </c>
      <c r="P80" s="49">
        <f>IFERROR(P26/P12,"")</f>
        <v/>
      </c>
      <c r="Q80" s="49">
        <f>IFERROR(Q26/Q12,"")</f>
        <v/>
      </c>
      <c r="R80" s="49">
        <f>IFERROR(R26/R12,"")</f>
        <v/>
      </c>
      <c r="S80" s="49">
        <f>IFERROR(S26/S12,"")</f>
        <v/>
      </c>
      <c r="T80" s="49">
        <f>IFERROR(T26/T12,"")</f>
        <v/>
      </c>
      <c r="U80" s="49">
        <f>IFERROR(U26/U12,"")</f>
        <v/>
      </c>
      <c r="V80" s="49">
        <f>IFERROR(V26/V12,"")</f>
        <v/>
      </c>
      <c r="W80" s="49">
        <f>IFERROR(W26/W12,"")</f>
        <v/>
      </c>
      <c r="X80" s="49">
        <f>IFERROR(X26/X12,"")</f>
        <v/>
      </c>
      <c r="Y80" s="49">
        <f>IFERROR(Y26/Y12,"")</f>
        <v/>
      </c>
      <c r="Z80" s="49">
        <f>IFERROR(Z26/Z12,"")</f>
        <v/>
      </c>
      <c r="AA80" s="49">
        <f>IFERROR(AA26/AA12,"")</f>
        <v/>
      </c>
      <c r="AC80" s="49">
        <f>IFERROR(AC26/AC12,"")</f>
        <v/>
      </c>
      <c r="AD80" s="49">
        <f>IFERROR(AD26/AD12,"")</f>
        <v/>
      </c>
      <c r="AE80" s="49">
        <f>IFERROR(AE26/AE12,"")</f>
        <v/>
      </c>
      <c r="AF80" s="49">
        <f>IFERROR(AF26/AF12,"")</f>
        <v/>
      </c>
      <c r="AG80" s="49">
        <f>IFERROR(AG26/AG12,"")</f>
        <v/>
      </c>
      <c r="AH80" s="49">
        <f>IFERROR(AH26/AH12,"")</f>
        <v/>
      </c>
      <c r="AI80" s="49">
        <f>IFERROR(AI26/AI12,"")</f>
        <v/>
      </c>
    </row>
    <row r="81" spans="1:37">
      <c r="A81" s="42" t="s">
        <v>486</v>
      </c>
      <c r="B81" s="49">
        <f>IFERROR(B27/B13,"")</f>
        <v/>
      </c>
      <c r="C81" s="49">
        <f>IFERROR(C27/C13,"")</f>
        <v/>
      </c>
      <c r="D81" s="49">
        <f>IFERROR(D27/D13,"")</f>
        <v/>
      </c>
      <c r="E81" s="49">
        <f>IFERROR(E27/E13,"")</f>
        <v/>
      </c>
      <c r="F81" s="49">
        <f>IFERROR(F27/F13,"")</f>
        <v/>
      </c>
      <c r="G81" s="49">
        <f>IFERROR(G27/G13,"")</f>
        <v/>
      </c>
      <c r="H81" s="49">
        <f>IFERROR(H27/H13,"")</f>
        <v/>
      </c>
      <c r="I81" s="49">
        <f>IFERROR(I27/I13,"")</f>
        <v/>
      </c>
      <c r="J81" s="49">
        <f>IFERROR(J27/J13,"")</f>
        <v/>
      </c>
      <c r="K81" s="49">
        <f>IFERROR(K27/K13,"")</f>
        <v/>
      </c>
      <c r="L81" s="49">
        <f>IFERROR(L27/L13,"")</f>
        <v/>
      </c>
      <c r="M81" s="49">
        <f>IFERROR(M27/M13,"")</f>
        <v/>
      </c>
      <c r="N81" s="49">
        <f>IFERROR(N27/N13,"")</f>
        <v/>
      </c>
      <c r="O81" s="49">
        <f>IFERROR(O27/O13,"")</f>
        <v/>
      </c>
      <c r="P81" s="49">
        <f>IFERROR(P27/P13,"")</f>
        <v/>
      </c>
      <c r="Q81" s="49">
        <f>IFERROR(Q27/Q13,"")</f>
        <v/>
      </c>
      <c r="R81" s="49">
        <f>IFERROR(R27/R13,"")</f>
        <v/>
      </c>
      <c r="S81" s="49">
        <f>IFERROR(S27/S13,"")</f>
        <v/>
      </c>
      <c r="T81" s="49">
        <f>IFERROR(T27/T13,"")</f>
        <v/>
      </c>
      <c r="U81" s="49">
        <f>IFERROR(U27/U13,"")</f>
        <v/>
      </c>
      <c r="V81" s="49">
        <f>IFERROR(V27/V13,"")</f>
        <v/>
      </c>
      <c r="W81" s="49">
        <f>IFERROR(W27/W13,"")</f>
        <v/>
      </c>
      <c r="X81" s="49">
        <f>IFERROR(X27/X13,"")</f>
        <v/>
      </c>
      <c r="Y81" s="49">
        <f>IFERROR(Y27/Y13,"")</f>
        <v/>
      </c>
      <c r="Z81" s="49">
        <f>IFERROR(Z27/Z13,"")</f>
        <v/>
      </c>
      <c r="AA81" s="49">
        <f>IFERROR(AA27/AA13,"")</f>
        <v/>
      </c>
      <c r="AC81" s="49">
        <f>IFERROR(AC27/AC13,"")</f>
        <v/>
      </c>
      <c r="AD81" s="49">
        <f>IFERROR(AD27/AD13,"")</f>
        <v/>
      </c>
      <c r="AE81" s="49">
        <f>IFERROR(AE27/AE13,"")</f>
        <v/>
      </c>
      <c r="AF81" s="49">
        <f>IFERROR(AF27/AF13,"")</f>
        <v/>
      </c>
      <c r="AG81" s="49">
        <f>IFERROR(AG27/AG13,"")</f>
        <v/>
      </c>
      <c r="AH81" s="49">
        <f>IFERROR(AH27/AH13,"")</f>
        <v/>
      </c>
      <c r="AI81" s="49">
        <f>IFERROR(AI27/AI13,"")</f>
        <v/>
      </c>
    </row>
    <row r="82" spans="1:37">
      <c r="A82" s="42" t="s">
        <v>487</v>
      </c>
      <c r="B82" s="49">
        <f>IFERROR(B28/B14,"")</f>
        <v/>
      </c>
      <c r="C82" s="49">
        <f>IFERROR(C28/C14,"")</f>
        <v/>
      </c>
      <c r="D82" s="49">
        <f>IFERROR(D28/D14,"")</f>
        <v/>
      </c>
      <c r="E82" s="49">
        <f>IFERROR(E28/E14,"")</f>
        <v/>
      </c>
      <c r="F82" s="49">
        <f>IFERROR(F28/F14,"")</f>
        <v/>
      </c>
      <c r="G82" s="49">
        <f>IFERROR(G28/G14,"")</f>
        <v/>
      </c>
      <c r="H82" s="49">
        <f>IFERROR(H28/H14,"")</f>
        <v/>
      </c>
      <c r="I82" s="49">
        <f>IFERROR(I28/I14,"")</f>
        <v/>
      </c>
      <c r="J82" s="49">
        <f>IFERROR(J28/J14,"")</f>
        <v/>
      </c>
      <c r="K82" s="49">
        <f>IFERROR(K28/K14,"")</f>
        <v/>
      </c>
      <c r="L82" s="49">
        <f>IFERROR(L28/L14,"")</f>
        <v/>
      </c>
      <c r="M82" s="49">
        <f>IFERROR(M28/M14,"")</f>
        <v/>
      </c>
      <c r="N82" s="49">
        <f>IFERROR(N28/N14,"")</f>
        <v/>
      </c>
      <c r="O82" s="49">
        <f>IFERROR(O28/O14,"")</f>
        <v/>
      </c>
      <c r="P82" s="49">
        <f>IFERROR(P28/P14,"")</f>
        <v/>
      </c>
      <c r="Q82" s="49">
        <f>IFERROR(Q28/Q14,"")</f>
        <v/>
      </c>
      <c r="R82" s="49">
        <f>IFERROR(R28/R14,"")</f>
        <v/>
      </c>
      <c r="S82" s="49">
        <f>IFERROR(S28/S14,"")</f>
        <v/>
      </c>
      <c r="T82" s="49">
        <f>IFERROR(T28/T14,"")</f>
        <v/>
      </c>
      <c r="U82" s="49">
        <f>IFERROR(U28/U14,"")</f>
        <v/>
      </c>
      <c r="V82" s="49">
        <f>IFERROR(V28/V14,"")</f>
        <v/>
      </c>
      <c r="W82" s="49">
        <f>IFERROR(W28/W14,"")</f>
        <v/>
      </c>
      <c r="X82" s="49">
        <f>IFERROR(X28/X14,"")</f>
        <v/>
      </c>
      <c r="Y82" s="49">
        <f>IFERROR(Y28/Y14,"")</f>
        <v/>
      </c>
      <c r="Z82" s="49">
        <f>IFERROR(Z28/Z14,"")</f>
        <v/>
      </c>
      <c r="AA82" s="49">
        <f>IFERROR(AA28/AA14,"")</f>
        <v/>
      </c>
      <c r="AC82" s="49">
        <f>IFERROR(AC28/AC14,"")</f>
        <v/>
      </c>
      <c r="AD82" s="49">
        <f>IFERROR(AD28/AD14,"")</f>
        <v/>
      </c>
      <c r="AE82" s="49">
        <f>IFERROR(AE28/AE14,"")</f>
        <v/>
      </c>
      <c r="AF82" s="49">
        <f>IFERROR(AF28/AF14,"")</f>
        <v/>
      </c>
      <c r="AG82" s="49">
        <f>IFERROR(AG28/AG14,"")</f>
        <v/>
      </c>
      <c r="AH82" s="49">
        <f>IFERROR(AH28/AH14,"")</f>
        <v/>
      </c>
      <c r="AI82" s="49">
        <f>IFERROR(AI28/AI14,"")</f>
        <v/>
      </c>
    </row>
    <row r="83" spans="1:37">
      <c r="A83" s="42" t="s">
        <v>488</v>
      </c>
      <c r="B83" s="49">
        <f>IFERROR(B29/B15,"")</f>
        <v/>
      </c>
      <c r="C83" s="49">
        <f>IFERROR(C29/C15,"")</f>
        <v/>
      </c>
      <c r="D83" s="49">
        <f>IFERROR(D29/D15,"")</f>
        <v/>
      </c>
      <c r="E83" s="49">
        <f>IFERROR(E29/E15,"")</f>
        <v/>
      </c>
      <c r="F83" s="49">
        <f>IFERROR(F29/F15,"")</f>
        <v/>
      </c>
      <c r="G83" s="49">
        <f>IFERROR(G29/G15,"")</f>
        <v/>
      </c>
      <c r="H83" s="49">
        <f>IFERROR(H29/H15,"")</f>
        <v/>
      </c>
      <c r="I83" s="49">
        <f>IFERROR(I29/I15,"")</f>
        <v/>
      </c>
      <c r="J83" s="49">
        <f>IFERROR(J29/J15,"")</f>
        <v/>
      </c>
      <c r="K83" s="49">
        <f>IFERROR(K29/K15,"")</f>
        <v/>
      </c>
      <c r="L83" s="49">
        <f>IFERROR(L29/L15,"")</f>
        <v/>
      </c>
      <c r="M83" s="49">
        <f>IFERROR(M29/M15,"")</f>
        <v/>
      </c>
      <c r="N83" s="49">
        <f>IFERROR(N29/N15,"")</f>
        <v/>
      </c>
      <c r="O83" s="49">
        <f>IFERROR(O29/O15,"")</f>
        <v/>
      </c>
      <c r="P83" s="49">
        <f>IFERROR(P29/P15,"")</f>
        <v/>
      </c>
      <c r="Q83" s="49">
        <f>IFERROR(Q29/Q15,"")</f>
        <v/>
      </c>
      <c r="R83" s="49">
        <f>IFERROR(R29/R15,"")</f>
        <v/>
      </c>
      <c r="S83" s="49">
        <f>IFERROR(S29/S15,"")</f>
        <v/>
      </c>
      <c r="T83" s="49">
        <f>IFERROR(T29/T15,"")</f>
        <v/>
      </c>
      <c r="U83" s="49">
        <f>IFERROR(U29/U15,"")</f>
        <v/>
      </c>
      <c r="V83" s="49">
        <f>IFERROR(V29/V15,"")</f>
        <v/>
      </c>
      <c r="W83" s="49">
        <f>IFERROR(W29/W15,"")</f>
        <v/>
      </c>
      <c r="X83" s="49">
        <f>IFERROR(X29/X15,"")</f>
        <v/>
      </c>
      <c r="Y83" s="49">
        <f>IFERROR(Y29/Y15,"")</f>
        <v/>
      </c>
      <c r="Z83" s="49">
        <f>IFERROR(Z29/Z15,"")</f>
        <v/>
      </c>
      <c r="AA83" s="49">
        <f>IFERROR(AA29/AA15,"")</f>
        <v/>
      </c>
      <c r="AC83" s="49">
        <f>IFERROR(AC29/AC15,"")</f>
        <v/>
      </c>
      <c r="AD83" s="49">
        <f>IFERROR(AD29/AD15,"")</f>
        <v/>
      </c>
      <c r="AE83" s="49">
        <f>IFERROR(AE29/AE15,"")</f>
        <v/>
      </c>
      <c r="AF83" s="49">
        <f>IFERROR(AF29/AF15,"")</f>
        <v/>
      </c>
      <c r="AG83" s="49">
        <f>IFERROR(AG29/AG15,"")</f>
        <v/>
      </c>
      <c r="AH83" s="49">
        <f>IFERROR(AH29/AH15,"")</f>
        <v/>
      </c>
      <c r="AI83" s="49">
        <f>IFERROR(AI29/AI15,"")</f>
        <v/>
      </c>
    </row>
    <row r="84" spans="1:37">
      <c r="A84" s="42" t="s">
        <v>489</v>
      </c>
      <c r="B84" s="49">
        <f>IFERROR(B30/B16,"")</f>
        <v/>
      </c>
      <c r="C84" s="49">
        <f>IFERROR(C30/C16,"")</f>
        <v/>
      </c>
      <c r="D84" s="49">
        <f>IFERROR(D30/D16,"")</f>
        <v/>
      </c>
      <c r="E84" s="49">
        <f>IFERROR(E30/E16,"")</f>
        <v/>
      </c>
      <c r="F84" s="49">
        <f>IFERROR(F30/F16,"")</f>
        <v/>
      </c>
      <c r="G84" s="49">
        <f>IFERROR(G30/G16,"")</f>
        <v/>
      </c>
      <c r="H84" s="49">
        <f>IFERROR(H30/H16,"")</f>
        <v/>
      </c>
      <c r="I84" s="49">
        <f>IFERROR(I30/I16,"")</f>
        <v/>
      </c>
      <c r="J84" s="49">
        <f>IFERROR(J30/J16,"")</f>
        <v/>
      </c>
      <c r="K84" s="49">
        <f>IFERROR(K30/K16,"")</f>
        <v/>
      </c>
      <c r="L84" s="49">
        <f>IFERROR(L30/L16,"")</f>
        <v/>
      </c>
      <c r="M84" s="49">
        <f>IFERROR(M30/M16,"")</f>
        <v/>
      </c>
      <c r="N84" s="49">
        <f>IFERROR(N30/N16,"")</f>
        <v/>
      </c>
      <c r="O84" s="49">
        <f>IFERROR(O30/O16,"")</f>
        <v/>
      </c>
      <c r="P84" s="49">
        <f>IFERROR(P30/P16,"")</f>
        <v/>
      </c>
      <c r="Q84" s="49">
        <f>IFERROR(Q30/Q16,"")</f>
        <v/>
      </c>
      <c r="R84" s="49">
        <f>IFERROR(R30/R16,"")</f>
        <v/>
      </c>
      <c r="S84" s="49">
        <f>IFERROR(S30/S16,"")</f>
        <v/>
      </c>
      <c r="T84" s="49">
        <f>IFERROR(T30/T16,"")</f>
        <v/>
      </c>
      <c r="U84" s="49">
        <f>IFERROR(U30/U16,"")</f>
        <v/>
      </c>
      <c r="V84" s="49">
        <f>IFERROR(V30/V16,"")</f>
        <v/>
      </c>
      <c r="W84" s="49">
        <f>IFERROR(W30/W16,"")</f>
        <v/>
      </c>
      <c r="X84" s="49">
        <f>IFERROR(X30/X16,"")</f>
        <v/>
      </c>
      <c r="Y84" s="49">
        <f>IFERROR(Y30/Y16,"")</f>
        <v/>
      </c>
      <c r="Z84" s="49">
        <f>IFERROR(Z30/Z16,"")</f>
        <v/>
      </c>
      <c r="AA84" s="49">
        <f>IFERROR(AA30/AA16,"")</f>
        <v/>
      </c>
      <c r="AC84" s="49">
        <f>IFERROR(AC30/AC16,"")</f>
        <v/>
      </c>
      <c r="AD84" s="49">
        <f>IFERROR(AD30/AD16,"")</f>
        <v/>
      </c>
      <c r="AE84" s="49">
        <f>IFERROR(AE30/AE16,"")</f>
        <v/>
      </c>
      <c r="AF84" s="49">
        <f>IFERROR(AF30/AF16,"")</f>
        <v/>
      </c>
      <c r="AG84" s="49">
        <f>IFERROR(AG30/AG16,"")</f>
        <v/>
      </c>
      <c r="AH84" s="49">
        <f>IFERROR(AH30/AH16,"")</f>
        <v/>
      </c>
      <c r="AI84" s="49">
        <f>IFERROR(AI30/AI16,"")</f>
        <v/>
      </c>
    </row>
    <row r="86" spans="1:37">
      <c r="A86" s="1" t="s">
        <v>496</v>
      </c>
    </row>
    <row r="87" spans="1:37">
      <c r="A87" s="2" t="s">
        <v>497</v>
      </c>
    </row>
    <row r="89" spans="1:37">
      <c r="A89" s="5" t="s">
        <v>456</v>
      </c>
    </row>
    <row r="90" spans="1:37">
      <c r="A90" s="42" t="s">
        <v>479</v>
      </c>
      <c r="B90" s="45">
        <v>1316104013.766902</v>
      </c>
      <c r="C90" s="45">
        <v>801958021.4247153</v>
      </c>
      <c r="D90" s="45">
        <v>1078219318.407956</v>
      </c>
      <c r="E90" s="45">
        <v>973906989.3017389</v>
      </c>
      <c r="F90" s="45">
        <v>1246764805.087437</v>
      </c>
      <c r="G90" s="45">
        <v>1385840690.285953</v>
      </c>
      <c r="H90" s="45">
        <v>1602876299.128315</v>
      </c>
      <c r="I90" s="45">
        <v>1520107850.838733</v>
      </c>
      <c r="J90" s="45">
        <v>1598000000</v>
      </c>
      <c r="K90" s="45">
        <v>1810000000</v>
      </c>
      <c r="L90" s="45">
        <v>2087000000</v>
      </c>
      <c r="M90" s="45">
        <v>1690000000</v>
      </c>
      <c r="N90" s="45">
        <v>1828000000</v>
      </c>
      <c r="O90" s="45">
        <v>1896000000</v>
      </c>
      <c r="P90" s="45">
        <v>1920000000</v>
      </c>
      <c r="Q90" s="45">
        <v>1710000000</v>
      </c>
      <c r="R90" s="45">
        <v>1947000000</v>
      </c>
      <c r="S90" s="45">
        <v>2172000000</v>
      </c>
      <c r="T90" s="45">
        <v>2150000000</v>
      </c>
      <c r="U90" s="45">
        <v>1969000000</v>
      </c>
      <c r="V90" s="45">
        <v>2067000000</v>
      </c>
      <c r="W90" s="45">
        <v>1895000000</v>
      </c>
      <c r="X90" s="45">
        <v>1967000000</v>
      </c>
      <c r="Y90" s="45">
        <v>1646000000</v>
      </c>
      <c r="Z90" s="45">
        <v>2021000000</v>
      </c>
      <c r="AA90" s="45">
        <v>2741000000</v>
      </c>
      <c r="AC90" s="45">
        <v>5996135159.954681</v>
      </c>
      <c r="AD90" s="45">
        <v>4255000000</v>
      </c>
      <c r="AE90" s="45">
        <v>5967000000</v>
      </c>
      <c r="AF90" s="45">
        <v>7185000000</v>
      </c>
      <c r="AG90" s="45">
        <v>7243000000</v>
      </c>
      <c r="AH90" s="45">
        <v>8275000000</v>
      </c>
      <c r="AI90" s="45">
        <v>7575000000</v>
      </c>
    </row>
    <row r="91" spans="1:37">
      <c r="A91" s="42" t="s">
        <v>498</v>
      </c>
      <c r="B91" s="45">
        <v>2792037754.477548</v>
      </c>
      <c r="C91" s="45">
        <v>1955379951.87697</v>
      </c>
      <c r="D91" s="45">
        <v>2337150057.134942</v>
      </c>
      <c r="E91" s="45">
        <v>2304206481.851024</v>
      </c>
      <c r="F91" s="45">
        <v>2600600120.052269</v>
      </c>
      <c r="G91" s="45">
        <v>3303239629.979591</v>
      </c>
      <c r="H91" s="45">
        <v>3555608187.329206</v>
      </c>
      <c r="I91" s="45">
        <v>3579292525.023672</v>
      </c>
      <c r="J91" s="45">
        <v>3663000000</v>
      </c>
      <c r="K91" s="45">
        <v>4881000000</v>
      </c>
      <c r="L91" s="45">
        <v>5228000000</v>
      </c>
      <c r="M91" s="45">
        <v>4548000000</v>
      </c>
      <c r="N91" s="45">
        <v>4131000000</v>
      </c>
      <c r="O91" s="45">
        <v>4264000000</v>
      </c>
      <c r="P91" s="45">
        <v>4367000000</v>
      </c>
      <c r="Q91" s="45">
        <v>4143000000</v>
      </c>
      <c r="R91" s="45">
        <v>4155000000</v>
      </c>
      <c r="S91" s="45">
        <v>4706000000</v>
      </c>
      <c r="T91" s="45">
        <v>5047000000</v>
      </c>
      <c r="U91" s="45">
        <v>4538000000</v>
      </c>
      <c r="V91" s="45">
        <v>4390000000</v>
      </c>
      <c r="W91" s="45">
        <v>4398000000</v>
      </c>
      <c r="X91" s="45">
        <v>4474000000</v>
      </c>
      <c r="Y91" s="45">
        <v>4385000000</v>
      </c>
      <c r="Z91" s="45">
        <v>4719000000</v>
      </c>
      <c r="AA91" s="45">
        <v>6346000000</v>
      </c>
      <c r="AC91" s="45">
        <v>13768834481.326</v>
      </c>
      <c r="AD91" s="45">
        <v>9470000000</v>
      </c>
      <c r="AE91" s="45">
        <v>13289000000</v>
      </c>
      <c r="AF91" s="45">
        <v>18320000000</v>
      </c>
      <c r="AG91" s="45">
        <v>16907000000</v>
      </c>
      <c r="AH91" s="45">
        <v>18429000000</v>
      </c>
      <c r="AI91" s="45">
        <v>17635000000</v>
      </c>
    </row>
    <row r="92" spans="1:37">
      <c r="A92" s="42" t="s">
        <v>487</v>
      </c>
      <c r="B92" s="45">
        <v>177138101.0005088</v>
      </c>
      <c r="C92" s="45">
        <v>103058952.2952344</v>
      </c>
      <c r="D92" s="45">
        <v>137151693.039469</v>
      </c>
      <c r="E92" s="45">
        <v>187690800.9315882</v>
      </c>
      <c r="F92" s="45">
        <v>146767257.2617767</v>
      </c>
      <c r="G92" s="45">
        <v>185938947.9155554</v>
      </c>
      <c r="H92" s="45">
        <v>232252748.6438028</v>
      </c>
      <c r="I92" s="45">
        <v>272863097.0080175</v>
      </c>
      <c r="J92" s="45">
        <v>207000000</v>
      </c>
      <c r="K92" s="45">
        <v>259000000</v>
      </c>
      <c r="L92" s="45">
        <v>300000000</v>
      </c>
      <c r="M92" s="45">
        <v>399000000</v>
      </c>
      <c r="N92" s="45">
        <v>310000000</v>
      </c>
      <c r="O92" s="45">
        <v>335000000</v>
      </c>
      <c r="P92" s="45">
        <v>361000000</v>
      </c>
      <c r="Q92" s="45">
        <v>38000000</v>
      </c>
      <c r="R92" s="45">
        <v>362000000</v>
      </c>
      <c r="S92" s="45">
        <v>413000000</v>
      </c>
      <c r="T92" s="45">
        <v>625000000</v>
      </c>
      <c r="U92" s="45">
        <v>496000000</v>
      </c>
      <c r="V92" s="45">
        <v>482000000</v>
      </c>
      <c r="W92" s="45">
        <v>482000000</v>
      </c>
      <c r="X92" s="45">
        <v>422000000</v>
      </c>
      <c r="Y92" s="45">
        <v>449000000</v>
      </c>
      <c r="Z92" s="45">
        <v>459000000</v>
      </c>
      <c r="AA92" s="45">
        <v>502000000</v>
      </c>
      <c r="AC92" s="45">
        <v>981486415.6381639</v>
      </c>
      <c r="AD92" s="45">
        <v>555000000</v>
      </c>
      <c r="AE92" s="45">
        <v>730000000</v>
      </c>
      <c r="AF92" s="45">
        <v>1165000000</v>
      </c>
      <c r="AG92" s="45">
        <v>1137000000</v>
      </c>
      <c r="AH92" s="45">
        <v>1852000000</v>
      </c>
      <c r="AI92" s="45">
        <v>1846000000</v>
      </c>
    </row>
    <row r="93" spans="1:37">
      <c r="A93" s="42" t="s">
        <v>488</v>
      </c>
      <c r="B93" s="45">
        <v>-1441203014.592981</v>
      </c>
      <c r="C93" s="45">
        <v>-882192333.6672105</v>
      </c>
      <c r="D93" s="45">
        <v>-1183568314.00727</v>
      </c>
      <c r="E93" s="45">
        <v>-1122194473.026962</v>
      </c>
      <c r="F93" s="45">
        <v>-1340640721.639574</v>
      </c>
      <c r="G93" s="45">
        <v>-1512886730.833212</v>
      </c>
      <c r="H93" s="45">
        <v>-1752992260.795488</v>
      </c>
      <c r="I93" s="45">
        <v>-1719001676.218756</v>
      </c>
      <c r="J93" s="45">
        <v>-1708000000</v>
      </c>
      <c r="K93" s="45">
        <v>-1955000000</v>
      </c>
      <c r="L93" s="45">
        <v>-2258000000</v>
      </c>
      <c r="M93" s="45">
        <v>-1992000000</v>
      </c>
      <c r="N93" s="45">
        <v>-2031000000</v>
      </c>
      <c r="O93" s="45">
        <v>-2120000000</v>
      </c>
      <c r="P93" s="45">
        <v>-2144000000</v>
      </c>
      <c r="Q93" s="45">
        <v>-1697000000</v>
      </c>
      <c r="R93" s="45">
        <v>-2154000000</v>
      </c>
      <c r="S93" s="45">
        <v>-2356000000</v>
      </c>
      <c r="T93" s="45">
        <v>-2525000000</v>
      </c>
      <c r="U93" s="45">
        <v>-2252000000</v>
      </c>
      <c r="V93" s="45">
        <v>-2331000000</v>
      </c>
      <c r="W93" s="45">
        <v>-2134000000</v>
      </c>
      <c r="X93" s="45">
        <v>-2220000000</v>
      </c>
      <c r="Y93" s="45">
        <v>-1924000000</v>
      </c>
      <c r="Z93" s="45">
        <v>-2253000000</v>
      </c>
      <c r="AA93" s="45">
        <v>-3015000000</v>
      </c>
      <c r="AC93" s="45">
        <v>-6649053702.807723</v>
      </c>
      <c r="AD93" s="45">
        <v>-4590000000</v>
      </c>
      <c r="AE93" s="45">
        <v>-6304000000</v>
      </c>
      <c r="AF93" s="45">
        <v>-7913000000</v>
      </c>
      <c r="AG93" s="45">
        <v>-7976000000</v>
      </c>
      <c r="AH93" s="45">
        <v>-9263000000</v>
      </c>
      <c r="AI93" s="45">
        <v>-8608000000</v>
      </c>
    </row>
    <row r="94" spans="1:37">
      <c r="A94" s="47" t="s">
        <v>489</v>
      </c>
      <c r="B94" s="48">
        <v>2844076854.651978</v>
      </c>
      <c r="C94" s="48">
        <v>1978204591.929708</v>
      </c>
      <c r="D94" s="48">
        <v>2368952754.575097</v>
      </c>
      <c r="E94" s="48">
        <v>2343609799.057388</v>
      </c>
      <c r="F94" s="48">
        <v>2653491460.761909</v>
      </c>
      <c r="G94" s="48">
        <v>3362132537.347887</v>
      </c>
      <c r="H94" s="48">
        <v>3637744974.305836</v>
      </c>
      <c r="I94" s="48">
        <v>3653261796.651667</v>
      </c>
      <c r="J94" s="48">
        <v>3760000000</v>
      </c>
      <c r="K94" s="48">
        <v>4995000000</v>
      </c>
      <c r="L94" s="48">
        <v>5357000000</v>
      </c>
      <c r="M94" s="48">
        <v>4645000000</v>
      </c>
      <c r="N94" s="48">
        <v>4238000000</v>
      </c>
      <c r="O94" s="48">
        <v>4375000000</v>
      </c>
      <c r="P94" s="48">
        <v>4504000000</v>
      </c>
      <c r="Q94" s="48">
        <v>4194000000</v>
      </c>
      <c r="R94" s="48">
        <v>4310000000</v>
      </c>
      <c r="S94" s="48">
        <v>4935000000</v>
      </c>
      <c r="T94" s="48">
        <v>5297000000</v>
      </c>
      <c r="U94" s="48">
        <v>4751000000</v>
      </c>
      <c r="V94" s="48">
        <v>4608000000</v>
      </c>
      <c r="W94" s="48">
        <v>4641000000</v>
      </c>
      <c r="X94" s="48">
        <v>4643000000</v>
      </c>
      <c r="Y94" s="48">
        <v>4556000000</v>
      </c>
      <c r="Z94" s="48">
        <v>4946000000</v>
      </c>
      <c r="AA94" s="48">
        <v>6574000000</v>
      </c>
      <c r="AC94" s="48">
        <v>14097402354.11112</v>
      </c>
      <c r="AD94" s="48">
        <v>9690000000</v>
      </c>
      <c r="AE94" s="48">
        <v>13682000000</v>
      </c>
      <c r="AF94" s="48">
        <v>18757000000</v>
      </c>
      <c r="AG94" s="48">
        <v>17311000000</v>
      </c>
      <c r="AH94" s="48">
        <v>19293000000</v>
      </c>
      <c r="AI94" s="48">
        <v>18448000000</v>
      </c>
    </row>
    <row r="95" spans="1:37">
      <c r="A95" s="6" t="s">
        <v>490</v>
      </c>
      <c r="B95" s="45">
        <f>IF(COUNT(B94)=1,SUM(B90,B91,B92,B93)-B94,"")</f>
        <v/>
      </c>
      <c r="C95" s="45">
        <f>IF(COUNT(C94)=1,SUM(C90,C91,C92,C93)-C94,"")</f>
        <v/>
      </c>
      <c r="D95" s="45">
        <f>IF(COUNT(D94)=1,SUM(D90,D91,D92,D93)-D94,"")</f>
        <v/>
      </c>
      <c r="E95" s="45">
        <f>IF(COUNT(E94)=1,SUM(E90,E91,E92,E93)-E94,"")</f>
        <v/>
      </c>
      <c r="F95" s="45">
        <f>IF(COUNT(F94)=1,SUM(F90,F91,F92,F93)-F94,"")</f>
        <v/>
      </c>
      <c r="G95" s="45">
        <f>IF(COUNT(G94)=1,SUM(G90,G91,G92,G93)-G94,"")</f>
        <v/>
      </c>
      <c r="H95" s="45">
        <f>IF(COUNT(H94)=1,SUM(H90,H91,H92,H93)-H94,"")</f>
        <v/>
      </c>
      <c r="I95" s="45">
        <f>IF(COUNT(I94)=1,SUM(I90,I91,I92,I93)-I94,"")</f>
        <v/>
      </c>
      <c r="J95" s="45">
        <f>IF(COUNT(J94)=1,SUM(J90,J91,J92,J93)-J94,"")</f>
        <v/>
      </c>
      <c r="K95" s="45">
        <f>IF(COUNT(K94)=1,SUM(K90,K91,K92,K93)-K94,"")</f>
        <v/>
      </c>
      <c r="L95" s="45">
        <f>IF(COUNT(L94)=1,SUM(L90,L91,L92,L93)-L94,"")</f>
        <v/>
      </c>
      <c r="M95" s="45">
        <f>IF(COUNT(M94)=1,SUM(M90,M91,M92,M93)-M94,"")</f>
        <v/>
      </c>
      <c r="N95" s="45">
        <f>IF(COUNT(N94)=1,SUM(N90,N91,N92,N93)-N94,"")</f>
        <v/>
      </c>
      <c r="O95" s="45">
        <f>IF(COUNT(O94)=1,SUM(O90,O91,O92,O93)-O94,"")</f>
        <v/>
      </c>
      <c r="P95" s="45">
        <f>IF(COUNT(P94)=1,SUM(P90,P91,P92,P93)-P94,"")</f>
        <v/>
      </c>
      <c r="Q95" s="45">
        <f>IF(COUNT(Q94)=1,SUM(Q90,Q91,Q92,Q93)-Q94,"")</f>
        <v/>
      </c>
      <c r="R95" s="45">
        <f>IF(COUNT(R94)=1,SUM(R90,R91,R92,R93)-R94,"")</f>
        <v/>
      </c>
      <c r="S95" s="45">
        <f>IF(COUNT(S94)=1,SUM(S90,S91,S92,S93)-S94,"")</f>
        <v/>
      </c>
      <c r="T95" s="45">
        <f>IF(COUNT(T94)=1,SUM(T90,T91,T92,T93)-T94,"")</f>
        <v/>
      </c>
      <c r="U95" s="45">
        <f>IF(COUNT(U94)=1,SUM(U90,U91,U92,U93)-U94,"")</f>
        <v/>
      </c>
      <c r="V95" s="45">
        <f>IF(COUNT(V94)=1,SUM(V90,V91,V92,V93)-V94,"")</f>
        <v/>
      </c>
      <c r="W95" s="45">
        <f>IF(COUNT(W94)=1,SUM(W90,W91,W92,W93)-W94,"")</f>
        <v/>
      </c>
      <c r="X95" s="45">
        <f>IF(COUNT(X94)=1,SUM(X90,X91,X92,X93)-X94,"")</f>
        <v/>
      </c>
      <c r="Y95" s="45">
        <f>IF(COUNT(Y94)=1,SUM(Y90,Y91,Y92,Y93)-Y94,"")</f>
        <v/>
      </c>
      <c r="Z95" s="45">
        <f>IF(COUNT(Z94)=1,SUM(Z90,Z91,Z92,Z93)-Z94,"")</f>
        <v/>
      </c>
      <c r="AA95" s="45">
        <f>IF(COUNT(AA94)=1,SUM(AA90,AA91,AA92,AA93)-AA94,"")</f>
        <v/>
      </c>
      <c r="AC95" s="45">
        <f>IF(COUNT(AC94)=1,SUM(AC90,AC91,AC92,AC93)-AC94,"")</f>
        <v/>
      </c>
      <c r="AD95" s="45">
        <f>IF(COUNT(AD94)=1,SUM(AD90,AD91,AD92,AD93)-AD94,"")</f>
        <v/>
      </c>
      <c r="AE95" s="45">
        <f>IF(COUNT(AE94)=1,SUM(AE90,AE91,AE92,AE93)-AE94,"")</f>
        <v/>
      </c>
      <c r="AF95" s="45">
        <f>IF(COUNT(AF94)=1,SUM(AF90,AF91,AF92,AF93)-AF94,"")</f>
        <v/>
      </c>
      <c r="AG95" s="45">
        <f>IF(COUNT(AG94)=1,SUM(AG90,AG91,AG92,AG93)-AG94,"")</f>
        <v/>
      </c>
      <c r="AH95" s="45">
        <f>IF(COUNT(AH94)=1,SUM(AH90,AH91,AH92,AH93)-AH94,"")</f>
        <v/>
      </c>
      <c r="AI95" s="45">
        <f>IF(COUNT(AI94)=1,SUM(AI90,AI91,AI92,AI93)-AI94,"")</f>
        <v/>
      </c>
      <c r="AK95" s="6" t="s">
        <v>499</v>
      </c>
    </row>
    <row r="97" spans="1:37">
      <c r="A97" s="5" t="s">
        <v>469</v>
      </c>
    </row>
    <row r="98" spans="1:37">
      <c r="A98" s="42" t="s">
        <v>479</v>
      </c>
      <c r="B98" s="45">
        <v>10811627.82097048</v>
      </c>
      <c r="C98" s="45">
        <v>-1092975884.991367</v>
      </c>
      <c r="D98" s="45">
        <v>-178335435.1946899</v>
      </c>
      <c r="E98" s="45">
        <v>753938471.0393021</v>
      </c>
      <c r="F98" s="45">
        <v>18436281.08460741</v>
      </c>
      <c r="G98" s="45">
        <v>-11889278.42587872</v>
      </c>
      <c r="H98" s="45">
        <v>221758006.9782431</v>
      </c>
      <c r="I98" s="45">
        <v>-202865530.3160439</v>
      </c>
      <c r="J98" s="45">
        <v>232000000</v>
      </c>
      <c r="K98" s="45">
        <v>350000000</v>
      </c>
      <c r="L98" s="45">
        <v>319000000</v>
      </c>
      <c r="M98" s="45">
        <v>405000000</v>
      </c>
      <c r="N98" s="45">
        <v>144000000</v>
      </c>
      <c r="O98" s="45">
        <v>75000000</v>
      </c>
      <c r="P98" s="45">
        <v>-436000000</v>
      </c>
      <c r="Q98" s="45">
        <v>-1706000000</v>
      </c>
      <c r="R98" s="45">
        <v>400000000</v>
      </c>
      <c r="S98" s="45">
        <v>362000000</v>
      </c>
      <c r="T98" s="45">
        <v>333000000</v>
      </c>
      <c r="U98" s="45">
        <v>-580000000</v>
      </c>
      <c r="V98" s="45">
        <v>-103000000</v>
      </c>
      <c r="W98" s="45">
        <v>176000000</v>
      </c>
      <c r="X98" s="45">
        <v>415000000</v>
      </c>
      <c r="Y98" s="45">
        <v>-62000000</v>
      </c>
      <c r="Z98" s="45">
        <v>616000000</v>
      </c>
      <c r="AA98" s="45">
        <v>955000000</v>
      </c>
      <c r="AC98" s="45">
        <v>-1021975716.602896</v>
      </c>
      <c r="AD98" s="45">
        <v>-444000000</v>
      </c>
      <c r="AE98" s="45">
        <v>80000000</v>
      </c>
      <c r="AF98" s="45">
        <v>1306000000</v>
      </c>
      <c r="AG98" s="45">
        <v>-1915000000</v>
      </c>
      <c r="AH98" s="45">
        <v>515000000</v>
      </c>
      <c r="AI98" s="45">
        <v>410000000</v>
      </c>
    </row>
    <row r="99" spans="1:37">
      <c r="A99" s="42" t="s">
        <v>498</v>
      </c>
      <c r="B99" s="45">
        <v>49385040.93524618</v>
      </c>
      <c r="C99" s="45">
        <v>-127660981.5798541</v>
      </c>
      <c r="D99" s="45">
        <v>-91734873.93858549</v>
      </c>
      <c r="E99" s="45">
        <v>-23139448.01680897</v>
      </c>
      <c r="F99" s="45">
        <v>166898049.475484</v>
      </c>
      <c r="G99" s="45">
        <v>353708694.1543204</v>
      </c>
      <c r="H99" s="45">
        <v>263983908.738495</v>
      </c>
      <c r="I99" s="45">
        <v>141020410.5980076</v>
      </c>
      <c r="J99" s="45">
        <v>319000000</v>
      </c>
      <c r="K99" s="45">
        <v>677000000</v>
      </c>
      <c r="L99" s="45">
        <v>429000000</v>
      </c>
      <c r="M99" s="45">
        <v>188000000</v>
      </c>
      <c r="N99" s="45">
        <v>231000000</v>
      </c>
      <c r="O99" s="45">
        <v>223000000</v>
      </c>
      <c r="P99" s="45">
        <v>24000000</v>
      </c>
      <c r="Q99" s="45">
        <v>415000000</v>
      </c>
      <c r="R99" s="45">
        <v>502000000</v>
      </c>
      <c r="S99" s="45">
        <v>308000000</v>
      </c>
      <c r="T99" s="45">
        <v>384000000</v>
      </c>
      <c r="U99" s="45">
        <v>219000000</v>
      </c>
      <c r="V99" s="45">
        <v>441000000</v>
      </c>
      <c r="W99" s="45">
        <v>310000000</v>
      </c>
      <c r="X99" s="45">
        <v>190000000</v>
      </c>
      <c r="Y99" s="45">
        <v>690000000</v>
      </c>
      <c r="Z99" s="45">
        <v>1097000000</v>
      </c>
      <c r="AA99" s="45">
        <v>699000000</v>
      </c>
      <c r="AC99" s="45">
        <v>905701413.1141293</v>
      </c>
      <c r="AD99" s="45">
        <v>-183000000</v>
      </c>
      <c r="AE99" s="45">
        <v>955000000</v>
      </c>
      <c r="AF99" s="45">
        <v>1613000000</v>
      </c>
      <c r="AG99" s="45">
        <v>874000000</v>
      </c>
      <c r="AH99" s="45">
        <v>1413000000</v>
      </c>
      <c r="AI99" s="45">
        <v>1591000000</v>
      </c>
    </row>
    <row r="100" spans="1:37">
      <c r="A100" s="42" t="s">
        <v>487</v>
      </c>
      <c r="B100" s="45">
        <v>-56207438.61143086</v>
      </c>
      <c r="C100" s="45">
        <v>-100318810.5627511</v>
      </c>
      <c r="D100" s="45">
        <v>-74556774.59134813</v>
      </c>
      <c r="E100" s="45">
        <v>-82756966.9752973</v>
      </c>
      <c r="F100" s="45">
        <v>-41831831.40704733</v>
      </c>
      <c r="G100" s="45">
        <v>-36189388.22559325</v>
      </c>
      <c r="H100" s="45">
        <v>-36937375.07780322</v>
      </c>
      <c r="I100" s="45">
        <v>-78956299.63036606</v>
      </c>
      <c r="J100" s="45">
        <v>-56000000</v>
      </c>
      <c r="K100" s="45">
        <v>-82000000</v>
      </c>
      <c r="L100" s="45">
        <v>-87000000</v>
      </c>
      <c r="M100" s="45">
        <v>-176000000</v>
      </c>
      <c r="N100" s="45">
        <v>-64000000</v>
      </c>
      <c r="O100" s="45">
        <v>-90000000</v>
      </c>
      <c r="P100" s="45">
        <v>-94000000</v>
      </c>
      <c r="Q100" s="45">
        <v>-26000000</v>
      </c>
      <c r="R100" s="45">
        <v>-26000000</v>
      </c>
      <c r="S100" s="45">
        <v>-68000000</v>
      </c>
      <c r="T100" s="45">
        <v>-76000000</v>
      </c>
      <c r="U100" s="45">
        <v>-162000000</v>
      </c>
      <c r="V100" s="45">
        <v>-115000000</v>
      </c>
      <c r="W100" s="45">
        <v>-69000000</v>
      </c>
      <c r="X100" s="45">
        <v>-81000000</v>
      </c>
      <c r="Y100" s="45">
        <v>-127000000</v>
      </c>
      <c r="Z100" s="45">
        <v>-170000000</v>
      </c>
      <c r="AA100" s="45">
        <v>-177000000</v>
      </c>
      <c r="AC100" s="45">
        <v>-329606592.6662104</v>
      </c>
      <c r="AD100" s="45">
        <v>-290000000</v>
      </c>
      <c r="AE100" s="45">
        <v>-198000000</v>
      </c>
      <c r="AF100" s="45">
        <v>-401000000</v>
      </c>
      <c r="AG100" s="45">
        <v>-262000000</v>
      </c>
      <c r="AH100" s="45">
        <v>-332000000</v>
      </c>
      <c r="AI100" s="45">
        <v>-336000000</v>
      </c>
    </row>
    <row r="101" spans="1:37">
      <c r="A101" s="42" t="s">
        <v>488</v>
      </c>
      <c r="B101" s="45">
        <v>236960270.6002761</v>
      </c>
      <c r="C101" s="45">
        <v>-63097317.73177613</v>
      </c>
      <c r="D101" s="45">
        <v>23882747.02569009</v>
      </c>
      <c r="E101" s="45">
        <v>-101271025.5992271</v>
      </c>
      <c r="F101" s="45">
        <v>-66074637.29403723</v>
      </c>
      <c r="G101" s="45">
        <v>4544961.403625976</v>
      </c>
      <c r="H101" s="45">
        <v>-20413301.43575532</v>
      </c>
      <c r="I101" s="45">
        <v>-52916249.22277181</v>
      </c>
      <c r="J101" s="45">
        <v>-91000000</v>
      </c>
      <c r="K101" s="45">
        <v>-60000000</v>
      </c>
      <c r="L101" s="45">
        <v>90000000</v>
      </c>
      <c r="M101" s="45">
        <v>25000000</v>
      </c>
      <c r="N101" s="45">
        <v>24000000</v>
      </c>
      <c r="O101" s="45">
        <v>13000000</v>
      </c>
      <c r="P101" s="45">
        <v>119000000</v>
      </c>
      <c r="Q101" s="45">
        <v>-100000000</v>
      </c>
      <c r="R101" s="45">
        <v>-210000000</v>
      </c>
      <c r="S101" s="45">
        <v>-12000000</v>
      </c>
      <c r="T101" s="45">
        <v>113000000</v>
      </c>
      <c r="U101" s="45">
        <v>-7000000</v>
      </c>
      <c r="V101" s="45">
        <v>-31000000</v>
      </c>
      <c r="W101" s="45">
        <v>-5000000</v>
      </c>
      <c r="X101" s="45">
        <v>28000000</v>
      </c>
      <c r="Y101" s="45">
        <v>83000000</v>
      </c>
      <c r="Z101" s="45">
        <v>-665000000</v>
      </c>
      <c r="AA101" s="45">
        <v>336000000</v>
      </c>
      <c r="AC101" s="45">
        <v>9369253.327395745</v>
      </c>
      <c r="AD101" s="45">
        <v>113000000</v>
      </c>
      <c r="AE101" s="45">
        <v>-138000000</v>
      </c>
      <c r="AF101" s="45">
        <v>-36000000</v>
      </c>
      <c r="AG101" s="45">
        <v>55000000</v>
      </c>
      <c r="AH101" s="45">
        <v>-116000000</v>
      </c>
      <c r="AI101" s="45">
        <v>75000000</v>
      </c>
    </row>
    <row r="102" spans="1:37">
      <c r="A102" s="47" t="s">
        <v>489</v>
      </c>
      <c r="B102" s="48">
        <v>240949500.745062</v>
      </c>
      <c r="C102" s="48">
        <v>-1384052994.865749</v>
      </c>
      <c r="D102" s="48">
        <v>-320744336.6989334</v>
      </c>
      <c r="E102" s="48">
        <v>546771030.4479687</v>
      </c>
      <c r="F102" s="48">
        <v>77427861.85900687</v>
      </c>
      <c r="G102" s="48">
        <v>310174988.9064744</v>
      </c>
      <c r="H102" s="48">
        <v>428391239.2031796</v>
      </c>
      <c r="I102" s="48">
        <v>-193717668.5711742</v>
      </c>
      <c r="J102" s="48">
        <v>404000000</v>
      </c>
      <c r="K102" s="48">
        <v>885000000</v>
      </c>
      <c r="L102" s="48">
        <v>751000000</v>
      </c>
      <c r="M102" s="48">
        <v>442000000</v>
      </c>
      <c r="N102" s="48">
        <v>335000000</v>
      </c>
      <c r="O102" s="48">
        <v>221000000</v>
      </c>
      <c r="P102" s="48">
        <v>-387000000</v>
      </c>
      <c r="Q102" s="48">
        <v>-1417000000</v>
      </c>
      <c r="R102" s="48">
        <v>666000000</v>
      </c>
      <c r="S102" s="48">
        <v>590000000</v>
      </c>
      <c r="T102" s="48">
        <v>754000000</v>
      </c>
      <c r="U102" s="48">
        <v>-530000000</v>
      </c>
      <c r="V102" s="48">
        <v>192000000</v>
      </c>
      <c r="W102" s="48">
        <v>412000000</v>
      </c>
      <c r="X102" s="48">
        <v>552000000</v>
      </c>
      <c r="Y102" s="48">
        <v>584000000</v>
      </c>
      <c r="Z102" s="48">
        <v>878000000</v>
      </c>
      <c r="AA102" s="48">
        <v>1813000000</v>
      </c>
      <c r="AC102" s="48">
        <v>-436511642.8275818</v>
      </c>
      <c r="AD102" s="48">
        <v>-804000000</v>
      </c>
      <c r="AE102" s="48">
        <v>699000000</v>
      </c>
      <c r="AF102" s="48">
        <v>2482000000</v>
      </c>
      <c r="AG102" s="48">
        <v>-1248000000</v>
      </c>
      <c r="AH102" s="48">
        <v>1480000000</v>
      </c>
      <c r="AI102" s="48">
        <v>1740000000</v>
      </c>
    </row>
    <row r="103" spans="1:37">
      <c r="A103" s="6" t="s">
        <v>490</v>
      </c>
      <c r="B103" s="45">
        <f>IF(COUNT(B102)=1,SUM(B98,B99,B100,B101)-B102,"")</f>
        <v/>
      </c>
      <c r="C103" s="45">
        <f>IF(COUNT(C102)=1,SUM(C98,C99,C100,C101)-C102,"")</f>
        <v/>
      </c>
      <c r="D103" s="45">
        <f>IF(COUNT(D102)=1,SUM(D98,D99,D100,D101)-D102,"")</f>
        <v/>
      </c>
      <c r="E103" s="45">
        <f>IF(COUNT(E102)=1,SUM(E98,E99,E100,E101)-E102,"")</f>
        <v/>
      </c>
      <c r="F103" s="45">
        <f>IF(COUNT(F102)=1,SUM(F98,F99,F100,F101)-F102,"")</f>
        <v/>
      </c>
      <c r="G103" s="45">
        <f>IF(COUNT(G102)=1,SUM(G98,G99,G100,G101)-G102,"")</f>
        <v/>
      </c>
      <c r="H103" s="45">
        <f>IF(COUNT(H102)=1,SUM(H98,H99,H100,H101)-H102,"")</f>
        <v/>
      </c>
      <c r="I103" s="45">
        <f>IF(COUNT(I102)=1,SUM(I98,I99,I100,I101)-I102,"")</f>
        <v/>
      </c>
      <c r="J103" s="45">
        <f>IF(COUNT(J102)=1,SUM(J98,J99,J100,J101)-J102,"")</f>
        <v/>
      </c>
      <c r="K103" s="45">
        <f>IF(COUNT(K102)=1,SUM(K98,K99,K100,K101)-K102,"")</f>
        <v/>
      </c>
      <c r="L103" s="45">
        <f>IF(COUNT(L102)=1,SUM(L98,L99,L100,L101)-L102,"")</f>
        <v/>
      </c>
      <c r="M103" s="45">
        <f>IF(COUNT(M102)=1,SUM(M98,M99,M100,M101)-M102,"")</f>
        <v/>
      </c>
      <c r="N103" s="45">
        <f>IF(COUNT(N102)=1,SUM(N98,N99,N100,N101)-N102,"")</f>
        <v/>
      </c>
      <c r="O103" s="45">
        <f>IF(COUNT(O102)=1,SUM(O98,O99,O100,O101)-O102,"")</f>
        <v/>
      </c>
      <c r="P103" s="45">
        <f>IF(COUNT(P102)=1,SUM(P98,P99,P100,P101)-P102,"")</f>
        <v/>
      </c>
      <c r="Q103" s="45">
        <f>IF(COUNT(Q102)=1,SUM(Q98,Q99,Q100,Q101)-Q102,"")</f>
        <v/>
      </c>
      <c r="R103" s="45">
        <f>IF(COUNT(R102)=1,SUM(R98,R99,R100,R101)-R102,"")</f>
        <v/>
      </c>
      <c r="S103" s="45">
        <f>IF(COUNT(S102)=1,SUM(S98,S99,S100,S101)-S102,"")</f>
        <v/>
      </c>
      <c r="T103" s="45">
        <f>IF(COUNT(T102)=1,SUM(T98,T99,T100,T101)-T102,"")</f>
        <v/>
      </c>
      <c r="U103" s="45">
        <f>IF(COUNT(U102)=1,SUM(U98,U99,U100,U101)-U102,"")</f>
        <v/>
      </c>
      <c r="V103" s="45">
        <f>IF(COUNT(V102)=1,SUM(V98,V99,V100,V101)-V102,"")</f>
        <v/>
      </c>
      <c r="W103" s="45">
        <f>IF(COUNT(W102)=1,SUM(W98,W99,W100,W101)-W102,"")</f>
        <v/>
      </c>
      <c r="X103" s="45">
        <f>IF(COUNT(X102)=1,SUM(X98,X99,X100,X101)-X102,"")</f>
        <v/>
      </c>
      <c r="Y103" s="45">
        <f>IF(COUNT(Y102)=1,SUM(Y98,Y99,Y100,Y101)-Y102,"")</f>
        <v/>
      </c>
      <c r="Z103" s="45">
        <f>IF(COUNT(Z102)=1,SUM(Z98,Z99,Z100,Z101)-Z102,"")</f>
        <v/>
      </c>
      <c r="AA103" s="45">
        <f>IF(COUNT(AA102)=1,SUM(AA98,AA99,AA100,AA101)-AA102,"")</f>
        <v/>
      </c>
      <c r="AC103" s="45">
        <f>IF(COUNT(AC102)=1,SUM(AC98,AC99,AC100,AC101)-AC102,"")</f>
        <v/>
      </c>
      <c r="AD103" s="45">
        <f>IF(COUNT(AD102)=1,SUM(AD98,AD99,AD100,AD101)-AD102,"")</f>
        <v/>
      </c>
      <c r="AE103" s="45">
        <f>IF(COUNT(AE102)=1,SUM(AE98,AE99,AE100,AE101)-AE102,"")</f>
        <v/>
      </c>
      <c r="AF103" s="45">
        <f>IF(COUNT(AF102)=1,SUM(AF98,AF99,AF100,AF101)-AF102,"")</f>
        <v/>
      </c>
      <c r="AG103" s="45">
        <f>IF(COUNT(AG102)=1,SUM(AG98,AG99,AG100,AG101)-AG102,"")</f>
        <v/>
      </c>
      <c r="AH103" s="45">
        <f>IF(COUNT(AH102)=1,SUM(AH98,AH99,AH100,AH101)-AH102,"")</f>
        <v/>
      </c>
      <c r="AI103" s="45">
        <f>IF(COUNT(AI102)=1,SUM(AI98,AI99,AI100,AI101)-AI102,"")</f>
        <v/>
      </c>
      <c r="AK103" s="6" t="s">
        <v>499</v>
      </c>
    </row>
    <row r="105" spans="1:37">
      <c r="A105" s="5" t="s">
        <v>492</v>
      </c>
    </row>
    <row r="106" spans="1:37">
      <c r="A106" s="42" t="s">
        <v>479</v>
      </c>
      <c r="J106" s="45">
        <v>599000000</v>
      </c>
      <c r="K106" s="45">
        <v>712000000</v>
      </c>
      <c r="L106" s="45">
        <v>833000000</v>
      </c>
      <c r="M106" s="45">
        <v>1234000000</v>
      </c>
      <c r="N106" s="45">
        <v>1015000000</v>
      </c>
      <c r="O106" s="45">
        <v>1017000000</v>
      </c>
      <c r="P106" s="45">
        <v>1150000000</v>
      </c>
      <c r="Q106" s="45">
        <v>1587000000</v>
      </c>
      <c r="R106" s="45">
        <v>1009000000</v>
      </c>
      <c r="S106" s="45">
        <v>939000000</v>
      </c>
      <c r="T106" s="45">
        <v>1071000000</v>
      </c>
      <c r="U106" s="45">
        <v>1154000000</v>
      </c>
      <c r="V106" s="45">
        <v>1060000000</v>
      </c>
      <c r="W106" s="45">
        <v>939000000</v>
      </c>
      <c r="X106" s="45">
        <v>846000000</v>
      </c>
      <c r="Y106" s="45">
        <v>852000000</v>
      </c>
      <c r="Z106" s="45">
        <v>828000000</v>
      </c>
      <c r="AA106" s="45">
        <v>1484000000</v>
      </c>
      <c r="AD106" s="45">
        <v>886000000</v>
      </c>
      <c r="AE106" s="45">
        <v>2168000000</v>
      </c>
      <c r="AF106" s="45">
        <v>3378000000</v>
      </c>
      <c r="AG106" s="45">
        <v>4717000000</v>
      </c>
      <c r="AH106" s="45">
        <v>4177000000</v>
      </c>
      <c r="AI106" s="45">
        <v>3697000000</v>
      </c>
    </row>
    <row r="107" spans="1:37">
      <c r="A107" s="42" t="s">
        <v>498</v>
      </c>
      <c r="J107" s="45">
        <v>108000000</v>
      </c>
      <c r="K107" s="45">
        <v>177000000</v>
      </c>
      <c r="L107" s="45">
        <v>249000000</v>
      </c>
      <c r="M107" s="45">
        <v>381000000</v>
      </c>
      <c r="N107" s="45">
        <v>266000000</v>
      </c>
      <c r="O107" s="45">
        <v>326000000</v>
      </c>
      <c r="P107" s="45">
        <v>361000000</v>
      </c>
      <c r="Q107" s="45">
        <v>365000000</v>
      </c>
      <c r="R107" s="45">
        <v>219000000</v>
      </c>
      <c r="S107" s="45">
        <v>334000000</v>
      </c>
      <c r="T107" s="45">
        <v>365000000</v>
      </c>
      <c r="U107" s="45">
        <v>377000000</v>
      </c>
      <c r="V107" s="45">
        <v>226000000</v>
      </c>
      <c r="W107" s="45">
        <v>309000000</v>
      </c>
      <c r="X107" s="45">
        <v>265000000</v>
      </c>
      <c r="Y107" s="45">
        <v>304000000</v>
      </c>
      <c r="Z107" s="45">
        <v>196000000</v>
      </c>
      <c r="AA107" s="45">
        <v>272000000</v>
      </c>
      <c r="AD107" s="45">
        <v>377000000</v>
      </c>
      <c r="AE107" s="45">
        <v>433000000</v>
      </c>
      <c r="AF107" s="45">
        <v>915000000</v>
      </c>
      <c r="AG107" s="45">
        <v>1323000000</v>
      </c>
      <c r="AH107" s="45">
        <v>1296000000</v>
      </c>
      <c r="AI107" s="45">
        <v>1104000000</v>
      </c>
    </row>
    <row r="108" spans="1:37">
      <c r="A108" s="42" t="s">
        <v>487</v>
      </c>
      <c r="J108" s="45">
        <v>23000000</v>
      </c>
      <c r="K108" s="45">
        <v>15000000</v>
      </c>
      <c r="L108" s="45">
        <v>55000000</v>
      </c>
      <c r="M108" s="45">
        <v>73000000</v>
      </c>
      <c r="N108" s="45">
        <v>17000000</v>
      </c>
      <c r="O108" s="45">
        <v>31000000</v>
      </c>
      <c r="P108" s="45">
        <v>35000000</v>
      </c>
      <c r="Q108" s="45">
        <v>21000000</v>
      </c>
      <c r="R108" s="45">
        <v>24000000</v>
      </c>
      <c r="S108" s="45">
        <v>21000000</v>
      </c>
      <c r="T108" s="45">
        <v>30000000</v>
      </c>
      <c r="U108" s="45">
        <v>57000000</v>
      </c>
      <c r="V108" s="45">
        <v>20000000</v>
      </c>
      <c r="W108" s="45">
        <v>26000000</v>
      </c>
      <c r="X108" s="45">
        <v>33000000</v>
      </c>
      <c r="Y108" s="45">
        <v>29000000</v>
      </c>
      <c r="Z108" s="45">
        <v>12000000</v>
      </c>
      <c r="AA108" s="45">
        <v>32000000</v>
      </c>
      <c r="AD108" s="45">
        <v>62000000</v>
      </c>
      <c r="AE108" s="45">
        <v>65000000</v>
      </c>
      <c r="AF108" s="45">
        <v>166000000</v>
      </c>
      <c r="AG108" s="45">
        <v>151000000</v>
      </c>
      <c r="AH108" s="45">
        <v>127000000</v>
      </c>
      <c r="AI108" s="45">
        <v>108000000</v>
      </c>
    </row>
    <row r="109" spans="1:37">
      <c r="A109" s="47" t="s">
        <v>489</v>
      </c>
      <c r="J109" s="48">
        <v>730000000</v>
      </c>
      <c r="K109" s="48">
        <v>904000000</v>
      </c>
      <c r="L109" s="48">
        <v>1137000000</v>
      </c>
      <c r="M109" s="48">
        <v>1688000000</v>
      </c>
      <c r="N109" s="48">
        <v>1298000000</v>
      </c>
      <c r="O109" s="48">
        <v>1374000000</v>
      </c>
      <c r="P109" s="48">
        <v>1546000000</v>
      </c>
      <c r="Q109" s="48">
        <v>1973000000</v>
      </c>
      <c r="R109" s="48">
        <v>1252000000</v>
      </c>
      <c r="S109" s="48">
        <v>1294000000</v>
      </c>
      <c r="T109" s="48">
        <v>1466000000</v>
      </c>
      <c r="U109" s="48">
        <v>1588000000</v>
      </c>
      <c r="V109" s="48">
        <v>1306000000</v>
      </c>
      <c r="W109" s="48">
        <v>1274000000</v>
      </c>
      <c r="X109" s="48">
        <v>1144000000</v>
      </c>
      <c r="Y109" s="48">
        <v>1185000000</v>
      </c>
      <c r="Z109" s="48">
        <v>1036000000</v>
      </c>
      <c r="AA109" s="48">
        <v>1788000000</v>
      </c>
      <c r="AD109" s="48">
        <v>1325000000</v>
      </c>
      <c r="AE109" s="48">
        <v>2666000000</v>
      </c>
      <c r="AF109" s="48">
        <v>4459000000</v>
      </c>
      <c r="AG109" s="48">
        <v>6191000000</v>
      </c>
      <c r="AH109" s="48">
        <v>5600000000</v>
      </c>
      <c r="AI109" s="48">
        <v>4909000000</v>
      </c>
    </row>
    <row r="110" spans="1:37">
      <c r="A110" s="6" t="s">
        <v>490</v>
      </c>
      <c r="B110" s="45">
        <f>IF(COUNT(B109)=1,SUM(B106,B107,B108)-B109,"")</f>
        <v/>
      </c>
      <c r="C110" s="45">
        <f>IF(COUNT(C109)=1,SUM(C106,C107,C108)-C109,"")</f>
        <v/>
      </c>
      <c r="D110" s="45">
        <f>IF(COUNT(D109)=1,SUM(D106,D107,D108)-D109,"")</f>
        <v/>
      </c>
      <c r="E110" s="45">
        <f>IF(COUNT(E109)=1,SUM(E106,E107,E108)-E109,"")</f>
        <v/>
      </c>
      <c r="F110" s="45">
        <f>IF(COUNT(F109)=1,SUM(F106,F107,F108)-F109,"")</f>
        <v/>
      </c>
      <c r="G110" s="45">
        <f>IF(COUNT(G109)=1,SUM(G106,G107,G108)-G109,"")</f>
        <v/>
      </c>
      <c r="H110" s="45">
        <f>IF(COUNT(H109)=1,SUM(H106,H107,H108)-H109,"")</f>
        <v/>
      </c>
      <c r="I110" s="45">
        <f>IF(COUNT(I109)=1,SUM(I106,I107,I108)-I109,"")</f>
        <v/>
      </c>
      <c r="J110" s="45">
        <f>IF(COUNT(J109)=1,SUM(J106,J107,J108)-J109,"")</f>
        <v/>
      </c>
      <c r="K110" s="45">
        <f>IF(COUNT(K109)=1,SUM(K106,K107,K108)-K109,"")</f>
        <v/>
      </c>
      <c r="L110" s="45">
        <f>IF(COUNT(L109)=1,SUM(L106,L107,L108)-L109,"")</f>
        <v/>
      </c>
      <c r="M110" s="45">
        <f>IF(COUNT(M109)=1,SUM(M106,M107,M108)-M109,"")</f>
        <v/>
      </c>
      <c r="N110" s="45">
        <f>IF(COUNT(N109)=1,SUM(N106,N107,N108)-N109,"")</f>
        <v/>
      </c>
      <c r="O110" s="45">
        <f>IF(COUNT(O109)=1,SUM(O106,O107,O108)-O109,"")</f>
        <v/>
      </c>
      <c r="P110" s="45">
        <f>IF(COUNT(P109)=1,SUM(P106,P107,P108)-P109,"")</f>
        <v/>
      </c>
      <c r="Q110" s="45">
        <f>IF(COUNT(Q109)=1,SUM(Q106,Q107,Q108)-Q109,"")</f>
        <v/>
      </c>
      <c r="R110" s="45">
        <f>IF(COUNT(R109)=1,SUM(R106,R107,R108)-R109,"")</f>
        <v/>
      </c>
      <c r="S110" s="45">
        <f>IF(COUNT(S109)=1,SUM(S106,S107,S108)-S109,"")</f>
        <v/>
      </c>
      <c r="T110" s="45">
        <f>IF(COUNT(T109)=1,SUM(T106,T107,T108)-T109,"")</f>
        <v/>
      </c>
      <c r="U110" s="45">
        <f>IF(COUNT(U109)=1,SUM(U106,U107,U108)-U109,"")</f>
        <v/>
      </c>
      <c r="V110" s="45">
        <f>IF(COUNT(V109)=1,SUM(V106,V107,V108)-V109,"")</f>
        <v/>
      </c>
      <c r="W110" s="45">
        <f>IF(COUNT(W109)=1,SUM(W106,W107,W108)-W109,"")</f>
        <v/>
      </c>
      <c r="X110" s="45">
        <f>IF(COUNT(X109)=1,SUM(X106,X107,X108)-X109,"")</f>
        <v/>
      </c>
      <c r="Y110" s="45">
        <f>IF(COUNT(Y109)=1,SUM(Y106,Y107,Y108)-Y109,"")</f>
        <v/>
      </c>
      <c r="Z110" s="45">
        <f>IF(COUNT(Z109)=1,SUM(Z106,Z107,Z108)-Z109,"")</f>
        <v/>
      </c>
      <c r="AA110" s="45">
        <f>IF(COUNT(AA109)=1,SUM(AA106,AA107,AA108)-AA109,"")</f>
        <v/>
      </c>
      <c r="AC110" s="45">
        <f>IF(COUNT(AC109)=1,SUM(AC106,AC107,AC108)-AC109,"")</f>
        <v/>
      </c>
      <c r="AD110" s="45">
        <f>IF(COUNT(AD109)=1,SUM(AD106,AD107,AD108)-AD109,"")</f>
        <v/>
      </c>
      <c r="AE110" s="45">
        <f>IF(COUNT(AE109)=1,SUM(AE106,AE107,AE108)-AE109,"")</f>
        <v/>
      </c>
      <c r="AF110" s="45">
        <f>IF(COUNT(AF109)=1,SUM(AF106,AF107,AF108)-AF109,"")</f>
        <v/>
      </c>
      <c r="AG110" s="45">
        <f>IF(COUNT(AG109)=1,SUM(AG106,AG107,AG108)-AG109,"")</f>
        <v/>
      </c>
      <c r="AH110" s="45">
        <f>IF(COUNT(AH109)=1,SUM(AH106,AH107,AH108)-AH109,"")</f>
        <v/>
      </c>
      <c r="AI110" s="45">
        <f>IF(COUNT(AI109)=1,SUM(AI106,AI107,AI108)-AI109,"")</f>
        <v/>
      </c>
      <c r="AK110" s="6" t="s">
        <v>499</v>
      </c>
    </row>
    <row r="112" spans="1:37">
      <c r="A112" s="5" t="s">
        <v>493</v>
      </c>
    </row>
    <row r="113" spans="1:37">
      <c r="A113" s="42" t="s">
        <v>479</v>
      </c>
      <c r="B113" s="45">
        <v>573065122.2274939</v>
      </c>
      <c r="C113" s="45">
        <v>475910778.4130749</v>
      </c>
      <c r="D113" s="45">
        <v>473817861.0888625</v>
      </c>
      <c r="E113" s="45">
        <v>326364975.3510705</v>
      </c>
      <c r="F113" s="45">
        <v>550173873.3961705</v>
      </c>
      <c r="G113" s="45">
        <v>630876832.2115111</v>
      </c>
      <c r="H113" s="45">
        <v>572220644.8334334</v>
      </c>
      <c r="I113" s="45">
        <v>496781649.7292839</v>
      </c>
      <c r="J113" s="45">
        <v>446000000</v>
      </c>
      <c r="K113" s="45">
        <v>475000000</v>
      </c>
      <c r="L113" s="45">
        <v>508000000</v>
      </c>
      <c r="M113" s="45">
        <v>506000000</v>
      </c>
      <c r="N113" s="45">
        <v>568000000</v>
      </c>
      <c r="O113" s="45">
        <v>636000000</v>
      </c>
      <c r="P113" s="45">
        <v>661000000</v>
      </c>
      <c r="Q113" s="45">
        <v>583000000</v>
      </c>
      <c r="R113" s="45">
        <v>431000000</v>
      </c>
      <c r="S113" s="45">
        <v>415000000</v>
      </c>
      <c r="T113" s="45">
        <v>428000000</v>
      </c>
      <c r="U113" s="45">
        <v>530000000</v>
      </c>
      <c r="V113" s="45">
        <v>561000000</v>
      </c>
      <c r="W113" s="45">
        <v>548000000</v>
      </c>
      <c r="X113" s="45">
        <v>582000000</v>
      </c>
      <c r="Y113" s="45">
        <v>508000000</v>
      </c>
      <c r="Z113" s="45">
        <v>480000000</v>
      </c>
      <c r="AA113" s="45">
        <v>590000000</v>
      </c>
      <c r="AC113" s="45">
        <v>2489209097.432118</v>
      </c>
      <c r="AD113" s="45">
        <v>1854000000</v>
      </c>
      <c r="AE113" s="45">
        <v>2259000000</v>
      </c>
      <c r="AF113" s="45">
        <v>1935000000</v>
      </c>
      <c r="AG113" s="45">
        <v>2437000000</v>
      </c>
      <c r="AH113" s="45">
        <v>1809000000</v>
      </c>
      <c r="AI113" s="45">
        <v>2199000000</v>
      </c>
    </row>
    <row r="114" spans="1:37">
      <c r="A114" s="42" t="s">
        <v>498</v>
      </c>
      <c r="B114" s="45">
        <v>120556163.2326286</v>
      </c>
      <c r="C114" s="45">
        <v>120877279.3448416</v>
      </c>
      <c r="D114" s="45">
        <v>149250100.0519112</v>
      </c>
      <c r="E114" s="45">
        <v>120735164.2065591</v>
      </c>
      <c r="F114" s="45">
        <v>117474808.2100689</v>
      </c>
      <c r="G114" s="45">
        <v>121404753.559152</v>
      </c>
      <c r="H114" s="45">
        <v>122510675.5017835</v>
      </c>
      <c r="I114" s="45">
        <v>124536341.9913653</v>
      </c>
      <c r="J114" s="45">
        <v>126000000</v>
      </c>
      <c r="K114" s="45">
        <v>128000000</v>
      </c>
      <c r="L114" s="45">
        <v>129000000</v>
      </c>
      <c r="M114" s="45">
        <v>142000000</v>
      </c>
      <c r="N114" s="45">
        <v>126000000</v>
      </c>
      <c r="O114" s="45">
        <v>138000000</v>
      </c>
      <c r="P114" s="45">
        <v>122000000</v>
      </c>
      <c r="Q114" s="45">
        <v>122000000</v>
      </c>
      <c r="R114" s="45">
        <v>126000000</v>
      </c>
      <c r="S114" s="45">
        <v>129000000</v>
      </c>
      <c r="T114" s="45">
        <v>134000000</v>
      </c>
      <c r="U114" s="45">
        <v>160000000</v>
      </c>
      <c r="V114" s="45">
        <v>136000000</v>
      </c>
      <c r="W114" s="45">
        <v>135000000</v>
      </c>
      <c r="X114" s="45">
        <v>148000000</v>
      </c>
      <c r="Y114" s="45">
        <v>156000000</v>
      </c>
      <c r="Z114" s="45">
        <v>149000000</v>
      </c>
      <c r="AA114" s="45">
        <v>180000000</v>
      </c>
      <c r="AC114" s="45">
        <v>460838462.442616</v>
      </c>
      <c r="AD114" s="45">
        <v>507000000</v>
      </c>
      <c r="AE114" s="45">
        <v>484000000</v>
      </c>
      <c r="AF114" s="45">
        <v>525000000</v>
      </c>
      <c r="AG114" s="45">
        <v>511000000</v>
      </c>
      <c r="AH114" s="45">
        <v>550000000</v>
      </c>
      <c r="AI114" s="45">
        <v>575000000</v>
      </c>
    </row>
    <row r="115" spans="1:37">
      <c r="A115" s="42" t="s">
        <v>487</v>
      </c>
      <c r="B115" s="45">
        <v>16885027.1842566</v>
      </c>
      <c r="C115" s="45">
        <v>39161809.40911176</v>
      </c>
      <c r="D115" s="45">
        <v>23841781.76492561</v>
      </c>
      <c r="E115" s="45">
        <v>21751831.19894521</v>
      </c>
      <c r="F115" s="45">
        <v>20040418.28682203</v>
      </c>
      <c r="G115" s="45">
        <v>19957383.21264334</v>
      </c>
      <c r="H115" s="45">
        <v>20845437.85727836</v>
      </c>
      <c r="I115" s="45">
        <v>22824860.69748227</v>
      </c>
      <c r="J115" s="45">
        <v>17000000</v>
      </c>
      <c r="K115" s="45">
        <v>26000000</v>
      </c>
      <c r="L115" s="45">
        <v>20000000</v>
      </c>
      <c r="M115" s="45">
        <v>28000000</v>
      </c>
      <c r="N115" s="45">
        <v>15000000</v>
      </c>
      <c r="O115" s="45">
        <v>17000000</v>
      </c>
      <c r="P115" s="45">
        <v>15000000</v>
      </c>
      <c r="Q115" s="45">
        <v>13000000</v>
      </c>
      <c r="R115" s="45">
        <v>19000000</v>
      </c>
      <c r="S115" s="45">
        <v>17000000</v>
      </c>
      <c r="T115" s="45">
        <v>33000000</v>
      </c>
      <c r="U115" s="45">
        <v>24000000</v>
      </c>
      <c r="V115" s="45">
        <v>21000000</v>
      </c>
      <c r="W115" s="45">
        <v>21000000</v>
      </c>
      <c r="X115" s="45">
        <v>20000000</v>
      </c>
      <c r="Y115" s="45">
        <v>21000000</v>
      </c>
      <c r="Z115" s="45">
        <v>24000000</v>
      </c>
      <c r="AA115" s="45">
        <v>18000000</v>
      </c>
      <c r="AC115" s="45">
        <v>80812406.74849102</v>
      </c>
      <c r="AD115" s="45">
        <v>99000000</v>
      </c>
      <c r="AE115" s="45">
        <v>73000000</v>
      </c>
      <c r="AF115" s="45">
        <v>91000000</v>
      </c>
      <c r="AG115" s="45">
        <v>68000000</v>
      </c>
      <c r="AH115" s="45">
        <v>87000000</v>
      </c>
      <c r="AI115" s="45">
        <v>83000000</v>
      </c>
    </row>
    <row r="116" spans="1:37">
      <c r="A116" s="47" t="s">
        <v>489</v>
      </c>
      <c r="B116" s="48">
        <v>710506312.6443791</v>
      </c>
      <c r="C116" s="48">
        <v>635949867.1670282</v>
      </c>
      <c r="D116" s="48">
        <v>646909742.9056993</v>
      </c>
      <c r="E116" s="48">
        <v>468851970.7565748</v>
      </c>
      <c r="F116" s="48">
        <v>687689099.8930614</v>
      </c>
      <c r="G116" s="48">
        <v>772238968.9833063</v>
      </c>
      <c r="H116" s="48">
        <v>715576758.1924953</v>
      </c>
      <c r="I116" s="48">
        <v>644142852.4181315</v>
      </c>
      <c r="J116" s="48">
        <v>589000000</v>
      </c>
      <c r="K116" s="48">
        <v>629000000</v>
      </c>
      <c r="L116" s="48">
        <v>657000000</v>
      </c>
      <c r="M116" s="48">
        <v>676000000</v>
      </c>
      <c r="N116" s="48">
        <v>709000000</v>
      </c>
      <c r="O116" s="48">
        <v>791000000</v>
      </c>
      <c r="P116" s="48">
        <v>798000000</v>
      </c>
      <c r="Q116" s="48">
        <v>718000000</v>
      </c>
      <c r="R116" s="48">
        <v>576000000</v>
      </c>
      <c r="S116" s="48">
        <v>561000000</v>
      </c>
      <c r="T116" s="48">
        <v>595000000</v>
      </c>
      <c r="U116" s="48">
        <v>714000000</v>
      </c>
      <c r="V116" s="48">
        <v>718000000</v>
      </c>
      <c r="W116" s="48">
        <v>704000000</v>
      </c>
      <c r="X116" s="48">
        <v>750000000</v>
      </c>
      <c r="Y116" s="48">
        <v>685000000</v>
      </c>
      <c r="Z116" s="48">
        <v>653000000</v>
      </c>
      <c r="AA116" s="48">
        <v>788000000</v>
      </c>
      <c r="AC116" s="48">
        <v>3030859966.623226</v>
      </c>
      <c r="AD116" s="48">
        <v>2460000000</v>
      </c>
      <c r="AE116" s="48">
        <v>2816000000</v>
      </c>
      <c r="AF116" s="48">
        <v>2551000000</v>
      </c>
      <c r="AG116" s="48">
        <v>3016000000</v>
      </c>
      <c r="AH116" s="48">
        <v>2446000000</v>
      </c>
      <c r="AI116" s="48">
        <v>2857000000</v>
      </c>
    </row>
    <row r="117" spans="1:37">
      <c r="A117" s="6" t="s">
        <v>490</v>
      </c>
      <c r="B117" s="45">
        <f>IF(COUNT(B116)=1,SUM(B113,B114,B115)-B116,"")</f>
        <v/>
      </c>
      <c r="C117" s="45">
        <f>IF(COUNT(C116)=1,SUM(C113,C114,C115)-C116,"")</f>
        <v/>
      </c>
      <c r="D117" s="45">
        <f>IF(COUNT(D116)=1,SUM(D113,D114,D115)-D116,"")</f>
        <v/>
      </c>
      <c r="E117" s="45">
        <f>IF(COUNT(E116)=1,SUM(E113,E114,E115)-E116,"")</f>
        <v/>
      </c>
      <c r="F117" s="45">
        <f>IF(COUNT(F116)=1,SUM(F113,F114,F115)-F116,"")</f>
        <v/>
      </c>
      <c r="G117" s="45">
        <f>IF(COUNT(G116)=1,SUM(G113,G114,G115)-G116,"")</f>
        <v/>
      </c>
      <c r="H117" s="45">
        <f>IF(COUNT(H116)=1,SUM(H113,H114,H115)-H116,"")</f>
        <v/>
      </c>
      <c r="I117" s="45">
        <f>IF(COUNT(I116)=1,SUM(I113,I114,I115)-I116,"")</f>
        <v/>
      </c>
      <c r="J117" s="45">
        <f>IF(COUNT(J116)=1,SUM(J113,J114,J115)-J116,"")</f>
        <v/>
      </c>
      <c r="K117" s="45">
        <f>IF(COUNT(K116)=1,SUM(K113,K114,K115)-K116,"")</f>
        <v/>
      </c>
      <c r="L117" s="45">
        <f>IF(COUNT(L116)=1,SUM(L113,L114,L115)-L116,"")</f>
        <v/>
      </c>
      <c r="M117" s="45">
        <f>IF(COUNT(M116)=1,SUM(M113,M114,M115)-M116,"")</f>
        <v/>
      </c>
      <c r="N117" s="45">
        <f>IF(COUNT(N116)=1,SUM(N113,N114,N115)-N116,"")</f>
        <v/>
      </c>
      <c r="O117" s="45">
        <f>IF(COUNT(O116)=1,SUM(O113,O114,O115)-O116,"")</f>
        <v/>
      </c>
      <c r="P117" s="45">
        <f>IF(COUNT(P116)=1,SUM(P113,P114,P115)-P116,"")</f>
        <v/>
      </c>
      <c r="Q117" s="45">
        <f>IF(COUNT(Q116)=1,SUM(Q113,Q114,Q115)-Q116,"")</f>
        <v/>
      </c>
      <c r="R117" s="45">
        <f>IF(COUNT(R116)=1,SUM(R113,R114,R115)-R116,"")</f>
        <v/>
      </c>
      <c r="S117" s="45">
        <f>IF(COUNT(S116)=1,SUM(S113,S114,S115)-S116,"")</f>
        <v/>
      </c>
      <c r="T117" s="45">
        <f>IF(COUNT(T116)=1,SUM(T113,T114,T115)-T116,"")</f>
        <v/>
      </c>
      <c r="U117" s="45">
        <f>IF(COUNT(U116)=1,SUM(U113,U114,U115)-U116,"")</f>
        <v/>
      </c>
      <c r="V117" s="45">
        <f>IF(COUNT(V116)=1,SUM(V113,V114,V115)-V116,"")</f>
        <v/>
      </c>
      <c r="W117" s="45">
        <f>IF(COUNT(W116)=1,SUM(W113,W114,W115)-W116,"")</f>
        <v/>
      </c>
      <c r="X117" s="45">
        <f>IF(COUNT(X116)=1,SUM(X113,X114,X115)-X116,"")</f>
        <v/>
      </c>
      <c r="Y117" s="45">
        <f>IF(COUNT(Y116)=1,SUM(Y113,Y114,Y115)-Y116,"")</f>
        <v/>
      </c>
      <c r="Z117" s="45">
        <f>IF(COUNT(Z116)=1,SUM(Z113,Z114,Z115)-Z116,"")</f>
        <v/>
      </c>
      <c r="AA117" s="45">
        <f>IF(COUNT(AA116)=1,SUM(AA113,AA114,AA115)-AA116,"")</f>
        <v/>
      </c>
      <c r="AC117" s="45">
        <f>IF(COUNT(AC116)=1,SUM(AC113,AC114,AC115)-AC116,"")</f>
        <v/>
      </c>
      <c r="AD117" s="45">
        <f>IF(COUNT(AD116)=1,SUM(AD113,AD114,AD115)-AD116,"")</f>
        <v/>
      </c>
      <c r="AE117" s="45">
        <f>IF(COUNT(AE116)=1,SUM(AE113,AE114,AE115)-AE116,"")</f>
        <v/>
      </c>
      <c r="AF117" s="45">
        <f>IF(COUNT(AF116)=1,SUM(AF113,AF114,AF115)-AF116,"")</f>
        <v/>
      </c>
      <c r="AG117" s="45">
        <f>IF(COUNT(AG116)=1,SUM(AG113,AG114,AG115)-AG116,"")</f>
        <v/>
      </c>
      <c r="AH117" s="45">
        <f>IF(COUNT(AH116)=1,SUM(AH113,AH114,AH115)-AH116,"")</f>
        <v/>
      </c>
      <c r="AI117" s="45">
        <f>IF(COUNT(AI116)=1,SUM(AI113,AI114,AI115)-AI116,"")</f>
        <v/>
      </c>
      <c r="AK117" s="6" t="s">
        <v>499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3FB98A"/>
  </sheetPr>
  <dimension ref="A1:AK2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62.7109375" customWidth="1"/>
    <col min="2" max="37" width="19.7109375" customWidth="1"/>
  </cols>
  <sheetData>
    <row r="1" spans="1:35">
      <c r="A1" s="1" t="s">
        <v>62</v>
      </c>
    </row>
    <row r="2" spans="1:35">
      <c r="A2" s="2" t="s">
        <v>500</v>
      </c>
    </row>
    <row r="4" spans="1:35">
      <c r="A4" s="40"/>
      <c r="B4" s="41" t="s">
        <v>159</v>
      </c>
      <c r="C4" s="41" t="s">
        <v>160</v>
      </c>
      <c r="D4" s="41" t="s">
        <v>161</v>
      </c>
      <c r="E4" s="41" t="s">
        <v>162</v>
      </c>
      <c r="F4" s="41" t="s">
        <v>163</v>
      </c>
      <c r="G4" s="41" t="s">
        <v>164</v>
      </c>
      <c r="H4" s="41" t="s">
        <v>165</v>
      </c>
      <c r="I4" s="41" t="s">
        <v>166</v>
      </c>
      <c r="J4" s="41" t="s">
        <v>167</v>
      </c>
      <c r="K4" s="41" t="s">
        <v>168</v>
      </c>
      <c r="L4" s="41" t="s">
        <v>169</v>
      </c>
      <c r="M4" s="41" t="s">
        <v>170</v>
      </c>
      <c r="N4" s="41" t="s">
        <v>171</v>
      </c>
      <c r="O4" s="41" t="s">
        <v>172</v>
      </c>
      <c r="P4" s="41" t="s">
        <v>173</v>
      </c>
      <c r="Q4" s="41" t="s">
        <v>174</v>
      </c>
      <c r="R4" s="41" t="s">
        <v>175</v>
      </c>
      <c r="S4" s="41" t="s">
        <v>176</v>
      </c>
      <c r="T4" s="41" t="s">
        <v>177</v>
      </c>
      <c r="U4" s="41" t="s">
        <v>178</v>
      </c>
      <c r="V4" s="41" t="s">
        <v>179</v>
      </c>
      <c r="W4" s="41" t="s">
        <v>180</v>
      </c>
      <c r="X4" s="41" t="s">
        <v>181</v>
      </c>
      <c r="Y4" s="41" t="s">
        <v>182</v>
      </c>
      <c r="Z4" s="41" t="s">
        <v>183</v>
      </c>
      <c r="AA4" s="41" t="s">
        <v>184</v>
      </c>
      <c r="AC4" s="41" t="s">
        <v>185</v>
      </c>
      <c r="AD4" s="41" t="s">
        <v>186</v>
      </c>
      <c r="AE4" s="41" t="s">
        <v>187</v>
      </c>
      <c r="AF4" s="41" t="s">
        <v>188</v>
      </c>
      <c r="AG4" s="41" t="s">
        <v>189</v>
      </c>
      <c r="AH4" s="41" t="s">
        <v>190</v>
      </c>
      <c r="AI4" s="41" t="s">
        <v>191</v>
      </c>
    </row>
    <row r="5" spans="1:35">
      <c r="A5" s="5" t="s">
        <v>501</v>
      </c>
    </row>
    <row r="6" spans="1:35">
      <c r="A6" s="42" t="s">
        <v>502</v>
      </c>
      <c r="M6" s="52">
        <v>499.2</v>
      </c>
      <c r="N6" s="52">
        <v>510.6</v>
      </c>
      <c r="O6" s="52">
        <v>513.1</v>
      </c>
      <c r="P6" s="52">
        <v>519.7</v>
      </c>
      <c r="Q6" s="52">
        <v>510.7</v>
      </c>
      <c r="R6" s="52">
        <v>526</v>
      </c>
      <c r="S6" s="52">
        <v>539</v>
      </c>
      <c r="T6" s="52">
        <v>558.7</v>
      </c>
      <c r="U6" s="52">
        <v>520.6</v>
      </c>
      <c r="V6" s="52">
        <v>552.1</v>
      </c>
      <c r="W6" s="52">
        <v>545.7</v>
      </c>
      <c r="X6" s="52">
        <v>523.1</v>
      </c>
      <c r="Y6" s="52">
        <v>488</v>
      </c>
      <c r="Z6" s="52">
        <v>525</v>
      </c>
      <c r="AA6" s="52">
        <v>544.4</v>
      </c>
    </row>
    <row r="7" spans="1:35">
      <c r="A7" s="42" t="s">
        <v>503</v>
      </c>
      <c r="M7" s="52">
        <v>231.8</v>
      </c>
      <c r="N7" s="52">
        <v>238.5</v>
      </c>
      <c r="O7" s="52">
        <v>240.9</v>
      </c>
      <c r="P7" s="52">
        <v>236.9</v>
      </c>
      <c r="Q7" s="52">
        <v>255.1</v>
      </c>
      <c r="R7" s="52">
        <v>255.5</v>
      </c>
      <c r="S7" s="52">
        <v>248.8</v>
      </c>
      <c r="T7" s="52">
        <v>255.8</v>
      </c>
      <c r="U7" s="52">
        <v>269.8</v>
      </c>
      <c r="V7" s="52">
        <v>269.9</v>
      </c>
      <c r="W7" s="52">
        <v>247.9</v>
      </c>
      <c r="X7" s="52">
        <v>239.8</v>
      </c>
      <c r="Y7" s="52">
        <v>264.4</v>
      </c>
      <c r="Z7" s="52">
        <v>271</v>
      </c>
      <c r="AA7" s="52">
        <v>265.5</v>
      </c>
    </row>
    <row r="8" spans="1:35">
      <c r="A8" s="42" t="s">
        <v>504</v>
      </c>
      <c r="Q8" s="52">
        <v>109.4</v>
      </c>
      <c r="R8" s="52">
        <v>112.3</v>
      </c>
      <c r="S8" s="52">
        <v>113.3</v>
      </c>
      <c r="T8" s="52">
        <v>125.7</v>
      </c>
      <c r="U8" s="52">
        <v>138.1</v>
      </c>
      <c r="V8" s="52">
        <v>147.3</v>
      </c>
      <c r="W8" s="52">
        <v>145.1</v>
      </c>
      <c r="X8" s="52">
        <v>170</v>
      </c>
      <c r="Y8" s="52">
        <v>196</v>
      </c>
      <c r="Z8" s="52">
        <v>205.4</v>
      </c>
      <c r="AA8" s="52">
        <v>212.7</v>
      </c>
    </row>
    <row r="9" spans="1:35">
      <c r="A9" s="42" t="s">
        <v>505</v>
      </c>
      <c r="M9" s="52">
        <v>35.7</v>
      </c>
      <c r="N9" s="52">
        <v>36.5</v>
      </c>
      <c r="O9" s="52">
        <v>36.5</v>
      </c>
      <c r="P9" s="52">
        <v>37.5</v>
      </c>
      <c r="Q9" s="52">
        <v>34.4</v>
      </c>
      <c r="R9" s="52">
        <v>36.4</v>
      </c>
      <c r="S9" s="52">
        <v>38.8</v>
      </c>
      <c r="T9" s="52">
        <v>40.3</v>
      </c>
      <c r="U9" s="52">
        <v>34.3</v>
      </c>
      <c r="V9" s="52">
        <v>37.3</v>
      </c>
      <c r="W9" s="52">
        <v>39.7</v>
      </c>
      <c r="X9" s="52">
        <v>38.4</v>
      </c>
      <c r="Y9" s="52">
        <v>29.6</v>
      </c>
      <c r="Z9" s="52">
        <v>32.8</v>
      </c>
      <c r="AA9" s="52">
        <v>37.3</v>
      </c>
    </row>
    <row r="10" spans="1:35">
      <c r="A10" s="42" t="s">
        <v>506</v>
      </c>
      <c r="B10" s="52">
        <v>275.4</v>
      </c>
      <c r="C10" s="52">
        <v>191.7</v>
      </c>
      <c r="D10" s="52">
        <v>232.1</v>
      </c>
      <c r="E10" s="52">
        <v>238.2</v>
      </c>
      <c r="F10" s="52">
        <v>273.4</v>
      </c>
      <c r="G10" s="52">
        <v>266.4</v>
      </c>
      <c r="H10" s="52">
        <v>263</v>
      </c>
      <c r="I10" s="52">
        <v>277.9</v>
      </c>
      <c r="J10" s="52">
        <v>282.6</v>
      </c>
      <c r="K10" s="52">
        <v>287.7</v>
      </c>
      <c r="L10" s="52">
        <v>279</v>
      </c>
      <c r="M10" s="52">
        <v>293.4</v>
      </c>
      <c r="N10" s="52">
        <v>307.2</v>
      </c>
      <c r="O10" s="52">
        <v>305.1</v>
      </c>
      <c r="P10" s="52">
        <v>276.1</v>
      </c>
      <c r="Q10" s="52">
        <v>289.8</v>
      </c>
      <c r="R10" s="52">
        <v>301.1</v>
      </c>
      <c r="S10" s="52">
        <v>299.2</v>
      </c>
      <c r="T10" s="52">
        <v>298.3</v>
      </c>
      <c r="U10" s="52">
        <v>304.1</v>
      </c>
      <c r="V10" s="52">
        <v>318</v>
      </c>
      <c r="W10" s="52">
        <v>301.4</v>
      </c>
      <c r="X10" s="52">
        <v>326.2</v>
      </c>
      <c r="Y10" s="52">
        <v>334.9</v>
      </c>
      <c r="Z10" s="52">
        <v>344.3</v>
      </c>
      <c r="AA10" s="52">
        <v>350.8</v>
      </c>
    </row>
    <row r="11" spans="1:35">
      <c r="A11" s="42" t="s">
        <v>507</v>
      </c>
      <c r="M11" s="52">
        <v>66.7</v>
      </c>
      <c r="N11" s="52">
        <v>66.8</v>
      </c>
      <c r="O11" s="52">
        <v>63.4</v>
      </c>
      <c r="P11" s="52">
        <v>60.7</v>
      </c>
      <c r="Q11" s="52">
        <v>59.3</v>
      </c>
      <c r="R11" s="52">
        <v>68.3</v>
      </c>
      <c r="S11" s="52">
        <v>70.8</v>
      </c>
      <c r="T11" s="52">
        <v>68.3</v>
      </c>
      <c r="U11" s="52">
        <v>65.7</v>
      </c>
      <c r="V11" s="52">
        <v>67.90000000000001</v>
      </c>
      <c r="W11" s="52">
        <v>59.5</v>
      </c>
      <c r="X11" s="52">
        <v>60</v>
      </c>
      <c r="Y11" s="52">
        <v>53</v>
      </c>
      <c r="Z11" s="52">
        <v>68.40000000000001</v>
      </c>
      <c r="AA11" s="52">
        <v>91.09999999999999</v>
      </c>
    </row>
    <row r="12" spans="1:35">
      <c r="A12" s="42" t="s">
        <v>508</v>
      </c>
      <c r="M12" s="52">
        <v>3</v>
      </c>
      <c r="N12" s="52">
        <v>3</v>
      </c>
      <c r="O12" s="52">
        <v>3.9</v>
      </c>
      <c r="P12" s="52">
        <v>4.3</v>
      </c>
      <c r="Q12" s="52">
        <v>2.9</v>
      </c>
      <c r="R12" s="52">
        <v>3</v>
      </c>
      <c r="S12" s="52">
        <v>4</v>
      </c>
      <c r="T12" s="52">
        <v>4.5</v>
      </c>
      <c r="U12" s="52">
        <v>3.1</v>
      </c>
      <c r="V12" s="52">
        <v>3</v>
      </c>
      <c r="W12" s="52">
        <v>4.1</v>
      </c>
      <c r="X12" s="52">
        <v>4.3</v>
      </c>
      <c r="Y12" s="52">
        <v>2.8</v>
      </c>
      <c r="Z12" s="52">
        <v>2.9</v>
      </c>
      <c r="AA12" s="52">
        <v>4.2</v>
      </c>
    </row>
    <row r="13" spans="1:35">
      <c r="A13" s="42" t="s">
        <v>509</v>
      </c>
      <c r="M13" s="52">
        <v>14.5</v>
      </c>
      <c r="N13" s="52">
        <v>14.6</v>
      </c>
      <c r="O13" s="52">
        <v>16</v>
      </c>
      <c r="P13" s="52">
        <v>15.6</v>
      </c>
      <c r="Q13" s="52">
        <v>15.3</v>
      </c>
      <c r="R13" s="52">
        <v>12.9</v>
      </c>
      <c r="S13" s="52">
        <v>16.2</v>
      </c>
      <c r="T13" s="52">
        <v>16.1</v>
      </c>
      <c r="U13" s="52">
        <v>17.3</v>
      </c>
      <c r="V13" s="52">
        <v>15.3</v>
      </c>
      <c r="W13" s="52">
        <v>12.3</v>
      </c>
      <c r="X13" s="52">
        <v>8.800000000000001</v>
      </c>
      <c r="Y13" s="52">
        <v>9.6</v>
      </c>
      <c r="Z13" s="52">
        <v>8.800000000000001</v>
      </c>
      <c r="AA13" s="52">
        <v>8.4</v>
      </c>
    </row>
    <row r="15" spans="1:35">
      <c r="A15" s="5" t="s">
        <v>510</v>
      </c>
    </row>
    <row r="16" spans="1:35">
      <c r="A16" s="42" t="s">
        <v>511</v>
      </c>
      <c r="B16" s="51">
        <v>90.25</v>
      </c>
      <c r="C16" s="51">
        <v>91</v>
      </c>
      <c r="D16" s="51">
        <v>92</v>
      </c>
      <c r="E16" s="51">
        <v>92</v>
      </c>
      <c r="F16" s="51">
        <v>90.25</v>
      </c>
      <c r="G16" s="51">
        <v>91</v>
      </c>
      <c r="H16" s="51">
        <v>92</v>
      </c>
      <c r="I16" s="51">
        <v>92</v>
      </c>
      <c r="J16" s="51">
        <v>90.25</v>
      </c>
      <c r="K16" s="51">
        <v>91</v>
      </c>
      <c r="L16" s="51">
        <v>92</v>
      </c>
      <c r="M16" s="51">
        <v>92</v>
      </c>
      <c r="N16" s="51">
        <v>90.25</v>
      </c>
      <c r="O16" s="51">
        <v>91</v>
      </c>
      <c r="P16" s="51">
        <v>92</v>
      </c>
      <c r="Q16" s="51">
        <v>92</v>
      </c>
      <c r="R16" s="51">
        <v>90.25</v>
      </c>
      <c r="S16" s="51">
        <v>91</v>
      </c>
      <c r="T16" s="51">
        <v>92</v>
      </c>
      <c r="U16" s="51">
        <v>92</v>
      </c>
      <c r="V16" s="51">
        <v>90.25</v>
      </c>
      <c r="W16" s="51">
        <v>91</v>
      </c>
      <c r="X16" s="51">
        <v>92</v>
      </c>
      <c r="Y16" s="51">
        <v>92</v>
      </c>
      <c r="Z16" s="51">
        <v>90.25</v>
      </c>
      <c r="AA16" s="51">
        <v>91</v>
      </c>
      <c r="AC16" s="51">
        <v>365</v>
      </c>
      <c r="AD16" s="51">
        <v>365</v>
      </c>
      <c r="AE16" s="51">
        <v>365</v>
      </c>
      <c r="AF16" s="51">
        <v>365</v>
      </c>
      <c r="AG16" s="51">
        <v>365</v>
      </c>
      <c r="AH16" s="51">
        <v>365</v>
      </c>
      <c r="AI16" s="51">
        <v>365</v>
      </c>
    </row>
    <row r="17" spans="1:37">
      <c r="A17" s="42" t="s">
        <v>512</v>
      </c>
      <c r="B17" s="52">
        <f>IFERROR(B6*B16/1000,"")</f>
        <v/>
      </c>
      <c r="C17" s="52">
        <f>IFERROR(C6*C16/1000,"")</f>
        <v/>
      </c>
      <c r="D17" s="52">
        <f>IFERROR(D6*D16/1000,"")</f>
        <v/>
      </c>
      <c r="E17" s="52">
        <f>IFERROR(E6*E16/1000,"")</f>
        <v/>
      </c>
      <c r="F17" s="52">
        <f>IFERROR(F6*F16/1000,"")</f>
        <v/>
      </c>
      <c r="G17" s="52">
        <f>IFERROR(G6*G16/1000,"")</f>
        <v/>
      </c>
      <c r="H17" s="52">
        <f>IFERROR(H6*H16/1000,"")</f>
        <v/>
      </c>
      <c r="I17" s="52">
        <f>IFERROR(I6*I16/1000,"")</f>
        <v/>
      </c>
      <c r="J17" s="52">
        <f>IFERROR(J6*J16/1000,"")</f>
        <v/>
      </c>
      <c r="K17" s="52">
        <f>IFERROR(K6*K16/1000,"")</f>
        <v/>
      </c>
      <c r="L17" s="52">
        <f>IFERROR(L6*L16/1000,"")</f>
        <v/>
      </c>
      <c r="M17" s="52">
        <f>IFERROR(M6*M16/1000,"")</f>
        <v/>
      </c>
      <c r="N17" s="52">
        <f>IFERROR(N6*N16/1000,"")</f>
        <v/>
      </c>
      <c r="O17" s="52">
        <f>IFERROR(O6*O16/1000,"")</f>
        <v/>
      </c>
      <c r="P17" s="52">
        <f>IFERROR(P6*P16/1000,"")</f>
        <v/>
      </c>
      <c r="Q17" s="52">
        <f>IFERROR(Q6*Q16/1000,"")</f>
        <v/>
      </c>
      <c r="R17" s="52">
        <f>IFERROR(R6*R16/1000,"")</f>
        <v/>
      </c>
      <c r="S17" s="52">
        <f>IFERROR(S6*S16/1000,"")</f>
        <v/>
      </c>
      <c r="T17" s="52">
        <f>IFERROR(T6*T16/1000,"")</f>
        <v/>
      </c>
      <c r="U17" s="52">
        <f>IFERROR(U6*U16/1000,"")</f>
        <v/>
      </c>
      <c r="V17" s="52">
        <f>IFERROR(V6*V16/1000,"")</f>
        <v/>
      </c>
      <c r="W17" s="52">
        <f>IFERROR(W6*W16/1000,"")</f>
        <v/>
      </c>
      <c r="X17" s="52">
        <f>IFERROR(X6*X16/1000,"")</f>
        <v/>
      </c>
      <c r="Y17" s="52">
        <f>IFERROR(Y6*Y16/1000,"")</f>
        <v/>
      </c>
      <c r="Z17" s="52">
        <f>IFERROR(Z6*Z16/1000,"")</f>
        <v/>
      </c>
      <c r="AA17" s="52">
        <f>IFERROR(AA6*AA16/1000,"")</f>
        <v/>
      </c>
      <c r="AC17" s="52">
        <f>IFERROR(AC6*AC16/1000,"")</f>
        <v/>
      </c>
      <c r="AD17" s="52">
        <f>IFERROR(AD6*AD16/1000,"")</f>
        <v/>
      </c>
      <c r="AE17" s="52">
        <f>IFERROR(AE6*AE16/1000,"")</f>
        <v/>
      </c>
      <c r="AF17" s="52">
        <f>IFERROR(AF6*AF16/1000,"")</f>
        <v/>
      </c>
      <c r="AG17" s="52">
        <f>IFERROR(AG6*AG16/1000,"")</f>
        <v/>
      </c>
      <c r="AH17" s="52">
        <f>IFERROR(AH6*AH16/1000,"")</f>
        <v/>
      </c>
      <c r="AI17" s="52">
        <f>IFERROR(AI6*AI16/1000,"")</f>
        <v/>
      </c>
    </row>
    <row r="18" spans="1:37">
      <c r="A18" s="5" t="s">
        <v>513</v>
      </c>
    </row>
    <row r="19" spans="1:37">
      <c r="A19" s="42" t="s">
        <v>514</v>
      </c>
      <c r="B19" s="52">
        <f>IFERROR('Análisis'!B13/(B17*1000000),"")</f>
        <v/>
      </c>
      <c r="C19" s="52">
        <f>IFERROR('Análisis'!C13/(C17*1000000),"")</f>
        <v/>
      </c>
      <c r="D19" s="52">
        <f>IFERROR('Análisis'!D13/(D17*1000000),"")</f>
        <v/>
      </c>
      <c r="E19" s="52">
        <f>IFERROR('Análisis'!E13/(E17*1000000),"")</f>
        <v/>
      </c>
      <c r="F19" s="52">
        <f>IFERROR('Análisis'!F13/(F17*1000000),"")</f>
        <v/>
      </c>
      <c r="G19" s="52">
        <f>IFERROR('Análisis'!G13/(G17*1000000),"")</f>
        <v/>
      </c>
      <c r="H19" s="52">
        <f>IFERROR('Análisis'!H13/(H17*1000000),"")</f>
        <v/>
      </c>
      <c r="I19" s="52">
        <f>IFERROR('Análisis'!I13/(I17*1000000),"")</f>
        <v/>
      </c>
      <c r="J19" s="52">
        <f>IFERROR('Análisis'!J13/(J17*1000000),"")</f>
        <v/>
      </c>
      <c r="K19" s="52">
        <f>IFERROR('Análisis'!K13/(K17*1000000),"")</f>
        <v/>
      </c>
      <c r="L19" s="52">
        <f>IFERROR('Análisis'!L13/(L17*1000000),"")</f>
        <v/>
      </c>
      <c r="M19" s="52">
        <f>IFERROR('Análisis'!M13/(M17*1000000),"")</f>
        <v/>
      </c>
      <c r="N19" s="52">
        <f>IFERROR('Análisis'!N13/(N17*1000000),"")</f>
        <v/>
      </c>
      <c r="O19" s="52">
        <f>IFERROR('Análisis'!O13/(O17*1000000),"")</f>
        <v/>
      </c>
      <c r="P19" s="52">
        <f>IFERROR('Análisis'!P13/(P17*1000000),"")</f>
        <v/>
      </c>
      <c r="Q19" s="52">
        <f>IFERROR('Análisis'!Q13/(Q17*1000000),"")</f>
        <v/>
      </c>
      <c r="R19" s="52">
        <f>IFERROR('Análisis'!R13/(R17*1000000),"")</f>
        <v/>
      </c>
      <c r="S19" s="52">
        <f>IFERROR('Análisis'!S13/(S17*1000000),"")</f>
        <v/>
      </c>
      <c r="T19" s="52">
        <f>IFERROR('Análisis'!T13/(T17*1000000),"")</f>
        <v/>
      </c>
      <c r="U19" s="52">
        <f>IFERROR('Análisis'!U13/(U17*1000000),"")</f>
        <v/>
      </c>
      <c r="V19" s="52">
        <f>IFERROR('Análisis'!V13/(V17*1000000),"")</f>
        <v/>
      </c>
      <c r="W19" s="52">
        <f>IFERROR('Análisis'!W13/(W17*1000000),"")</f>
        <v/>
      </c>
      <c r="X19" s="52">
        <f>IFERROR('Análisis'!X13/(X17*1000000),"")</f>
        <v/>
      </c>
      <c r="Y19" s="52">
        <f>IFERROR('Análisis'!Y13/(Y17*1000000),"")</f>
        <v/>
      </c>
      <c r="Z19" s="52">
        <f>IFERROR('Análisis'!Z13/(Z17*1000000),"")</f>
        <v/>
      </c>
      <c r="AA19" s="52">
        <f>IFERROR('Análisis'!AA13/(AA17*1000000),"")</f>
        <v/>
      </c>
      <c r="AC19" s="52">
        <f>IFERROR('Análisis'!AC13/(AC17*1000000),"")</f>
        <v/>
      </c>
      <c r="AD19" s="52">
        <f>IFERROR('Análisis'!AD13/(AD17*1000000),"")</f>
        <v/>
      </c>
      <c r="AE19" s="52">
        <f>IFERROR('Análisis'!AE13/(AE17*1000000),"")</f>
        <v/>
      </c>
      <c r="AF19" s="52">
        <f>IFERROR('Análisis'!AF13/(AF17*1000000),"")</f>
        <v/>
      </c>
      <c r="AG19" s="52">
        <f>IFERROR('Análisis'!AG13/(AG17*1000000),"")</f>
        <v/>
      </c>
      <c r="AH19" s="52">
        <f>IFERROR('Análisis'!AH13/(AH17*1000000),"")</f>
        <v/>
      </c>
      <c r="AI19" s="52">
        <f>IFERROR('Análisis'!AI13/(AI17*1000000),"")</f>
        <v/>
      </c>
      <c r="AK19" s="6" t="s">
        <v>515</v>
      </c>
    </row>
    <row r="20" spans="1:37">
      <c r="A20" s="42" t="s">
        <v>516</v>
      </c>
      <c r="B20" s="52">
        <f>IFERROR('Segmentos'!B6/(B17*1000000),"")</f>
        <v/>
      </c>
      <c r="C20" s="52">
        <f>IFERROR('Segmentos'!C6/(C17*1000000),"")</f>
        <v/>
      </c>
      <c r="D20" s="52">
        <f>IFERROR('Segmentos'!D6/(D17*1000000),"")</f>
        <v/>
      </c>
      <c r="E20" s="52">
        <f>IFERROR('Segmentos'!E6/(E17*1000000),"")</f>
        <v/>
      </c>
      <c r="F20" s="52">
        <f>IFERROR('Segmentos'!F6/(F17*1000000),"")</f>
        <v/>
      </c>
      <c r="G20" s="52">
        <f>IFERROR('Segmentos'!G6/(G17*1000000),"")</f>
        <v/>
      </c>
      <c r="H20" s="52">
        <f>IFERROR('Segmentos'!H6/(H17*1000000),"")</f>
        <v/>
      </c>
      <c r="I20" s="52">
        <f>IFERROR('Segmentos'!I6/(I17*1000000),"")</f>
        <v/>
      </c>
      <c r="J20" s="52">
        <f>IFERROR('Segmentos'!J6/(J17*1000000),"")</f>
        <v/>
      </c>
      <c r="K20" s="52">
        <f>IFERROR('Segmentos'!K6/(K17*1000000),"")</f>
        <v/>
      </c>
      <c r="L20" s="52">
        <f>IFERROR('Segmentos'!L6/(L17*1000000),"")</f>
        <v/>
      </c>
      <c r="M20" s="52">
        <f>IFERROR('Segmentos'!M6/(M17*1000000),"")</f>
        <v/>
      </c>
      <c r="N20" s="52">
        <f>IFERROR('Segmentos'!N6/(N17*1000000),"")</f>
        <v/>
      </c>
      <c r="O20" s="52">
        <f>IFERROR('Segmentos'!O6/(O17*1000000),"")</f>
        <v/>
      </c>
      <c r="P20" s="52">
        <f>IFERROR('Segmentos'!P6/(P17*1000000),"")</f>
        <v/>
      </c>
      <c r="Q20" s="52">
        <f>IFERROR('Segmentos'!Q6/(Q17*1000000),"")</f>
        <v/>
      </c>
      <c r="R20" s="52">
        <f>IFERROR('Segmentos'!R6/(R17*1000000),"")</f>
        <v/>
      </c>
      <c r="S20" s="52">
        <f>IFERROR('Segmentos'!S6/(S17*1000000),"")</f>
        <v/>
      </c>
      <c r="T20" s="52">
        <f>IFERROR('Segmentos'!T6/(T17*1000000),"")</f>
        <v/>
      </c>
      <c r="U20" s="52">
        <f>IFERROR('Segmentos'!U6/(U17*1000000),"")</f>
        <v/>
      </c>
      <c r="V20" s="52">
        <f>IFERROR('Segmentos'!V6/(V17*1000000),"")</f>
        <v/>
      </c>
      <c r="W20" s="52">
        <f>IFERROR('Segmentos'!W6/(W17*1000000),"")</f>
        <v/>
      </c>
      <c r="X20" s="52">
        <f>IFERROR('Segmentos'!X6/(X17*1000000),"")</f>
        <v/>
      </c>
      <c r="Y20" s="52">
        <f>IFERROR('Segmentos'!Y6/(Y17*1000000),"")</f>
        <v/>
      </c>
      <c r="Z20" s="52">
        <f>IFERROR('Segmentos'!Z6/(Z17*1000000),"")</f>
        <v/>
      </c>
      <c r="AA20" s="52">
        <f>IFERROR('Segmentos'!AA6/(AA17*1000000),"")</f>
        <v/>
      </c>
      <c r="AC20" s="52">
        <f>IFERROR('Segmentos'!AC6/(AC17*1000000),"")</f>
        <v/>
      </c>
      <c r="AD20" s="52">
        <f>IFERROR('Segmentos'!AD6/(AD17*1000000),"")</f>
        <v/>
      </c>
      <c r="AE20" s="52">
        <f>IFERROR('Segmentos'!AE6/(AE17*1000000),"")</f>
        <v/>
      </c>
      <c r="AF20" s="52">
        <f>IFERROR('Segmentos'!AF6/(AF17*1000000),"")</f>
        <v/>
      </c>
      <c r="AG20" s="52">
        <f>IFERROR('Segmentos'!AG6/(AG17*1000000),"")</f>
        <v/>
      </c>
      <c r="AH20" s="52">
        <f>IFERROR('Segmentos'!AH6/(AH17*1000000),"")</f>
        <v/>
      </c>
      <c r="AI20" s="52">
        <f>IFERROR('Segmentos'!AI6/(AI17*1000000),"")</f>
        <v/>
      </c>
      <c r="AK20" s="6" t="s">
        <v>517</v>
      </c>
    </row>
    <row r="21" spans="1:37">
      <c r="A21" s="42" t="s">
        <v>518</v>
      </c>
      <c r="B21" s="52">
        <f>IFERROR('Segmentos'!B20/(B17*1000000),"")</f>
        <v/>
      </c>
      <c r="C21" s="52">
        <f>IFERROR('Segmentos'!C20/(C17*1000000),"")</f>
        <v/>
      </c>
      <c r="D21" s="52">
        <f>IFERROR('Segmentos'!D20/(D17*1000000),"")</f>
        <v/>
      </c>
      <c r="E21" s="52">
        <f>IFERROR('Segmentos'!E20/(E17*1000000),"")</f>
        <v/>
      </c>
      <c r="F21" s="52">
        <f>IFERROR('Segmentos'!F20/(F17*1000000),"")</f>
        <v/>
      </c>
      <c r="G21" s="52">
        <f>IFERROR('Segmentos'!G20/(G17*1000000),"")</f>
        <v/>
      </c>
      <c r="H21" s="52">
        <f>IFERROR('Segmentos'!H20/(H17*1000000),"")</f>
        <v/>
      </c>
      <c r="I21" s="52">
        <f>IFERROR('Segmentos'!I20/(I17*1000000),"")</f>
        <v/>
      </c>
      <c r="J21" s="52">
        <f>IFERROR('Segmentos'!J20/(J17*1000000),"")</f>
        <v/>
      </c>
      <c r="K21" s="52">
        <f>IFERROR('Segmentos'!K20/(K17*1000000),"")</f>
        <v/>
      </c>
      <c r="L21" s="52">
        <f>IFERROR('Segmentos'!L20/(L17*1000000),"")</f>
        <v/>
      </c>
      <c r="M21" s="52">
        <f>IFERROR('Segmentos'!M20/(M17*1000000),"")</f>
        <v/>
      </c>
      <c r="N21" s="52">
        <f>IFERROR('Segmentos'!N20/(N17*1000000),"")</f>
        <v/>
      </c>
      <c r="O21" s="52">
        <f>IFERROR('Segmentos'!O20/(O17*1000000),"")</f>
        <v/>
      </c>
      <c r="P21" s="52">
        <f>IFERROR('Segmentos'!P20/(P17*1000000),"")</f>
        <v/>
      </c>
      <c r="Q21" s="52">
        <f>IFERROR('Segmentos'!Q20/(Q17*1000000),"")</f>
        <v/>
      </c>
      <c r="R21" s="52">
        <f>IFERROR('Segmentos'!R20/(R17*1000000),"")</f>
        <v/>
      </c>
      <c r="S21" s="52">
        <f>IFERROR('Segmentos'!S20/(S17*1000000),"")</f>
        <v/>
      </c>
      <c r="T21" s="52">
        <f>IFERROR('Segmentos'!T20/(T17*1000000),"")</f>
        <v/>
      </c>
      <c r="U21" s="52">
        <f>IFERROR('Segmentos'!U20/(U17*1000000),"")</f>
        <v/>
      </c>
      <c r="V21" s="52">
        <f>IFERROR('Segmentos'!V20/(V17*1000000),"")</f>
        <v/>
      </c>
      <c r="W21" s="52">
        <f>IFERROR('Segmentos'!W20/(W17*1000000),"")</f>
        <v/>
      </c>
      <c r="X21" s="52">
        <f>IFERROR('Segmentos'!X20/(X17*1000000),"")</f>
        <v/>
      </c>
      <c r="Y21" s="52">
        <f>IFERROR('Segmentos'!Y20/(Y17*1000000),"")</f>
        <v/>
      </c>
      <c r="Z21" s="52">
        <f>IFERROR('Segmentos'!Z20/(Z17*1000000),"")</f>
        <v/>
      </c>
      <c r="AA21" s="52">
        <f>IFERROR('Segmentos'!AA20/(AA17*1000000),"")</f>
        <v/>
      </c>
      <c r="AC21" s="52">
        <f>IFERROR('Segmentos'!AC20/(AC17*1000000),"")</f>
        <v/>
      </c>
      <c r="AD21" s="52">
        <f>IFERROR('Segmentos'!AD20/(AD17*1000000),"")</f>
        <v/>
      </c>
      <c r="AE21" s="52">
        <f>IFERROR('Segmentos'!AE20/(AE17*1000000),"")</f>
        <v/>
      </c>
      <c r="AF21" s="52">
        <f>IFERROR('Segmentos'!AF20/(AF17*1000000),"")</f>
        <v/>
      </c>
      <c r="AG21" s="52">
        <f>IFERROR('Segmentos'!AG20/(AG17*1000000),"")</f>
        <v/>
      </c>
      <c r="AH21" s="52">
        <f>IFERROR('Segmentos'!AH20/(AH17*1000000),"")</f>
        <v/>
      </c>
      <c r="AI21" s="52">
        <f>IFERROR('Segmentos'!AI20/(AI17*1000000),"")</f>
        <v/>
      </c>
    </row>
    <row r="22" spans="1:37">
      <c r="A22" s="42" t="s">
        <v>519</v>
      </c>
      <c r="B22" s="52">
        <f>IFERROR('Segmentos'!B34/(B17*1000000),"")</f>
        <v/>
      </c>
      <c r="C22" s="52">
        <f>IFERROR('Segmentos'!C34/(C17*1000000),"")</f>
        <v/>
      </c>
      <c r="D22" s="52">
        <f>IFERROR('Segmentos'!D34/(D17*1000000),"")</f>
        <v/>
      </c>
      <c r="E22" s="52">
        <f>IFERROR('Segmentos'!E34/(E17*1000000),"")</f>
        <v/>
      </c>
      <c r="F22" s="52">
        <f>IFERROR('Segmentos'!F34/(F17*1000000),"")</f>
        <v/>
      </c>
      <c r="G22" s="52">
        <f>IFERROR('Segmentos'!G34/(G17*1000000),"")</f>
        <v/>
      </c>
      <c r="H22" s="52">
        <f>IFERROR('Segmentos'!H34/(H17*1000000),"")</f>
        <v/>
      </c>
      <c r="I22" s="52">
        <f>IFERROR('Segmentos'!I34/(I17*1000000),"")</f>
        <v/>
      </c>
      <c r="J22" s="52">
        <f>IFERROR('Segmentos'!J34/(J17*1000000),"")</f>
        <v/>
      </c>
      <c r="K22" s="52">
        <f>IFERROR('Segmentos'!K34/(K17*1000000),"")</f>
        <v/>
      </c>
      <c r="L22" s="52">
        <f>IFERROR('Segmentos'!L34/(L17*1000000),"")</f>
        <v/>
      </c>
      <c r="M22" s="52">
        <f>IFERROR('Segmentos'!M34/(M17*1000000),"")</f>
        <v/>
      </c>
      <c r="N22" s="52">
        <f>IFERROR('Segmentos'!N34/(N17*1000000),"")</f>
        <v/>
      </c>
      <c r="O22" s="52">
        <f>IFERROR('Segmentos'!O34/(O17*1000000),"")</f>
        <v/>
      </c>
      <c r="P22" s="52">
        <f>IFERROR('Segmentos'!P34/(P17*1000000),"")</f>
        <v/>
      </c>
      <c r="Q22" s="52">
        <f>IFERROR('Segmentos'!Q34/(Q17*1000000),"")</f>
        <v/>
      </c>
      <c r="R22" s="52">
        <f>IFERROR('Segmentos'!R34/(R17*1000000),"")</f>
        <v/>
      </c>
      <c r="S22" s="52">
        <f>IFERROR('Segmentos'!S34/(S17*1000000),"")</f>
        <v/>
      </c>
      <c r="T22" s="52">
        <f>IFERROR('Segmentos'!T34/(T17*1000000),"")</f>
        <v/>
      </c>
      <c r="U22" s="52">
        <f>IFERROR('Segmentos'!U34/(U17*1000000),"")</f>
        <v/>
      </c>
      <c r="V22" s="52">
        <f>IFERROR('Segmentos'!V34/(V17*1000000),"")</f>
        <v/>
      </c>
      <c r="W22" s="52">
        <f>IFERROR('Segmentos'!W34/(W17*1000000),"")</f>
        <v/>
      </c>
      <c r="X22" s="52">
        <f>IFERROR('Segmentos'!X34/(X17*1000000),"")</f>
        <v/>
      </c>
      <c r="Y22" s="52">
        <f>IFERROR('Segmentos'!Y34/(Y17*1000000),"")</f>
        <v/>
      </c>
      <c r="Z22" s="52">
        <f>IFERROR('Segmentos'!Z34/(Z17*1000000),"")</f>
        <v/>
      </c>
      <c r="AA22" s="52">
        <f>IFERROR('Segmentos'!AA34/(AA17*1000000),"")</f>
        <v/>
      </c>
      <c r="AC22" s="52">
        <f>IFERROR('Segmentos'!AC34/(AC17*1000000),"")</f>
        <v/>
      </c>
      <c r="AD22" s="52">
        <f>IFERROR('Segmentos'!AD34/(AD17*1000000),"")</f>
        <v/>
      </c>
      <c r="AE22" s="52">
        <f>IFERROR('Segmentos'!AE34/(AE17*1000000),"")</f>
        <v/>
      </c>
      <c r="AF22" s="52">
        <f>IFERROR('Segmentos'!AF34/(AF17*1000000),"")</f>
        <v/>
      </c>
      <c r="AG22" s="52">
        <f>IFERROR('Segmentos'!AG34/(AG17*1000000),"")</f>
        <v/>
      </c>
      <c r="AH22" s="52">
        <f>IFERROR('Segmentos'!AH34/(AH17*1000000),"")</f>
        <v/>
      </c>
      <c r="AI22" s="52">
        <f>IFERROR('Segmentos'!AI34/(AI17*1000000),"")</f>
        <v/>
      </c>
    </row>
    <row r="23" spans="1:37">
      <c r="A23" s="42" t="s">
        <v>520</v>
      </c>
      <c r="B23" s="52">
        <f>IFERROR('Segmentos'!B47/(B17*1000000),"")</f>
        <v/>
      </c>
      <c r="C23" s="52">
        <f>IFERROR('Segmentos'!C47/(C17*1000000),"")</f>
        <v/>
      </c>
      <c r="D23" s="52">
        <f>IFERROR('Segmentos'!D47/(D17*1000000),"")</f>
        <v/>
      </c>
      <c r="E23" s="52">
        <f>IFERROR('Segmentos'!E47/(E17*1000000),"")</f>
        <v/>
      </c>
      <c r="F23" s="52">
        <f>IFERROR('Segmentos'!F47/(F17*1000000),"")</f>
        <v/>
      </c>
      <c r="G23" s="52">
        <f>IFERROR('Segmentos'!G47/(G17*1000000),"")</f>
        <v/>
      </c>
      <c r="H23" s="52">
        <f>IFERROR('Segmentos'!H47/(H17*1000000),"")</f>
        <v/>
      </c>
      <c r="I23" s="52">
        <f>IFERROR('Segmentos'!I47/(I17*1000000),"")</f>
        <v/>
      </c>
      <c r="J23" s="52">
        <f>IFERROR('Segmentos'!J47/(J17*1000000),"")</f>
        <v/>
      </c>
      <c r="K23" s="52">
        <f>IFERROR('Segmentos'!K47/(K17*1000000),"")</f>
        <v/>
      </c>
      <c r="L23" s="52">
        <f>IFERROR('Segmentos'!L47/(L17*1000000),"")</f>
        <v/>
      </c>
      <c r="M23" s="52">
        <f>IFERROR('Segmentos'!M47/(M17*1000000),"")</f>
        <v/>
      </c>
      <c r="N23" s="52">
        <f>IFERROR('Segmentos'!N47/(N17*1000000),"")</f>
        <v/>
      </c>
      <c r="O23" s="52">
        <f>IFERROR('Segmentos'!O47/(O17*1000000),"")</f>
        <v/>
      </c>
      <c r="P23" s="52">
        <f>IFERROR('Segmentos'!P47/(P17*1000000),"")</f>
        <v/>
      </c>
      <c r="Q23" s="52">
        <f>IFERROR('Segmentos'!Q47/(Q17*1000000),"")</f>
        <v/>
      </c>
      <c r="R23" s="52">
        <f>IFERROR('Segmentos'!R47/(R17*1000000),"")</f>
        <v/>
      </c>
      <c r="S23" s="52">
        <f>IFERROR('Segmentos'!S47/(S17*1000000),"")</f>
        <v/>
      </c>
      <c r="T23" s="52">
        <f>IFERROR('Segmentos'!T47/(T17*1000000),"")</f>
        <v/>
      </c>
      <c r="U23" s="52">
        <f>IFERROR('Segmentos'!U47/(U17*1000000),"")</f>
        <v/>
      </c>
      <c r="V23" s="52">
        <f>IFERROR('Segmentos'!V47/(V17*1000000),"")</f>
        <v/>
      </c>
      <c r="W23" s="52">
        <f>IFERROR('Segmentos'!W47/(W17*1000000),"")</f>
        <v/>
      </c>
      <c r="X23" s="52">
        <f>IFERROR('Segmentos'!X47/(X17*1000000),"")</f>
        <v/>
      </c>
      <c r="Y23" s="52">
        <f>IFERROR('Segmentos'!Y47/(Y17*1000000),"")</f>
        <v/>
      </c>
      <c r="Z23" s="52">
        <f>IFERROR('Segmentos'!Z47/(Z17*1000000),"")</f>
        <v/>
      </c>
      <c r="AA23" s="52">
        <f>IFERROR('Segmentos'!AA47/(AA17*1000000),"")</f>
        <v/>
      </c>
      <c r="AC23" s="52">
        <f>IFERROR('Segmentos'!AC47/(AC17*1000000),"")</f>
        <v/>
      </c>
      <c r="AD23" s="52">
        <f>IFERROR('Segmentos'!AD47/(AD17*1000000),"")</f>
        <v/>
      </c>
      <c r="AE23" s="52">
        <f>IFERROR('Segmentos'!AE47/(AE17*1000000),"")</f>
        <v/>
      </c>
      <c r="AF23" s="52">
        <f>IFERROR('Segmentos'!AF47/(AF17*1000000),"")</f>
        <v/>
      </c>
      <c r="AG23" s="52">
        <f>IFERROR('Segmentos'!AG47/(AG17*1000000),"")</f>
        <v/>
      </c>
      <c r="AH23" s="52">
        <f>IFERROR('Segmentos'!AH47/(AH17*1000000),"")</f>
        <v/>
      </c>
      <c r="AI23" s="52">
        <f>IFERROR('Segmentos'!AI47/(AI17*1000000),"")</f>
        <v/>
      </c>
      <c r="AK23" s="6" t="s">
        <v>521</v>
      </c>
    </row>
    <row r="24" spans="1:37">
      <c r="A24" s="42" t="s">
        <v>522</v>
      </c>
      <c r="B24" s="52">
        <f>IFERROR('Flujo de efectivo'!B33/(B17*1000000),"")</f>
        <v/>
      </c>
      <c r="C24" s="52">
        <f>IFERROR('Flujo de efectivo'!C33/(C17*1000000),"")</f>
        <v/>
      </c>
      <c r="D24" s="52">
        <f>IFERROR('Flujo de efectivo'!D33/(D17*1000000),"")</f>
        <v/>
      </c>
      <c r="E24" s="52">
        <f>IFERROR('Flujo de efectivo'!E33/(E17*1000000),"")</f>
        <v/>
      </c>
      <c r="F24" s="52">
        <f>IFERROR('Flujo de efectivo'!F33/(F17*1000000),"")</f>
        <v/>
      </c>
      <c r="G24" s="52">
        <f>IFERROR('Flujo de efectivo'!G33/(G17*1000000),"")</f>
        <v/>
      </c>
      <c r="H24" s="52">
        <f>IFERROR('Flujo de efectivo'!H33/(H17*1000000),"")</f>
        <v/>
      </c>
      <c r="I24" s="52">
        <f>IFERROR('Flujo de efectivo'!I33/(I17*1000000),"")</f>
        <v/>
      </c>
      <c r="J24" s="52">
        <f>IFERROR('Flujo de efectivo'!J33/(J17*1000000),"")</f>
        <v/>
      </c>
      <c r="K24" s="52">
        <f>IFERROR('Flujo de efectivo'!K33/(K17*1000000),"")</f>
        <v/>
      </c>
      <c r="L24" s="52">
        <f>IFERROR('Flujo de efectivo'!L33/(L17*1000000),"")</f>
        <v/>
      </c>
      <c r="M24" s="52">
        <f>IFERROR('Flujo de efectivo'!M33/(M17*1000000),"")</f>
        <v/>
      </c>
      <c r="N24" s="52">
        <f>IFERROR('Flujo de efectivo'!N33/(N17*1000000),"")</f>
        <v/>
      </c>
      <c r="O24" s="52">
        <f>IFERROR('Flujo de efectivo'!O33/(O17*1000000),"")</f>
        <v/>
      </c>
      <c r="P24" s="52">
        <f>IFERROR('Flujo de efectivo'!P33/(P17*1000000),"")</f>
        <v/>
      </c>
      <c r="Q24" s="52">
        <f>IFERROR('Flujo de efectivo'!Q33/(Q17*1000000),"")</f>
        <v/>
      </c>
      <c r="R24" s="52">
        <f>IFERROR('Flujo de efectivo'!R33/(R17*1000000),"")</f>
        <v/>
      </c>
      <c r="S24" s="52">
        <f>IFERROR('Flujo de efectivo'!S33/(S17*1000000),"")</f>
        <v/>
      </c>
      <c r="T24" s="52">
        <f>IFERROR('Flujo de efectivo'!T33/(T17*1000000),"")</f>
        <v/>
      </c>
      <c r="U24" s="52">
        <f>IFERROR('Flujo de efectivo'!U33/(U17*1000000),"")</f>
        <v/>
      </c>
      <c r="V24" s="52">
        <f>IFERROR('Flujo de efectivo'!V33/(V17*1000000),"")</f>
        <v/>
      </c>
      <c r="W24" s="52">
        <f>IFERROR('Flujo de efectivo'!W33/(W17*1000000),"")</f>
        <v/>
      </c>
      <c r="X24" s="52">
        <f>IFERROR('Flujo de efectivo'!X33/(X17*1000000),"")</f>
        <v/>
      </c>
      <c r="Y24" s="52">
        <f>IFERROR('Flujo de efectivo'!Y33/(Y17*1000000),"")</f>
        <v/>
      </c>
      <c r="Z24" s="52">
        <f>IFERROR('Flujo de efectivo'!Z33/(Z17*1000000),"")</f>
        <v/>
      </c>
      <c r="AA24" s="52">
        <f>IFERROR('Flujo de efectivo'!AA33/(AA17*1000000),"")</f>
        <v/>
      </c>
      <c r="AC24" s="52">
        <f>IFERROR('Flujo de efectivo'!AC33/(AC17*1000000),"")</f>
        <v/>
      </c>
      <c r="AD24" s="52">
        <f>IFERROR('Flujo de efectivo'!AD33/(AD17*1000000),"")</f>
        <v/>
      </c>
      <c r="AE24" s="52">
        <f>IFERROR('Flujo de efectivo'!AE33/(AE17*1000000),"")</f>
        <v/>
      </c>
      <c r="AF24" s="52">
        <f>IFERROR('Flujo de efectivo'!AF33/(AF17*1000000),"")</f>
        <v/>
      </c>
      <c r="AG24" s="52">
        <f>IFERROR('Flujo de efectivo'!AG33/(AG17*1000000),"")</f>
        <v/>
      </c>
      <c r="AH24" s="52">
        <f>IFERROR('Flujo de efectivo'!AH33/(AH17*1000000),"")</f>
        <v/>
      </c>
      <c r="AI24" s="52">
        <f>IFERROR('Flujo de efectivo'!AI33/(AI17*1000000),"")</f>
        <v/>
      </c>
      <c r="AK24" s="6" t="s">
        <v>523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F0A830"/>
  </sheetPr>
  <dimension ref="A1:AL81"/>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62.7109375" customWidth="1"/>
    <col min="2" max="37" width="19.7109375" customWidth="1"/>
  </cols>
  <sheetData>
    <row r="1" spans="1:4">
      <c r="A1" s="1" t="s">
        <v>66</v>
      </c>
    </row>
    <row r="2" spans="1:4">
      <c r="A2" s="2" t="s">
        <v>524</v>
      </c>
    </row>
    <row r="4" spans="1:4">
      <c r="A4" s="5" t="s">
        <v>525</v>
      </c>
    </row>
    <row r="5" spans="1:4">
      <c r="A5" s="42" t="s">
        <v>526</v>
      </c>
      <c r="B5" s="53">
        <v>393312793</v>
      </c>
      <c r="D5" s="6" t="s">
        <v>527</v>
      </c>
    </row>
    <row r="6" spans="1:4">
      <c r="A6" s="42" t="s">
        <v>528</v>
      </c>
      <c r="B6" s="54">
        <v>53.09000015258789</v>
      </c>
      <c r="D6" s="6" t="s">
        <v>529</v>
      </c>
    </row>
    <row r="7" spans="1:4">
      <c r="A7" s="42" t="s">
        <v>530</v>
      </c>
      <c r="B7" s="55">
        <v>0.0425</v>
      </c>
      <c r="D7" s="6" t="s">
        <v>531</v>
      </c>
    </row>
    <row r="8" spans="1:4">
      <c r="A8" s="42" t="s">
        <v>532</v>
      </c>
      <c r="B8" s="55">
        <v>0.049</v>
      </c>
      <c r="D8" s="6" t="s">
        <v>533</v>
      </c>
    </row>
    <row r="9" spans="1:4">
      <c r="A9" s="42" t="s">
        <v>534</v>
      </c>
      <c r="B9" s="54">
        <v>1.1</v>
      </c>
      <c r="D9" s="6" t="s">
        <v>535</v>
      </c>
    </row>
    <row r="10" spans="1:4">
      <c r="A10" s="42" t="s">
        <v>536</v>
      </c>
      <c r="B10" s="55">
        <v>0.055</v>
      </c>
      <c r="D10" s="6" t="s">
        <v>537</v>
      </c>
    </row>
    <row r="11" spans="1:4">
      <c r="A11" s="42" t="s">
        <v>538</v>
      </c>
      <c r="B11" s="55">
        <v>0.35</v>
      </c>
      <c r="D11" s="6" t="s">
        <v>539</v>
      </c>
    </row>
    <row r="12" spans="1:4">
      <c r="A12" s="42" t="s">
        <v>540</v>
      </c>
      <c r="B12" s="55">
        <v>0.04</v>
      </c>
      <c r="D12" s="6" t="s">
        <v>541</v>
      </c>
    </row>
    <row r="13" spans="1:4">
      <c r="A13" s="42" t="s">
        <v>542</v>
      </c>
      <c r="B13" s="55">
        <v>0.02</v>
      </c>
      <c r="D13" s="6" t="s">
        <v>543</v>
      </c>
    </row>
    <row r="14" spans="1:4">
      <c r="A14" s="42" t="s">
        <v>544</v>
      </c>
      <c r="B14" s="54">
        <v>7.594041407611328</v>
      </c>
      <c r="D14" s="6" t="s">
        <v>545</v>
      </c>
    </row>
    <row r="16" spans="1:4">
      <c r="A16" s="5" t="s">
        <v>546</v>
      </c>
    </row>
    <row r="17" spans="1:38">
      <c r="A17" s="42" t="s">
        <v>547</v>
      </c>
      <c r="B17" s="45">
        <f>$B$5*$B$6</f>
        <v/>
      </c>
    </row>
    <row r="18" spans="1:38">
      <c r="A18" s="42" t="s">
        <v>418</v>
      </c>
      <c r="B18" s="45">
        <f>'Análisis'!AA17</f>
        <v/>
      </c>
      <c r="D18" s="6" t="s">
        <v>548</v>
      </c>
    </row>
    <row r="19" spans="1:38">
      <c r="A19" s="42" t="s">
        <v>549</v>
      </c>
      <c r="B19" s="45">
        <f>$B$17+$B$18</f>
        <v/>
      </c>
    </row>
    <row r="20" spans="1:38">
      <c r="A20" s="42" t="s">
        <v>550</v>
      </c>
      <c r="B20" s="50">
        <f>IFERROR($B$19/'Análisis'!AA22,"")</f>
        <v/>
      </c>
    </row>
    <row r="21" spans="1:38">
      <c r="A21" s="42" t="s">
        <v>551</v>
      </c>
      <c r="B21" s="50">
        <f>IFERROR($B$19/'Análisis'!AA25,"")</f>
        <v/>
      </c>
    </row>
    <row r="22" spans="1:38">
      <c r="A22" s="42" t="s">
        <v>552</v>
      </c>
      <c r="B22" s="50">
        <f>IFERROR($B$17/'Análisis'!AA23,"")</f>
        <v/>
      </c>
      <c r="D22" s="6" t="s">
        <v>553</v>
      </c>
    </row>
    <row r="23" spans="1:38">
      <c r="A23" s="42" t="s">
        <v>554</v>
      </c>
      <c r="B23" s="50">
        <f>IFERROR($B$17/'Balance'!AA35,"")</f>
        <v/>
      </c>
    </row>
    <row r="24" spans="1:38">
      <c r="A24" s="42" t="s">
        <v>555</v>
      </c>
      <c r="B24" s="54">
        <v>1616.9315</v>
      </c>
      <c r="D24" s="6" t="s">
        <v>556</v>
      </c>
    </row>
    <row r="25" spans="1:38">
      <c r="A25" s="42" t="s">
        <v>557</v>
      </c>
      <c r="B25" s="52">
        <f>IFERROR($B$19/($B$24*1000000),"")</f>
        <v/>
      </c>
    </row>
    <row r="27" spans="1:38">
      <c r="A27" s="5" t="s">
        <v>558</v>
      </c>
    </row>
    <row r="28" spans="1:38">
      <c r="A28" s="40"/>
      <c r="B28" s="41" t="s">
        <v>159</v>
      </c>
      <c r="C28" s="41" t="s">
        <v>160</v>
      </c>
      <c r="D28" s="41" t="s">
        <v>161</v>
      </c>
      <c r="E28" s="41" t="s">
        <v>162</v>
      </c>
      <c r="F28" s="41" t="s">
        <v>163</v>
      </c>
      <c r="G28" s="41" t="s">
        <v>164</v>
      </c>
      <c r="H28" s="41" t="s">
        <v>165</v>
      </c>
      <c r="I28" s="41" t="s">
        <v>166</v>
      </c>
      <c r="J28" s="41" t="s">
        <v>167</v>
      </c>
      <c r="K28" s="41" t="s">
        <v>168</v>
      </c>
      <c r="L28" s="41" t="s">
        <v>169</v>
      </c>
      <c r="M28" s="41" t="s">
        <v>170</v>
      </c>
      <c r="N28" s="41" t="s">
        <v>171</v>
      </c>
      <c r="O28" s="41" t="s">
        <v>172</v>
      </c>
      <c r="P28" s="41" t="s">
        <v>173</v>
      </c>
      <c r="Q28" s="41" t="s">
        <v>174</v>
      </c>
      <c r="R28" s="41" t="s">
        <v>175</v>
      </c>
      <c r="S28" s="41" t="s">
        <v>176</v>
      </c>
      <c r="T28" s="41" t="s">
        <v>177</v>
      </c>
      <c r="U28" s="41" t="s">
        <v>178</v>
      </c>
      <c r="V28" s="41" t="s">
        <v>179</v>
      </c>
      <c r="W28" s="41" t="s">
        <v>180</v>
      </c>
      <c r="X28" s="41" t="s">
        <v>181</v>
      </c>
      <c r="Y28" s="41" t="s">
        <v>182</v>
      </c>
      <c r="Z28" s="41" t="s">
        <v>183</v>
      </c>
      <c r="AA28" s="41" t="s">
        <v>184</v>
      </c>
      <c r="AK28" s="41" t="s">
        <v>559</v>
      </c>
      <c r="AL28" s="41" t="s">
        <v>560</v>
      </c>
    </row>
    <row r="29" spans="1:38">
      <c r="A29" s="42" t="s">
        <v>561</v>
      </c>
      <c r="B29" s="52">
        <v>4.170000076293945</v>
      </c>
      <c r="C29" s="52">
        <v>5.75</v>
      </c>
      <c r="D29" s="52">
        <v>3.569999933242798</v>
      </c>
      <c r="E29" s="52">
        <v>4.699999809265137</v>
      </c>
      <c r="F29" s="52">
        <v>4.110000133514404</v>
      </c>
      <c r="G29" s="52">
        <v>4.679999828338623</v>
      </c>
      <c r="H29" s="52">
        <v>4.659999847412109</v>
      </c>
      <c r="I29" s="52">
        <v>3.819999933242798</v>
      </c>
      <c r="J29" s="52">
        <v>4.829999923706055</v>
      </c>
      <c r="K29" s="52">
        <v>3.259999990463257</v>
      </c>
      <c r="L29" s="52">
        <v>6.210000038146973</v>
      </c>
      <c r="M29" s="52">
        <v>9.189999580383301</v>
      </c>
      <c r="N29" s="52">
        <v>10.97999954223633</v>
      </c>
      <c r="O29" s="52">
        <v>14.89000034332275</v>
      </c>
      <c r="P29" s="52">
        <v>12.25</v>
      </c>
      <c r="Q29" s="52">
        <v>17.19000053405762</v>
      </c>
      <c r="R29" s="52">
        <v>19.79999923706055</v>
      </c>
      <c r="S29" s="52">
        <v>20.1200008392334</v>
      </c>
      <c r="T29" s="52">
        <v>21.20999908447266</v>
      </c>
      <c r="U29" s="52">
        <v>42.5099983215332</v>
      </c>
      <c r="V29" s="52">
        <v>35.04000091552734</v>
      </c>
      <c r="W29" s="52">
        <v>31.45000076293945</v>
      </c>
      <c r="X29" s="52">
        <v>24.29000091552734</v>
      </c>
      <c r="Y29" s="52">
        <v>36.15999984741211</v>
      </c>
      <c r="Z29" s="52">
        <v>46.22000122070312</v>
      </c>
      <c r="AA29" s="52">
        <v>45.47000122070312</v>
      </c>
    </row>
    <row r="30" spans="1:38">
      <c r="A30" s="42" t="s">
        <v>547</v>
      </c>
      <c r="B30" s="45">
        <f>B29*$B$5</f>
        <v/>
      </c>
      <c r="C30" s="45">
        <f>C29*$B$5</f>
        <v/>
      </c>
      <c r="D30" s="45">
        <f>D29*$B$5</f>
        <v/>
      </c>
      <c r="E30" s="45">
        <f>E29*$B$5</f>
        <v/>
      </c>
      <c r="F30" s="45">
        <f>F29*$B$5</f>
        <v/>
      </c>
      <c r="G30" s="45">
        <f>G29*$B$5</f>
        <v/>
      </c>
      <c r="H30" s="45">
        <f>H29*$B$5</f>
        <v/>
      </c>
      <c r="I30" s="45">
        <f>I29*$B$5</f>
        <v/>
      </c>
      <c r="J30" s="45">
        <f>J29*$B$5</f>
        <v/>
      </c>
      <c r="K30" s="45">
        <f>K29*$B$5</f>
        <v/>
      </c>
      <c r="L30" s="45">
        <f>L29*$B$5</f>
        <v/>
      </c>
      <c r="M30" s="45">
        <f>M29*$B$5</f>
        <v/>
      </c>
      <c r="N30" s="45">
        <f>N29*$B$5</f>
        <v/>
      </c>
      <c r="O30" s="45">
        <f>O29*$B$5</f>
        <v/>
      </c>
      <c r="P30" s="45">
        <f>P29*$B$5</f>
        <v/>
      </c>
      <c r="Q30" s="45">
        <f>Q29*$B$5</f>
        <v/>
      </c>
      <c r="R30" s="45">
        <f>R29*$B$5</f>
        <v/>
      </c>
      <c r="S30" s="45">
        <f>S29*$B$5</f>
        <v/>
      </c>
      <c r="T30" s="45">
        <f>T29*$B$5</f>
        <v/>
      </c>
      <c r="U30" s="45">
        <f>U29*$B$5</f>
        <v/>
      </c>
      <c r="V30" s="45">
        <f>V29*$B$5</f>
        <v/>
      </c>
      <c r="W30" s="45">
        <f>W29*$B$5</f>
        <v/>
      </c>
      <c r="X30" s="45">
        <f>X29*$B$5</f>
        <v/>
      </c>
      <c r="Y30" s="45">
        <f>Y29*$B$5</f>
        <v/>
      </c>
      <c r="Z30" s="45">
        <f>Z29*$B$5</f>
        <v/>
      </c>
      <c r="AA30" s="45">
        <f>AA29*$B$5</f>
        <v/>
      </c>
    </row>
    <row r="31" spans="1:38">
      <c r="A31" s="42" t="s">
        <v>549</v>
      </c>
      <c r="B31" s="45">
        <f>IF(COUNT('Análisis'!B17)=0,"",B30+'Análisis'!B17)</f>
        <v/>
      </c>
      <c r="C31" s="45">
        <f>IF(COUNT('Análisis'!C17)=0,"",C30+'Análisis'!C17)</f>
        <v/>
      </c>
      <c r="D31" s="45">
        <f>IF(COUNT('Análisis'!D17)=0,"",D30+'Análisis'!D17)</f>
        <v/>
      </c>
      <c r="E31" s="45">
        <f>IF(COUNT('Análisis'!E17)=0,"",E30+'Análisis'!E17)</f>
        <v/>
      </c>
      <c r="F31" s="45">
        <f>IF(COUNT('Análisis'!F17)=0,"",F30+'Análisis'!F17)</f>
        <v/>
      </c>
      <c r="G31" s="45">
        <f>IF(COUNT('Análisis'!G17)=0,"",G30+'Análisis'!G17)</f>
        <v/>
      </c>
      <c r="H31" s="45">
        <f>IF(COUNT('Análisis'!H17)=0,"",H30+'Análisis'!H17)</f>
        <v/>
      </c>
      <c r="I31" s="45">
        <f>IF(COUNT('Análisis'!I17)=0,"",I30+'Análisis'!I17)</f>
        <v/>
      </c>
      <c r="J31" s="45">
        <f>IF(COUNT('Análisis'!J17)=0,"",J30+'Análisis'!J17)</f>
        <v/>
      </c>
      <c r="K31" s="45">
        <f>IF(COUNT('Análisis'!K17)=0,"",K30+'Análisis'!K17)</f>
        <v/>
      </c>
      <c r="L31" s="45">
        <f>IF(COUNT('Análisis'!L17)=0,"",L30+'Análisis'!L17)</f>
        <v/>
      </c>
      <c r="M31" s="45">
        <f>IF(COUNT('Análisis'!M17)=0,"",M30+'Análisis'!M17)</f>
        <v/>
      </c>
      <c r="N31" s="45">
        <f>IF(COUNT('Análisis'!N17)=0,"",N30+'Análisis'!N17)</f>
        <v/>
      </c>
      <c r="O31" s="45">
        <f>IF(COUNT('Análisis'!O17)=0,"",O30+'Análisis'!O17)</f>
        <v/>
      </c>
      <c r="P31" s="45">
        <f>IF(COUNT('Análisis'!P17)=0,"",P30+'Análisis'!P17)</f>
        <v/>
      </c>
      <c r="Q31" s="45">
        <f>IF(COUNT('Análisis'!Q17)=0,"",Q30+'Análisis'!Q17)</f>
        <v/>
      </c>
      <c r="R31" s="45">
        <f>IF(COUNT('Análisis'!R17)=0,"",R30+'Análisis'!R17)</f>
        <v/>
      </c>
      <c r="S31" s="45">
        <f>IF(COUNT('Análisis'!S17)=0,"",S30+'Análisis'!S17)</f>
        <v/>
      </c>
      <c r="T31" s="45">
        <f>IF(COUNT('Análisis'!T17)=0,"",T30+'Análisis'!T17)</f>
        <v/>
      </c>
      <c r="U31" s="45">
        <f>IF(COUNT('Análisis'!U17)=0,"",U30+'Análisis'!U17)</f>
        <v/>
      </c>
      <c r="V31" s="45">
        <f>IF(COUNT('Análisis'!V17)=0,"",V30+'Análisis'!V17)</f>
        <v/>
      </c>
      <c r="W31" s="45">
        <f>IF(COUNT('Análisis'!W17)=0,"",W30+'Análisis'!W17)</f>
        <v/>
      </c>
      <c r="X31" s="45">
        <f>IF(COUNT('Análisis'!X17)=0,"",X30+'Análisis'!X17)</f>
        <v/>
      </c>
      <c r="Y31" s="45">
        <f>IF(COUNT('Análisis'!Y17)=0,"",Y30+'Análisis'!Y17)</f>
        <v/>
      </c>
      <c r="Z31" s="45">
        <f>IF(COUNT('Análisis'!Z17)=0,"",Z30+'Análisis'!Z17)</f>
        <v/>
      </c>
      <c r="AA31" s="45">
        <f>IF(COUNT('Análisis'!AA17)=0,"",AA30+'Análisis'!AA17)</f>
        <v/>
      </c>
    </row>
    <row r="32" spans="1:38">
      <c r="A32" s="42" t="s">
        <v>550</v>
      </c>
      <c r="B32" s="50">
        <f>IFERROR(B31/'Análisis'!B22,"")</f>
        <v/>
      </c>
      <c r="C32" s="50">
        <f>IFERROR(C31/'Análisis'!C22,"")</f>
        <v/>
      </c>
      <c r="D32" s="50">
        <f>IFERROR(D31/'Análisis'!D22,"")</f>
        <v/>
      </c>
      <c r="E32" s="50">
        <f>IFERROR(E31/'Análisis'!E22,"")</f>
        <v/>
      </c>
      <c r="F32" s="50">
        <f>IFERROR(F31/'Análisis'!F22,"")</f>
        <v/>
      </c>
      <c r="G32" s="50">
        <f>IFERROR(G31/'Análisis'!G22,"")</f>
        <v/>
      </c>
      <c r="H32" s="50">
        <f>IFERROR(H31/'Análisis'!H22,"")</f>
        <v/>
      </c>
      <c r="I32" s="50">
        <f>IFERROR(I31/'Análisis'!I22,"")</f>
        <v/>
      </c>
      <c r="J32" s="50">
        <f>IFERROR(J31/'Análisis'!J22,"")</f>
        <v/>
      </c>
      <c r="K32" s="50">
        <f>IFERROR(K31/'Análisis'!K22,"")</f>
        <v/>
      </c>
      <c r="L32" s="50">
        <f>IFERROR(L31/'Análisis'!L22,"")</f>
        <v/>
      </c>
      <c r="M32" s="50">
        <f>IFERROR(M31/'Análisis'!M22,"")</f>
        <v/>
      </c>
      <c r="N32" s="50">
        <f>IFERROR(N31/'Análisis'!N22,"")</f>
        <v/>
      </c>
      <c r="O32" s="50">
        <f>IFERROR(O31/'Análisis'!O22,"")</f>
        <v/>
      </c>
      <c r="P32" s="50">
        <f>IFERROR(P31/'Análisis'!P22,"")</f>
        <v/>
      </c>
      <c r="Q32" s="50">
        <f>IFERROR(Q31/'Análisis'!Q22,"")</f>
        <v/>
      </c>
      <c r="R32" s="50">
        <f>IFERROR(R31/'Análisis'!R22,"")</f>
        <v/>
      </c>
      <c r="S32" s="50">
        <f>IFERROR(S31/'Análisis'!S22,"")</f>
        <v/>
      </c>
      <c r="T32" s="50">
        <f>IFERROR(T31/'Análisis'!T22,"")</f>
        <v/>
      </c>
      <c r="U32" s="50">
        <f>IFERROR(U31/'Análisis'!U22,"")</f>
        <v/>
      </c>
      <c r="V32" s="50">
        <f>IFERROR(V31/'Análisis'!V22,"")</f>
        <v/>
      </c>
      <c r="W32" s="50">
        <f>IFERROR(W31/'Análisis'!W22,"")</f>
        <v/>
      </c>
      <c r="X32" s="50">
        <f>IFERROR(X31/'Análisis'!X22,"")</f>
        <v/>
      </c>
      <c r="Y32" s="50">
        <f>IFERROR(Y31/'Análisis'!Y22,"")</f>
        <v/>
      </c>
      <c r="Z32" s="50">
        <f>IFERROR(Z31/'Análisis'!Z22,"")</f>
        <v/>
      </c>
      <c r="AA32" s="50">
        <f>IFERROR(AA31/'Análisis'!AA22,"")</f>
        <v/>
      </c>
      <c r="AK32" s="50">
        <f>IFERROR(AVERAGE(B32:AA32),"")</f>
        <v/>
      </c>
      <c r="AL32" s="50">
        <f>IFERROR(MEDIAN(B32:AA32),"")</f>
        <v/>
      </c>
    </row>
    <row r="33" spans="1:38">
      <c r="A33" s="42" t="s">
        <v>554</v>
      </c>
      <c r="B33" s="50">
        <f>IFERROR(B30/'Balance'!B35,"")</f>
        <v/>
      </c>
      <c r="C33" s="50">
        <f>IFERROR(C30/'Balance'!C35,"")</f>
        <v/>
      </c>
      <c r="D33" s="50">
        <f>IFERROR(D30/'Balance'!D35,"")</f>
        <v/>
      </c>
      <c r="E33" s="50">
        <f>IFERROR(E30/'Balance'!E35,"")</f>
        <v/>
      </c>
      <c r="F33" s="50">
        <f>IFERROR(F30/'Balance'!F35,"")</f>
        <v/>
      </c>
      <c r="G33" s="50">
        <f>IFERROR(G30/'Balance'!G35,"")</f>
        <v/>
      </c>
      <c r="H33" s="50">
        <f>IFERROR(H30/'Balance'!H35,"")</f>
        <v/>
      </c>
      <c r="I33" s="50">
        <f>IFERROR(I30/'Balance'!I35,"")</f>
        <v/>
      </c>
      <c r="J33" s="50">
        <f>IFERROR(J30/'Balance'!J35,"")</f>
        <v/>
      </c>
      <c r="K33" s="50">
        <f>IFERROR(K30/'Balance'!K35,"")</f>
        <v/>
      </c>
      <c r="L33" s="50">
        <f>IFERROR(L30/'Balance'!L35,"")</f>
        <v/>
      </c>
      <c r="M33" s="50">
        <f>IFERROR(M30/'Balance'!M35,"")</f>
        <v/>
      </c>
      <c r="N33" s="50">
        <f>IFERROR(N30/'Balance'!N35,"")</f>
        <v/>
      </c>
      <c r="O33" s="50">
        <f>IFERROR(O30/'Balance'!O35,"")</f>
        <v/>
      </c>
      <c r="P33" s="50">
        <f>IFERROR(P30/'Balance'!P35,"")</f>
        <v/>
      </c>
      <c r="Q33" s="50">
        <f>IFERROR(Q30/'Balance'!Q35,"")</f>
        <v/>
      </c>
      <c r="R33" s="50">
        <f>IFERROR(R30/'Balance'!R35,"")</f>
        <v/>
      </c>
      <c r="S33" s="50">
        <f>IFERROR(S30/'Balance'!S35,"")</f>
        <v/>
      </c>
      <c r="T33" s="50">
        <f>IFERROR(T30/'Balance'!T35,"")</f>
        <v/>
      </c>
      <c r="U33" s="50">
        <f>IFERROR(U30/'Balance'!U35,"")</f>
        <v/>
      </c>
      <c r="V33" s="50">
        <f>IFERROR(V30/'Balance'!V35,"")</f>
        <v/>
      </c>
      <c r="W33" s="50">
        <f>IFERROR(W30/'Balance'!W35,"")</f>
        <v/>
      </c>
      <c r="X33" s="50">
        <f>IFERROR(X30/'Balance'!X35,"")</f>
        <v/>
      </c>
      <c r="Y33" s="50">
        <f>IFERROR(Y30/'Balance'!Y35,"")</f>
        <v/>
      </c>
      <c r="Z33" s="50">
        <f>IFERROR(Z30/'Balance'!Z35,"")</f>
        <v/>
      </c>
      <c r="AA33" s="50">
        <f>IFERROR(AA30/'Balance'!AA35,"")</f>
        <v/>
      </c>
      <c r="AK33" s="50">
        <f>IFERROR(AVERAGE(B33:AA33),"")</f>
        <v/>
      </c>
      <c r="AL33" s="50">
        <f>IFERROR(MEDIAN(B33:AA33),"")</f>
        <v/>
      </c>
    </row>
    <row r="35" spans="1:38">
      <c r="A35" s="5" t="s">
        <v>562</v>
      </c>
    </row>
    <row r="36" spans="1:38">
      <c r="A36" s="42" t="s">
        <v>563</v>
      </c>
      <c r="B36" s="49">
        <f>$B$7+$B$8+$B$9*$B$10</f>
        <v/>
      </c>
      <c r="D36" s="6" t="s">
        <v>564</v>
      </c>
    </row>
    <row r="37" spans="1:38">
      <c r="A37" s="42" t="s">
        <v>565</v>
      </c>
      <c r="B37" s="49">
        <f>IFERROR(-'Análisis'!AA30/'Análisis'!AA16,"")</f>
        <v/>
      </c>
      <c r="D37" s="6" t="s">
        <v>566</v>
      </c>
    </row>
    <row r="38" spans="1:38">
      <c r="A38" s="42" t="s">
        <v>567</v>
      </c>
      <c r="B38" s="49">
        <f>$B$37*(1-$B$11)</f>
        <v/>
      </c>
    </row>
    <row r="39" spans="1:38">
      <c r="A39" s="42" t="s">
        <v>568</v>
      </c>
      <c r="B39" s="49">
        <f>IFERROR('Análisis'!AA17/('Análisis'!AA17+$B$17),"")</f>
        <v/>
      </c>
      <c r="D39" s="6" t="s">
        <v>569</v>
      </c>
    </row>
    <row r="40" spans="1:38">
      <c r="A40" s="42" t="s">
        <v>570</v>
      </c>
      <c r="B40" s="49">
        <f>$B$36*(1-$B$39)+$B$38*$B$39</f>
        <v/>
      </c>
    </row>
    <row r="42" spans="1:38">
      <c r="A42" s="5" t="s">
        <v>571</v>
      </c>
    </row>
    <row r="43" spans="1:38">
      <c r="A43" s="42" t="s">
        <v>572</v>
      </c>
      <c r="B43" s="45">
        <f>'Análisis'!AA24+(-'Análisis'!AA30)*(1-$B$11)+'Análisis'!AA29</f>
        <v/>
      </c>
      <c r="D43" s="6" t="s">
        <v>573</v>
      </c>
    </row>
    <row r="44" spans="1:38">
      <c r="A44" s="40"/>
      <c r="B44" s="41" t="s">
        <v>574</v>
      </c>
      <c r="C44" s="41" t="s">
        <v>575</v>
      </c>
      <c r="D44" s="41" t="s">
        <v>576</v>
      </c>
      <c r="E44" s="41" t="s">
        <v>577</v>
      </c>
      <c r="F44" s="41" t="s">
        <v>578</v>
      </c>
      <c r="G44" s="41" t="s">
        <v>579</v>
      </c>
    </row>
    <row r="45" spans="1:38">
      <c r="A45" s="42" t="s">
        <v>580</v>
      </c>
      <c r="B45" s="45">
        <f>$B$43*(1+$B$12)</f>
        <v/>
      </c>
      <c r="C45" s="45">
        <f>B45*(1+$B$12)</f>
        <v/>
      </c>
      <c r="D45" s="45">
        <f>C45*(1+$B$12)</f>
        <v/>
      </c>
      <c r="E45" s="45">
        <f>D45*(1+$B$12)</f>
        <v/>
      </c>
      <c r="F45" s="45">
        <f>E45*(1+$B$12)</f>
        <v/>
      </c>
      <c r="G45" s="45">
        <f>IFERROR(F45*(1+$B$13)/($B$40-$B$13),"")</f>
        <v/>
      </c>
    </row>
    <row r="46" spans="1:38">
      <c r="A46" s="42" t="s">
        <v>581</v>
      </c>
      <c r="B46" s="45">
        <f>IFERROR(B45/(1+$B$40)^1,"")</f>
        <v/>
      </c>
      <c r="C46" s="45">
        <f>IFERROR(C45/(1+$B$40)^2,"")</f>
        <v/>
      </c>
      <c r="D46" s="45">
        <f>IFERROR(D45/(1+$B$40)^3,"")</f>
        <v/>
      </c>
      <c r="E46" s="45">
        <f>IFERROR(E45/(1+$B$40)^4,"")</f>
        <v/>
      </c>
      <c r="F46" s="45">
        <f>IFERROR(F45/(1+$B$40)^5,"")</f>
        <v/>
      </c>
      <c r="G46" s="45">
        <f>IFERROR(G45/(1+$B$40)^5,"")</f>
        <v/>
      </c>
    </row>
    <row r="47" spans="1:38">
      <c r="A47" s="42" t="s">
        <v>582</v>
      </c>
      <c r="B47" s="45">
        <f>SUM(B46:G46)</f>
        <v/>
      </c>
    </row>
    <row r="48" spans="1:38">
      <c r="A48" s="42" t="s">
        <v>583</v>
      </c>
      <c r="B48" s="49">
        <f>IFERROR(G46/$B$47,"")</f>
        <v/>
      </c>
      <c r="D48" s="6" t="s">
        <v>584</v>
      </c>
    </row>
    <row r="49" spans="1:6">
      <c r="A49" s="42" t="s">
        <v>585</v>
      </c>
      <c r="B49" s="45">
        <f>$B$47-$B$18</f>
        <v/>
      </c>
    </row>
    <row r="50" spans="1:6">
      <c r="A50" s="42" t="s">
        <v>586</v>
      </c>
      <c r="B50" s="52">
        <f>IFERROR($B$49/$B$5,"")</f>
        <v/>
      </c>
    </row>
    <row r="52" spans="1:6">
      <c r="A52" s="5" t="s">
        <v>587</v>
      </c>
    </row>
    <row r="53" spans="1:6">
      <c r="A53" s="40" t="s">
        <v>588</v>
      </c>
      <c r="B53" s="49">
        <f>$B$13+-0.01</f>
        <v/>
      </c>
      <c r="C53" s="49">
        <f>$B$13+-0.005</f>
        <v/>
      </c>
      <c r="D53" s="49">
        <f>$B$13+0.0</f>
        <v/>
      </c>
      <c r="E53" s="49">
        <f>$B$13+0.005</f>
        <v/>
      </c>
      <c r="F53" s="49">
        <f>$B$13+0.01</f>
        <v/>
      </c>
    </row>
    <row r="54" spans="1:6">
      <c r="A54" s="49">
        <f>$B$40+-0.02</f>
        <v/>
      </c>
      <c r="B54" s="52">
        <f>IFERROR(((B45/(1+($B$40+-0.02))^1+C45/(1+($B$40+-0.02))^2+D45/(1+($B$40+-0.02))^3+E45/(1+($B$40+-0.02))^4+F45/(1+($B$40+-0.02))^5+F45*(1+($B$13+-0.01))/(($B$40+-0.02)-($B$13+-0.01))/(1+($B$40+-0.02))^5)-$B$18)/$B$5,"")</f>
        <v/>
      </c>
      <c r="C54" s="52">
        <f>IFERROR(((B45/(1+($B$40+-0.02))^1+C45/(1+($B$40+-0.02))^2+D45/(1+($B$40+-0.02))^3+E45/(1+($B$40+-0.02))^4+F45/(1+($B$40+-0.02))^5+F45*(1+($B$13+-0.005))/(($B$40+-0.02)-($B$13+-0.005))/(1+($B$40+-0.02))^5)-$B$18)/$B$5,"")</f>
        <v/>
      </c>
      <c r="D54" s="52">
        <f>IFERROR(((B45/(1+($B$40+-0.02))^1+C45/(1+($B$40+-0.02))^2+D45/(1+($B$40+-0.02))^3+E45/(1+($B$40+-0.02))^4+F45/(1+($B$40+-0.02))^5+F45*(1+($B$13+0.0))/(($B$40+-0.02)-($B$13+0.0))/(1+($B$40+-0.02))^5)-$B$18)/$B$5,"")</f>
        <v/>
      </c>
      <c r="E54" s="52">
        <f>IFERROR(((B45/(1+($B$40+-0.02))^1+C45/(1+($B$40+-0.02))^2+D45/(1+($B$40+-0.02))^3+E45/(1+($B$40+-0.02))^4+F45/(1+($B$40+-0.02))^5+F45*(1+($B$13+0.005))/(($B$40+-0.02)-($B$13+0.005))/(1+($B$40+-0.02))^5)-$B$18)/$B$5,"")</f>
        <v/>
      </c>
      <c r="F54" s="52">
        <f>IFERROR(((B45/(1+($B$40+-0.02))^1+C45/(1+($B$40+-0.02))^2+D45/(1+($B$40+-0.02))^3+E45/(1+($B$40+-0.02))^4+F45/(1+($B$40+-0.02))^5+F45*(1+($B$13+0.01))/(($B$40+-0.02)-($B$13+0.01))/(1+($B$40+-0.02))^5)-$B$18)/$B$5,"")</f>
        <v/>
      </c>
    </row>
    <row r="55" spans="1:6">
      <c r="A55" s="49">
        <f>$B$40+-0.01</f>
        <v/>
      </c>
      <c r="B55" s="52">
        <f>IFERROR(((B45/(1+($B$40+-0.01))^1+C45/(1+($B$40+-0.01))^2+D45/(1+($B$40+-0.01))^3+E45/(1+($B$40+-0.01))^4+F45/(1+($B$40+-0.01))^5+F45*(1+($B$13+-0.01))/(($B$40+-0.01)-($B$13+-0.01))/(1+($B$40+-0.01))^5)-$B$18)/$B$5,"")</f>
        <v/>
      </c>
      <c r="C55" s="52">
        <f>IFERROR(((B45/(1+($B$40+-0.01))^1+C45/(1+($B$40+-0.01))^2+D45/(1+($B$40+-0.01))^3+E45/(1+($B$40+-0.01))^4+F45/(1+($B$40+-0.01))^5+F45*(1+($B$13+-0.005))/(($B$40+-0.01)-($B$13+-0.005))/(1+($B$40+-0.01))^5)-$B$18)/$B$5,"")</f>
        <v/>
      </c>
      <c r="D55" s="52">
        <f>IFERROR(((B45/(1+($B$40+-0.01))^1+C45/(1+($B$40+-0.01))^2+D45/(1+($B$40+-0.01))^3+E45/(1+($B$40+-0.01))^4+F45/(1+($B$40+-0.01))^5+F45*(1+($B$13+0.0))/(($B$40+-0.01)-($B$13+0.0))/(1+($B$40+-0.01))^5)-$B$18)/$B$5,"")</f>
        <v/>
      </c>
      <c r="E55" s="52">
        <f>IFERROR(((B45/(1+($B$40+-0.01))^1+C45/(1+($B$40+-0.01))^2+D45/(1+($B$40+-0.01))^3+E45/(1+($B$40+-0.01))^4+F45/(1+($B$40+-0.01))^5+F45*(1+($B$13+0.005))/(($B$40+-0.01)-($B$13+0.005))/(1+($B$40+-0.01))^5)-$B$18)/$B$5,"")</f>
        <v/>
      </c>
      <c r="F55" s="52">
        <f>IFERROR(((B45/(1+($B$40+-0.01))^1+C45/(1+($B$40+-0.01))^2+D45/(1+($B$40+-0.01))^3+E45/(1+($B$40+-0.01))^4+F45/(1+($B$40+-0.01))^5+F45*(1+($B$13+0.01))/(($B$40+-0.01)-($B$13+0.01))/(1+($B$40+-0.01))^5)-$B$18)/$B$5,"")</f>
        <v/>
      </c>
    </row>
    <row r="56" spans="1:6">
      <c r="A56" s="49">
        <f>$B$40+0.0</f>
        <v/>
      </c>
      <c r="B56" s="52">
        <f>IFERROR(((B45/(1+($B$40+0.0))^1+C45/(1+($B$40+0.0))^2+D45/(1+($B$40+0.0))^3+E45/(1+($B$40+0.0))^4+F45/(1+($B$40+0.0))^5+F45*(1+($B$13+-0.01))/(($B$40+0.0)-($B$13+-0.01))/(1+($B$40+0.0))^5)-$B$18)/$B$5,"")</f>
        <v/>
      </c>
      <c r="C56" s="52">
        <f>IFERROR(((B45/(1+($B$40+0.0))^1+C45/(1+($B$40+0.0))^2+D45/(1+($B$40+0.0))^3+E45/(1+($B$40+0.0))^4+F45/(1+($B$40+0.0))^5+F45*(1+($B$13+-0.005))/(($B$40+0.0)-($B$13+-0.005))/(1+($B$40+0.0))^5)-$B$18)/$B$5,"")</f>
        <v/>
      </c>
      <c r="D56" s="52">
        <f>IFERROR(((B45/(1+($B$40+0.0))^1+C45/(1+($B$40+0.0))^2+D45/(1+($B$40+0.0))^3+E45/(1+($B$40+0.0))^4+F45/(1+($B$40+0.0))^5+F45*(1+($B$13+0.0))/(($B$40+0.0)-($B$13+0.0))/(1+($B$40+0.0))^5)-$B$18)/$B$5,"")</f>
        <v/>
      </c>
      <c r="E56" s="52">
        <f>IFERROR(((B45/(1+($B$40+0.0))^1+C45/(1+($B$40+0.0))^2+D45/(1+($B$40+0.0))^3+E45/(1+($B$40+0.0))^4+F45/(1+($B$40+0.0))^5+F45*(1+($B$13+0.005))/(($B$40+0.0)-($B$13+0.005))/(1+($B$40+0.0))^5)-$B$18)/$B$5,"")</f>
        <v/>
      </c>
      <c r="F56" s="52">
        <f>IFERROR(((B45/(1+($B$40+0.0))^1+C45/(1+($B$40+0.0))^2+D45/(1+($B$40+0.0))^3+E45/(1+($B$40+0.0))^4+F45/(1+($B$40+0.0))^5+F45*(1+($B$13+0.01))/(($B$40+0.0)-($B$13+0.01))/(1+($B$40+0.0))^5)-$B$18)/$B$5,"")</f>
        <v/>
      </c>
    </row>
    <row r="57" spans="1:6">
      <c r="A57" s="49">
        <f>$B$40+0.01</f>
        <v/>
      </c>
      <c r="B57" s="52">
        <f>IFERROR(((B45/(1+($B$40+0.01))^1+C45/(1+($B$40+0.01))^2+D45/(1+($B$40+0.01))^3+E45/(1+($B$40+0.01))^4+F45/(1+($B$40+0.01))^5+F45*(1+($B$13+-0.01))/(($B$40+0.01)-($B$13+-0.01))/(1+($B$40+0.01))^5)-$B$18)/$B$5,"")</f>
        <v/>
      </c>
      <c r="C57" s="52">
        <f>IFERROR(((B45/(1+($B$40+0.01))^1+C45/(1+($B$40+0.01))^2+D45/(1+($B$40+0.01))^3+E45/(1+($B$40+0.01))^4+F45/(1+($B$40+0.01))^5+F45*(1+($B$13+-0.005))/(($B$40+0.01)-($B$13+-0.005))/(1+($B$40+0.01))^5)-$B$18)/$B$5,"")</f>
        <v/>
      </c>
      <c r="D57" s="52">
        <f>IFERROR(((B45/(1+($B$40+0.01))^1+C45/(1+($B$40+0.01))^2+D45/(1+($B$40+0.01))^3+E45/(1+($B$40+0.01))^4+F45/(1+($B$40+0.01))^5+F45*(1+($B$13+0.0))/(($B$40+0.01)-($B$13+0.0))/(1+($B$40+0.01))^5)-$B$18)/$B$5,"")</f>
        <v/>
      </c>
      <c r="E57" s="52">
        <f>IFERROR(((B45/(1+($B$40+0.01))^1+C45/(1+($B$40+0.01))^2+D45/(1+($B$40+0.01))^3+E45/(1+($B$40+0.01))^4+F45/(1+($B$40+0.01))^5+F45*(1+($B$13+0.005))/(($B$40+0.01)-($B$13+0.005))/(1+($B$40+0.01))^5)-$B$18)/$B$5,"")</f>
        <v/>
      </c>
      <c r="F57" s="52">
        <f>IFERROR(((B45/(1+($B$40+0.01))^1+C45/(1+($B$40+0.01))^2+D45/(1+($B$40+0.01))^3+E45/(1+($B$40+0.01))^4+F45/(1+($B$40+0.01))^5+F45*(1+($B$13+0.01))/(($B$40+0.01)-($B$13+0.01))/(1+($B$40+0.01))^5)-$B$18)/$B$5,"")</f>
        <v/>
      </c>
    </row>
    <row r="58" spans="1:6">
      <c r="A58" s="49">
        <f>$B$40+0.02</f>
        <v/>
      </c>
      <c r="B58" s="52">
        <f>IFERROR(((B45/(1+($B$40+0.02))^1+C45/(1+($B$40+0.02))^2+D45/(1+($B$40+0.02))^3+E45/(1+($B$40+0.02))^4+F45/(1+($B$40+0.02))^5+F45*(1+($B$13+-0.01))/(($B$40+0.02)-($B$13+-0.01))/(1+($B$40+0.02))^5)-$B$18)/$B$5,"")</f>
        <v/>
      </c>
      <c r="C58" s="52">
        <f>IFERROR(((B45/(1+($B$40+0.02))^1+C45/(1+($B$40+0.02))^2+D45/(1+($B$40+0.02))^3+E45/(1+($B$40+0.02))^4+F45/(1+($B$40+0.02))^5+F45*(1+($B$13+-0.005))/(($B$40+0.02)-($B$13+-0.005))/(1+($B$40+0.02))^5)-$B$18)/$B$5,"")</f>
        <v/>
      </c>
      <c r="D58" s="52">
        <f>IFERROR(((B45/(1+($B$40+0.02))^1+C45/(1+($B$40+0.02))^2+D45/(1+($B$40+0.02))^3+E45/(1+($B$40+0.02))^4+F45/(1+($B$40+0.02))^5+F45*(1+($B$13+0.0))/(($B$40+0.02)-($B$13+0.0))/(1+($B$40+0.02))^5)-$B$18)/$B$5,"")</f>
        <v/>
      </c>
      <c r="E58" s="52">
        <f>IFERROR(((B45/(1+($B$40+0.02))^1+C45/(1+($B$40+0.02))^2+D45/(1+($B$40+0.02))^3+E45/(1+($B$40+0.02))^4+F45/(1+($B$40+0.02))^5+F45*(1+($B$13+0.005))/(($B$40+0.02)-($B$13+0.005))/(1+($B$40+0.02))^5)-$B$18)/$B$5,"")</f>
        <v/>
      </c>
      <c r="F58" s="52">
        <f>IFERROR(((B45/(1+($B$40+0.02))^1+C45/(1+($B$40+0.02))^2+D45/(1+($B$40+0.02))^3+E45/(1+($B$40+0.02))^4+F45/(1+($B$40+0.02))^5+F45*(1+($B$13+0.01))/(($B$40+0.02)-($B$13+0.01))/(1+($B$40+0.02))^5)-$B$18)/$B$5,"")</f>
        <v/>
      </c>
    </row>
    <row r="60" spans="1:6">
      <c r="A60" s="5" t="s">
        <v>589</v>
      </c>
    </row>
    <row r="61" spans="1:6">
      <c r="A61" s="42" t="s">
        <v>590</v>
      </c>
      <c r="B61" s="45">
        <f>IFERROR($AL$32*'Análisis'!AA22,"")</f>
        <v/>
      </c>
      <c r="D61" s="6" t="s">
        <v>591</v>
      </c>
    </row>
    <row r="62" spans="1:6">
      <c r="A62" s="42" t="s">
        <v>585</v>
      </c>
      <c r="B62" s="45">
        <f>$B$61-$B$18</f>
        <v/>
      </c>
    </row>
    <row r="63" spans="1:6">
      <c r="A63" s="42" t="s">
        <v>586</v>
      </c>
      <c r="B63" s="52">
        <f>IFERROR($B$62/$B$5,"")</f>
        <v/>
      </c>
    </row>
    <row r="65" spans="1:4">
      <c r="A65" s="5" t="s">
        <v>592</v>
      </c>
    </row>
    <row r="66" spans="1:4">
      <c r="A66" s="42" t="s">
        <v>593</v>
      </c>
      <c r="B66" s="45">
        <f>$B$24*1000000*$B$14</f>
        <v/>
      </c>
      <c r="D66" s="6" t="s">
        <v>594</v>
      </c>
    </row>
    <row r="67" spans="1:4">
      <c r="A67" s="42" t="s">
        <v>585</v>
      </c>
      <c r="B67" s="45">
        <f>$B$66-$B$18</f>
        <v/>
      </c>
    </row>
    <row r="68" spans="1:4">
      <c r="A68" s="42" t="s">
        <v>586</v>
      </c>
      <c r="B68" s="52">
        <f>IFERROR($B$67/$B$5,"")</f>
        <v/>
      </c>
    </row>
    <row r="70" spans="1:4">
      <c r="A70" s="5" t="s">
        <v>595</v>
      </c>
    </row>
    <row r="71" spans="1:4">
      <c r="A71" s="42" t="s">
        <v>596</v>
      </c>
      <c r="B71" s="52">
        <f>IFERROR('Balance'!AA35/$B$5,"")</f>
        <v/>
      </c>
      <c r="D71" s="6" t="s">
        <v>597</v>
      </c>
    </row>
    <row r="73" spans="1:4">
      <c r="A73" s="5" t="s">
        <v>58</v>
      </c>
    </row>
    <row r="74" spans="1:4">
      <c r="A74" s="40"/>
      <c r="B74" s="41" t="s">
        <v>586</v>
      </c>
      <c r="C74" s="41" t="s">
        <v>598</v>
      </c>
    </row>
    <row r="75" spans="1:4">
      <c r="A75" s="42" t="s">
        <v>599</v>
      </c>
      <c r="B75" s="52">
        <f>$B$50</f>
        <v/>
      </c>
      <c r="C75" s="49">
        <f>IFERROR($B$50/$B$6-1,"")</f>
        <v/>
      </c>
    </row>
    <row r="76" spans="1:4">
      <c r="A76" s="42" t="s">
        <v>600</v>
      </c>
      <c r="B76" s="52">
        <f>$B$63</f>
        <v/>
      </c>
      <c r="C76" s="49">
        <f>IFERROR($B$63/$B$6-1,"")</f>
        <v/>
      </c>
    </row>
    <row r="77" spans="1:4">
      <c r="A77" s="42" t="s">
        <v>601</v>
      </c>
      <c r="B77" s="52">
        <f>$B$68</f>
        <v/>
      </c>
      <c r="C77" s="49">
        <f>IFERROR($B$68/$B$6-1,"")</f>
        <v/>
      </c>
    </row>
    <row r="78" spans="1:4">
      <c r="A78" s="42" t="s">
        <v>602</v>
      </c>
      <c r="B78" s="52">
        <f>$B$71</f>
        <v/>
      </c>
      <c r="C78" s="49">
        <f>IFERROR($B$71/$B$6-1,"")</f>
        <v/>
      </c>
    </row>
    <row r="79" spans="1:4">
      <c r="A79" s="47" t="s">
        <v>603</v>
      </c>
      <c r="B79" s="52">
        <f>$B$6</f>
        <v/>
      </c>
    </row>
    <row r="81" spans="1:1" ht="60" customHeight="1">
      <c r="A81" s="6" t="s">
        <v>604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F0A830"/>
  </sheetPr>
  <dimension ref="A1:K42"/>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62.7109375" customWidth="1"/>
    <col min="2" max="13" width="19.7109375" customWidth="1"/>
  </cols>
  <sheetData>
    <row r="1" spans="1:11">
      <c r="A1" s="1" t="s">
        <v>68</v>
      </c>
    </row>
    <row r="2" spans="1:11">
      <c r="A2" s="2" t="s">
        <v>605</v>
      </c>
    </row>
    <row r="4" spans="1:11">
      <c r="A4" s="40" t="s">
        <v>158</v>
      </c>
      <c r="B4" s="41" t="s">
        <v>606</v>
      </c>
      <c r="C4" s="41" t="s">
        <v>607</v>
      </c>
      <c r="D4" s="41" t="s">
        <v>608</v>
      </c>
      <c r="E4" s="41" t="s">
        <v>609</v>
      </c>
      <c r="F4" s="41" t="s">
        <v>610</v>
      </c>
      <c r="G4" s="41" t="s">
        <v>611</v>
      </c>
      <c r="H4" s="41" t="s">
        <v>612</v>
      </c>
      <c r="I4" s="41" t="s">
        <v>613</v>
      </c>
    </row>
    <row r="5" spans="1:11">
      <c r="A5" s="5" t="s">
        <v>614</v>
      </c>
    </row>
    <row r="6" spans="1:11">
      <c r="A6" s="42" t="s">
        <v>456</v>
      </c>
      <c r="B6" s="45">
        <f>'Resultados'!AG5</f>
        <v/>
      </c>
      <c r="C6" s="45">
        <f>'Resultados'!AH5</f>
        <v/>
      </c>
      <c r="D6" s="45">
        <f>'Resultados'!AI5</f>
        <v/>
      </c>
      <c r="E6" s="45">
        <f>'Análisis'!AA25</f>
        <v/>
      </c>
      <c r="F6" s="45">
        <v>1732000000</v>
      </c>
      <c r="G6" s="45">
        <v>1876000000</v>
      </c>
      <c r="H6" s="45">
        <v>1168774000</v>
      </c>
      <c r="I6" s="45">
        <v>1647768000</v>
      </c>
    </row>
    <row r="7" spans="1:11">
      <c r="A7" s="42" t="s">
        <v>457</v>
      </c>
      <c r="B7" s="45">
        <f>'Resultados'!AG13+'Flujo de efectivo'!AG7+'Flujo de efectivo'!AG8+'Flujo de efectivo'!AG9</f>
        <v/>
      </c>
      <c r="C7" s="45">
        <f>'Resultados'!AH13+'Flujo de efectivo'!AH7+'Flujo de efectivo'!AH8+'Flujo de efectivo'!AH9</f>
        <v/>
      </c>
      <c r="D7" s="45">
        <f>'Resultados'!AI13+'Flujo de efectivo'!AI7+'Flujo de efectivo'!AI8+'Flujo de efectivo'!AI9</f>
        <v/>
      </c>
      <c r="E7" s="45">
        <f>'Análisis'!AA22</f>
        <v/>
      </c>
      <c r="F7" s="45">
        <v>691000000</v>
      </c>
      <c r="G7" s="45">
        <v>782000000</v>
      </c>
      <c r="H7" s="45">
        <v>907917000</v>
      </c>
      <c r="I7" s="45">
        <v>1063089000</v>
      </c>
      <c r="K7" s="6" t="s">
        <v>615</v>
      </c>
    </row>
    <row r="8" spans="1:11">
      <c r="A8" s="42" t="s">
        <v>469</v>
      </c>
      <c r="B8" s="45">
        <f>'Resultados'!AG13</f>
        <v/>
      </c>
      <c r="C8" s="45">
        <f>'Resultados'!AH13</f>
        <v/>
      </c>
      <c r="D8" s="45">
        <f>'Resultados'!AI13</f>
        <v/>
      </c>
      <c r="E8" s="45">
        <f>'Análisis'!AA26</f>
        <v/>
      </c>
      <c r="F8" s="45">
        <v>424000000</v>
      </c>
      <c r="G8" s="45">
        <v>440000000</v>
      </c>
      <c r="H8" s="45">
        <v>631487000</v>
      </c>
      <c r="I8" s="45">
        <v>625390000</v>
      </c>
    </row>
    <row r="9" spans="1:11">
      <c r="A9" s="42" t="s">
        <v>616</v>
      </c>
      <c r="B9" s="45">
        <f>'Resultados'!AG21</f>
        <v/>
      </c>
      <c r="C9" s="45">
        <f>'Resultados'!AH21</f>
        <v/>
      </c>
      <c r="D9" s="45">
        <f>'Resultados'!AI21</f>
        <v/>
      </c>
      <c r="E9" s="45">
        <f>'Análisis'!AA23</f>
        <v/>
      </c>
      <c r="F9" s="45">
        <v>305000000</v>
      </c>
      <c r="G9" s="45">
        <v>619000000</v>
      </c>
      <c r="H9" s="45">
        <v>396955000</v>
      </c>
      <c r="I9" s="45">
        <v>477521000</v>
      </c>
    </row>
    <row r="10" spans="1:11">
      <c r="A10" s="42" t="s">
        <v>458</v>
      </c>
      <c r="B10" s="45">
        <f>'Flujo de efectivo'!AG33</f>
        <v/>
      </c>
      <c r="C10" s="45">
        <f>'Flujo de efectivo'!AH33</f>
        <v/>
      </c>
      <c r="D10" s="45">
        <f>'Flujo de efectivo'!AI33</f>
        <v/>
      </c>
      <c r="E10" s="45">
        <f>'Análisis'!AA24</f>
        <v/>
      </c>
      <c r="F10" s="45">
        <v>575000000</v>
      </c>
      <c r="G10" s="45">
        <v>435000000</v>
      </c>
      <c r="H10" s="45">
        <v>712033000</v>
      </c>
      <c r="I10" s="45">
        <v>959026000</v>
      </c>
    </row>
    <row r="11" spans="1:11">
      <c r="A11" s="42" t="s">
        <v>617</v>
      </c>
      <c r="B11" s="45">
        <f>-'Flujo de efectivo'!AG34</f>
        <v/>
      </c>
      <c r="C11" s="45">
        <f>-'Flujo de efectivo'!AH34</f>
        <v/>
      </c>
      <c r="D11" s="45">
        <f>-'Flujo de efectivo'!AI34</f>
        <v/>
      </c>
      <c r="E11" s="45">
        <f>-'Análisis'!AA29</f>
        <v/>
      </c>
      <c r="F11" s="45">
        <v>758000000</v>
      </c>
      <c r="G11" s="45">
        <v>447000000</v>
      </c>
      <c r="H11" s="45">
        <v>688437000</v>
      </c>
      <c r="I11" s="45">
        <v>1052530000</v>
      </c>
      <c r="K11" s="6" t="s">
        <v>618</v>
      </c>
    </row>
    <row r="13" spans="1:11">
      <c r="A13" s="5" t="s">
        <v>23</v>
      </c>
    </row>
    <row r="14" spans="1:11">
      <c r="A14" s="42" t="s">
        <v>494</v>
      </c>
      <c r="B14" s="45">
        <f>'Balance'!AG21</f>
        <v/>
      </c>
      <c r="C14" s="45">
        <f>'Balance'!AH21</f>
        <v/>
      </c>
      <c r="D14" s="45">
        <f>'Balance'!AI21</f>
        <v/>
      </c>
      <c r="E14" s="45">
        <f>'Balance'!AA21</f>
        <v/>
      </c>
      <c r="F14" s="45">
        <v>4722000000</v>
      </c>
      <c r="G14" s="45">
        <v>6345000000</v>
      </c>
      <c r="H14" s="45">
        <v>2598003000</v>
      </c>
      <c r="I14" s="45">
        <v>4232372000</v>
      </c>
    </row>
    <row r="15" spans="1:11">
      <c r="A15" s="42" t="s">
        <v>619</v>
      </c>
      <c r="B15" s="45">
        <f>'Balance'!AG35</f>
        <v/>
      </c>
      <c r="C15" s="45">
        <f>'Balance'!AH35</f>
        <v/>
      </c>
      <c r="D15" s="45">
        <f>'Balance'!AI35</f>
        <v/>
      </c>
      <c r="E15" s="45">
        <f>'Balance'!AA35</f>
        <v/>
      </c>
      <c r="F15" s="45">
        <v>2413000000</v>
      </c>
      <c r="G15" s="45">
        <v>3295000000</v>
      </c>
      <c r="H15" s="45">
        <v>1247015000</v>
      </c>
      <c r="I15" s="45">
        <v>1621213000</v>
      </c>
    </row>
    <row r="16" spans="1:11">
      <c r="A16" s="42" t="s">
        <v>416</v>
      </c>
      <c r="B16" s="45">
        <f>'Balance'!AG43+'Balance'!AG54</f>
        <v/>
      </c>
      <c r="C16" s="45">
        <f>'Balance'!AH43+'Balance'!AH54</f>
        <v/>
      </c>
      <c r="D16" s="45">
        <f>'Balance'!AI43+'Balance'!AI54</f>
        <v/>
      </c>
      <c r="E16" s="45">
        <f>'Balance'!AA43+'Balance'!AA54</f>
        <v/>
      </c>
      <c r="F16" s="45">
        <v>1448000000</v>
      </c>
      <c r="G16" s="45">
        <v>2079000000</v>
      </c>
      <c r="H16" s="45">
        <v>616055000</v>
      </c>
      <c r="I16" s="45">
        <v>1448567000</v>
      </c>
    </row>
    <row r="17" spans="1:11">
      <c r="A17" s="42" t="s">
        <v>620</v>
      </c>
      <c r="B17" s="45">
        <f>'Balance'!AG19</f>
        <v/>
      </c>
      <c r="C17" s="45">
        <f>'Balance'!AH19</f>
        <v/>
      </c>
      <c r="D17" s="45">
        <f>'Balance'!AI19</f>
        <v/>
      </c>
      <c r="E17" s="45">
        <f>'Balance'!AA19</f>
        <v/>
      </c>
      <c r="F17" s="45">
        <v>171000000</v>
      </c>
      <c r="G17" s="45">
        <v>738000000</v>
      </c>
      <c r="H17" s="45">
        <v>213253000</v>
      </c>
      <c r="I17" s="45">
        <v>764307000</v>
      </c>
    </row>
    <row r="18" spans="1:11">
      <c r="A18" s="42" t="s">
        <v>418</v>
      </c>
      <c r="B18" s="45">
        <f>IFERROR(B16-B17,"")</f>
        <v/>
      </c>
      <c r="C18" s="45">
        <f>IFERROR(C16-C17,"")</f>
        <v/>
      </c>
      <c r="D18" s="45">
        <f>IFERROR(D16-D17,"")</f>
        <v/>
      </c>
      <c r="E18" s="45">
        <f>IFERROR(E16-E17,"")</f>
        <v/>
      </c>
      <c r="F18" s="45">
        <f>IFERROR(F16-F17,"")</f>
        <v/>
      </c>
      <c r="G18" s="45">
        <f>IFERROR(G16-G17,"")</f>
        <v/>
      </c>
      <c r="H18" s="45">
        <f>IFERROR(H16-H17,"")</f>
        <v/>
      </c>
      <c r="I18" s="45">
        <f>IFERROR(I16-I17,"")</f>
        <v/>
      </c>
    </row>
    <row r="20" spans="1:11">
      <c r="A20" s="5" t="s">
        <v>621</v>
      </c>
    </row>
    <row r="21" spans="1:11">
      <c r="A21" s="42" t="s">
        <v>528</v>
      </c>
      <c r="B21" s="52">
        <v>53.09000015258789</v>
      </c>
      <c r="C21" s="52">
        <v>53.09000015258789</v>
      </c>
      <c r="D21" s="52">
        <v>53.09000015258789</v>
      </c>
      <c r="E21" s="52">
        <v>53.09000015258789</v>
      </c>
      <c r="F21" s="52">
        <v>86.19000244140625</v>
      </c>
      <c r="G21" s="52">
        <v>86.19000244140625</v>
      </c>
      <c r="H21" s="52">
        <v>75.86000061035156</v>
      </c>
      <c r="I21" s="52">
        <v>75.86000061035156</v>
      </c>
      <c r="K21" s="6" t="s">
        <v>622</v>
      </c>
    </row>
    <row r="22" spans="1:11">
      <c r="A22" s="42" t="s">
        <v>623</v>
      </c>
      <c r="B22" s="45">
        <v>393312793</v>
      </c>
      <c r="C22" s="45">
        <v>393312793</v>
      </c>
      <c r="D22" s="45">
        <v>393312793</v>
      </c>
      <c r="E22" s="45">
        <v>393312793</v>
      </c>
      <c r="F22" s="45">
        <v>54384245.48</v>
      </c>
      <c r="G22" s="45">
        <v>54384245.48</v>
      </c>
      <c r="H22" s="45">
        <v>104299703</v>
      </c>
      <c r="I22" s="45">
        <v>104299703</v>
      </c>
      <c r="K22" s="6" t="s">
        <v>624</v>
      </c>
    </row>
    <row r="23" spans="1:11">
      <c r="A23" s="42" t="s">
        <v>547</v>
      </c>
      <c r="B23" s="45">
        <f>B21*B22</f>
        <v/>
      </c>
      <c r="C23" s="45">
        <f>C21*C22</f>
        <v/>
      </c>
      <c r="D23" s="45">
        <f>D21*D22</f>
        <v/>
      </c>
      <c r="E23" s="45">
        <f>E21*E22</f>
        <v/>
      </c>
      <c r="F23" s="45">
        <f>F21*F22</f>
        <v/>
      </c>
      <c r="G23" s="45">
        <f>G21*G22</f>
        <v/>
      </c>
      <c r="H23" s="45">
        <f>H21*H22</f>
        <v/>
      </c>
      <c r="I23" s="45">
        <f>I21*I22</f>
        <v/>
      </c>
    </row>
    <row r="24" spans="1:11">
      <c r="A24" s="42" t="s">
        <v>549</v>
      </c>
      <c r="B24" s="45">
        <f>IFERROR(B23+B18,"")</f>
        <v/>
      </c>
      <c r="C24" s="45">
        <f>IFERROR(C23+C18,"")</f>
        <v/>
      </c>
      <c r="D24" s="45">
        <f>IFERROR(D23+D18,"")</f>
        <v/>
      </c>
      <c r="E24" s="45">
        <f>IFERROR(E23+E18,"")</f>
        <v/>
      </c>
      <c r="F24" s="45">
        <f>IFERROR(F23+F18,"")</f>
        <v/>
      </c>
      <c r="G24" s="45">
        <f>IFERROR(G23+G18,"")</f>
        <v/>
      </c>
      <c r="H24" s="45">
        <f>IFERROR(H23+H18,"")</f>
        <v/>
      </c>
      <c r="I24" s="45">
        <f>IFERROR(I23+I18,"")</f>
        <v/>
      </c>
    </row>
    <row r="26" spans="1:11">
      <c r="A26" s="5" t="s">
        <v>625</v>
      </c>
    </row>
    <row r="27" spans="1:11">
      <c r="A27" s="42" t="s">
        <v>407</v>
      </c>
      <c r="B27" s="49">
        <f>IFERROR(B7/B6,"")</f>
        <v/>
      </c>
      <c r="C27" s="49">
        <f>IFERROR(C7/C6,"")</f>
        <v/>
      </c>
      <c r="D27" s="49">
        <f>IFERROR(D7/D6,"")</f>
        <v/>
      </c>
      <c r="E27" s="49">
        <f>IFERROR(E7/E6,"")</f>
        <v/>
      </c>
      <c r="F27" s="49">
        <f>IFERROR(F7/F6,"")</f>
        <v/>
      </c>
      <c r="G27" s="49">
        <f>IFERROR(G7/G6,"")</f>
        <v/>
      </c>
      <c r="H27" s="49">
        <f>IFERROR(H7/H6,"")</f>
        <v/>
      </c>
      <c r="I27" s="49">
        <f>IFERROR(I7/I6,"")</f>
        <v/>
      </c>
    </row>
    <row r="28" spans="1:11">
      <c r="A28" s="42" t="s">
        <v>406</v>
      </c>
      <c r="B28" s="49">
        <f>IFERROR(B8/B6,"")</f>
        <v/>
      </c>
      <c r="C28" s="49">
        <f>IFERROR(C8/C6,"")</f>
        <v/>
      </c>
      <c r="D28" s="49">
        <f>IFERROR(D8/D6,"")</f>
        <v/>
      </c>
      <c r="E28" s="49">
        <f>IFERROR(E8/E6,"")</f>
        <v/>
      </c>
      <c r="F28" s="49">
        <f>IFERROR(F8/F6,"")</f>
        <v/>
      </c>
      <c r="G28" s="49">
        <f>IFERROR(G8/G6,"")</f>
        <v/>
      </c>
      <c r="H28" s="49">
        <f>IFERROR(H8/H6,"")</f>
        <v/>
      </c>
      <c r="I28" s="49">
        <f>IFERROR(I8/I6,"")</f>
        <v/>
      </c>
    </row>
    <row r="29" spans="1:11">
      <c r="A29" s="42" t="s">
        <v>408</v>
      </c>
      <c r="B29" s="49">
        <f>IFERROR(B9/B6,"")</f>
        <v/>
      </c>
      <c r="C29" s="49">
        <f>IFERROR(C9/C6,"")</f>
        <v/>
      </c>
      <c r="D29" s="49">
        <f>IFERROR(D9/D6,"")</f>
        <v/>
      </c>
      <c r="E29" s="49">
        <f>IFERROR(E9/E6,"")</f>
        <v/>
      </c>
      <c r="F29" s="49">
        <f>IFERROR(F9/F6,"")</f>
        <v/>
      </c>
      <c r="G29" s="49">
        <f>IFERROR(G9/G6,"")</f>
        <v/>
      </c>
      <c r="H29" s="49">
        <f>IFERROR(H9/H6,"")</f>
        <v/>
      </c>
      <c r="I29" s="49">
        <f>IFERROR(I9/I6,"")</f>
        <v/>
      </c>
    </row>
    <row r="30" spans="1:11">
      <c r="A30" s="42" t="s">
        <v>451</v>
      </c>
      <c r="B30" s="49">
        <f>IFERROR(B10/B6,"")</f>
        <v/>
      </c>
      <c r="C30" s="49">
        <f>IFERROR(C10/C6,"")</f>
        <v/>
      </c>
      <c r="D30" s="49">
        <f>IFERROR(D10/D6,"")</f>
        <v/>
      </c>
      <c r="E30" s="49">
        <f>IFERROR(E10/E6,"")</f>
        <v/>
      </c>
      <c r="F30" s="49">
        <f>IFERROR(F10/F6,"")</f>
        <v/>
      </c>
      <c r="G30" s="49">
        <f>IFERROR(G10/G6,"")</f>
        <v/>
      </c>
      <c r="H30" s="49">
        <f>IFERROR(H10/H6,"")</f>
        <v/>
      </c>
      <c r="I30" s="49">
        <f>IFERROR(I10/I6,"")</f>
        <v/>
      </c>
    </row>
    <row r="31" spans="1:11">
      <c r="A31" s="42" t="s">
        <v>626</v>
      </c>
      <c r="B31" s="49">
        <f>IFERROR(B11/B7,"")</f>
        <v/>
      </c>
      <c r="C31" s="49">
        <f>IFERROR(C11/C7,"")</f>
        <v/>
      </c>
      <c r="D31" s="49">
        <f>IFERROR(D11/D7,"")</f>
        <v/>
      </c>
      <c r="E31" s="49">
        <f>IFERROR(E11/E7,"")</f>
        <v/>
      </c>
      <c r="F31" s="49">
        <f>IFERROR(F11/F7,"")</f>
        <v/>
      </c>
      <c r="G31" s="49">
        <f>IFERROR(G11/G7,"")</f>
        <v/>
      </c>
      <c r="H31" s="49">
        <f>IFERROR(H11/H7,"")</f>
        <v/>
      </c>
      <c r="I31" s="49">
        <f>IFERROR(I11/I7,"")</f>
        <v/>
      </c>
    </row>
    <row r="32" spans="1:11">
      <c r="A32" s="42" t="s">
        <v>627</v>
      </c>
      <c r="B32" s="49">
        <f>IFERROR(B9/B15,"")</f>
        <v/>
      </c>
      <c r="C32" s="49">
        <f>IFERROR(C9/C15,"")</f>
        <v/>
      </c>
      <c r="D32" s="49">
        <f>IFERROR(D9/D15,"")</f>
        <v/>
      </c>
      <c r="E32" s="49">
        <f>IFERROR(E9/E15,"")</f>
        <v/>
      </c>
      <c r="F32" s="49">
        <f>IFERROR(F9/F15,"")</f>
        <v/>
      </c>
      <c r="G32" s="49">
        <f>IFERROR(G9/G15,"")</f>
        <v/>
      </c>
      <c r="H32" s="49">
        <f>IFERROR(H9/H15,"")</f>
        <v/>
      </c>
      <c r="I32" s="49">
        <f>IFERROR(I9/I15,"")</f>
        <v/>
      </c>
    </row>
    <row r="34" spans="1:9">
      <c r="A34" s="5" t="s">
        <v>628</v>
      </c>
    </row>
    <row r="35" spans="1:9">
      <c r="A35" s="42" t="s">
        <v>629</v>
      </c>
      <c r="B35" s="50">
        <f>IFERROR(B24/B7,"")</f>
        <v/>
      </c>
      <c r="C35" s="50">
        <f>IFERROR(C24/C7,"")</f>
        <v/>
      </c>
      <c r="D35" s="50">
        <f>IFERROR(D24/D7,"")</f>
        <v/>
      </c>
      <c r="E35" s="50">
        <f>IFERROR(E24/E7,"")</f>
        <v/>
      </c>
      <c r="F35" s="50">
        <f>IFERROR(F24/F7,"")</f>
        <v/>
      </c>
      <c r="G35" s="50">
        <f>IFERROR(G24/G7,"")</f>
        <v/>
      </c>
      <c r="H35" s="50">
        <f>IFERROR(H24/H7,"")</f>
        <v/>
      </c>
      <c r="I35" s="50">
        <f>IFERROR(I24/I7,"")</f>
        <v/>
      </c>
    </row>
    <row r="36" spans="1:9">
      <c r="A36" s="42" t="s">
        <v>630</v>
      </c>
      <c r="B36" s="50">
        <f>IFERROR(B24/B6,"")</f>
        <v/>
      </c>
      <c r="C36" s="50">
        <f>IFERROR(C24/C6,"")</f>
        <v/>
      </c>
      <c r="D36" s="50">
        <f>IFERROR(D24/D6,"")</f>
        <v/>
      </c>
      <c r="E36" s="50">
        <f>IFERROR(E24/E6,"")</f>
        <v/>
      </c>
      <c r="F36" s="50">
        <f>IFERROR(F24/F6,"")</f>
        <v/>
      </c>
      <c r="G36" s="50">
        <f>IFERROR(G24/G6,"")</f>
        <v/>
      </c>
      <c r="H36" s="50">
        <f>IFERROR(H24/H6,"")</f>
        <v/>
      </c>
      <c r="I36" s="50">
        <f>IFERROR(I24/I6,"")</f>
        <v/>
      </c>
    </row>
    <row r="37" spans="1:9">
      <c r="A37" s="42" t="s">
        <v>631</v>
      </c>
      <c r="B37" s="50">
        <f>IFERROR(B23/B9,"")</f>
        <v/>
      </c>
      <c r="C37" s="50">
        <f>IFERROR(C23/C9,"")</f>
        <v/>
      </c>
      <c r="D37" s="50">
        <f>IFERROR(D23/D9,"")</f>
        <v/>
      </c>
      <c r="E37" s="50">
        <f>IFERROR(E23/E9,"")</f>
        <v/>
      </c>
      <c r="F37" s="50">
        <f>IFERROR(F23/F9,"")</f>
        <v/>
      </c>
      <c r="G37" s="50">
        <f>IFERROR(G23/G9,"")</f>
        <v/>
      </c>
      <c r="H37" s="50">
        <f>IFERROR(H23/H9,"")</f>
        <v/>
      </c>
      <c r="I37" s="50">
        <f>IFERROR(I23/I9,"")</f>
        <v/>
      </c>
    </row>
    <row r="38" spans="1:9">
      <c r="A38" s="42" t="s">
        <v>554</v>
      </c>
      <c r="B38" s="50">
        <f>IFERROR(B23/B15,"")</f>
        <v/>
      </c>
      <c r="C38" s="50">
        <f>IFERROR(C23/C15,"")</f>
        <v/>
      </c>
      <c r="D38" s="50">
        <f>IFERROR(D23/D15,"")</f>
        <v/>
      </c>
      <c r="E38" s="50">
        <f>IFERROR(E23/E15,"")</f>
        <v/>
      </c>
      <c r="F38" s="50">
        <f>IFERROR(F23/F15,"")</f>
        <v/>
      </c>
      <c r="G38" s="50">
        <f>IFERROR(G23/G15,"")</f>
        <v/>
      </c>
      <c r="H38" s="50">
        <f>IFERROR(H23/H15,"")</f>
        <v/>
      </c>
      <c r="I38" s="50">
        <f>IFERROR(I23/I15,"")</f>
        <v/>
      </c>
    </row>
    <row r="39" spans="1:9">
      <c r="A39" s="42" t="s">
        <v>632</v>
      </c>
      <c r="B39" s="50">
        <f>IFERROR(B18/B7,"")</f>
        <v/>
      </c>
      <c r="C39" s="50">
        <f>IFERROR(C18/C7,"")</f>
        <v/>
      </c>
      <c r="D39" s="50">
        <f>IFERROR(D18/D7,"")</f>
        <v/>
      </c>
      <c r="E39" s="50">
        <f>IFERROR(E18/E7,"")</f>
        <v/>
      </c>
      <c r="F39" s="50">
        <f>IFERROR(F18/F7,"")</f>
        <v/>
      </c>
      <c r="G39" s="50">
        <f>IFERROR(G18/G7,"")</f>
        <v/>
      </c>
      <c r="H39" s="50">
        <f>IFERROR(H18/H7,"")</f>
        <v/>
      </c>
      <c r="I39" s="50">
        <f>IFERROR(I18/I7,"")</f>
        <v/>
      </c>
    </row>
    <row r="42" spans="1:9" ht="42" customHeight="1">
      <c r="A42" s="6" t="s">
        <v>633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C0442A"/>
  </sheetPr>
  <dimension ref="A1:J48"/>
  <sheetViews>
    <sheetView showGridLines="0" workbookViewId="0">
      <pane ySplit="5" topLeftCell="A6" activePane="bottomLeft" state="frozen"/>
      <selection pane="bottomLeft"/>
    </sheetView>
  </sheetViews>
  <sheetFormatPr defaultRowHeight="15"/>
  <cols>
    <col min="1" max="1" width="22.7109375" customWidth="1"/>
    <col min="2" max="2" width="18.7109375" customWidth="1"/>
    <col min="3" max="4" width="10.7109375" customWidth="1"/>
    <col min="5" max="5" width="16.7109375" customWidth="1"/>
    <col min="6" max="6" width="18.7109375" customWidth="1"/>
    <col min="7" max="7" width="10.7109375" customWidth="1"/>
    <col min="8" max="8" width="16.7109375" customWidth="1"/>
    <col min="9" max="9" width="14.7109375" customWidth="1"/>
    <col min="10" max="10" width="16.7109375" customWidth="1"/>
  </cols>
  <sheetData>
    <row r="1" spans="1:3">
      <c r="A1" s="1" t="s">
        <v>634</v>
      </c>
    </row>
    <row r="2" spans="1:3">
      <c r="A2" s="2" t="s">
        <v>635</v>
      </c>
    </row>
    <row r="4" spans="1:3">
      <c r="A4" s="5" t="s">
        <v>636</v>
      </c>
    </row>
    <row r="5" spans="1:3">
      <c r="A5" s="40" t="s">
        <v>637</v>
      </c>
      <c r="B5" s="41" t="s">
        <v>638</v>
      </c>
      <c r="C5" s="41" t="s">
        <v>639</v>
      </c>
    </row>
    <row r="6" spans="1:3">
      <c r="A6" s="45">
        <v>2026</v>
      </c>
      <c r="B6" s="45">
        <v>253000000</v>
      </c>
      <c r="C6" s="45">
        <v>2</v>
      </c>
    </row>
    <row r="7" spans="1:3">
      <c r="A7" s="45">
        <v>2027</v>
      </c>
      <c r="B7" s="45">
        <v>1338000000</v>
      </c>
      <c r="C7" s="45">
        <v>6</v>
      </c>
    </row>
    <row r="8" spans="1:3">
      <c r="A8" s="45">
        <v>2028</v>
      </c>
      <c r="B8" s="45">
        <v>616000000</v>
      </c>
      <c r="C8" s="45">
        <v>5</v>
      </c>
    </row>
    <row r="9" spans="1:3">
      <c r="A9" s="45">
        <v>2029</v>
      </c>
      <c r="B9" s="45">
        <v>1403000000</v>
      </c>
      <c r="C9" s="45">
        <v>3</v>
      </c>
    </row>
    <row r="10" spans="1:3">
      <c r="A10" s="45">
        <v>2030</v>
      </c>
      <c r="B10" s="45">
        <v>285000000</v>
      </c>
      <c r="C10" s="45">
        <v>2</v>
      </c>
    </row>
    <row r="11" spans="1:3">
      <c r="A11" s="45">
        <v>2031</v>
      </c>
      <c r="B11" s="45">
        <v>1901000000</v>
      </c>
      <c r="C11" s="45">
        <v>2</v>
      </c>
    </row>
    <row r="12" spans="1:3">
      <c r="A12" s="45">
        <v>2032</v>
      </c>
      <c r="B12" s="45">
        <v>366000000</v>
      </c>
      <c r="C12" s="45">
        <v>1</v>
      </c>
    </row>
    <row r="13" spans="1:3">
      <c r="A13" s="45">
        <v>2033</v>
      </c>
      <c r="B13" s="45">
        <v>570000000</v>
      </c>
      <c r="C13" s="45">
        <v>1</v>
      </c>
    </row>
    <row r="14" spans="1:3">
      <c r="A14" s="45">
        <v>2034</v>
      </c>
      <c r="B14" s="45">
        <v>1687000000</v>
      </c>
      <c r="C14" s="45">
        <v>1</v>
      </c>
    </row>
    <row r="15" spans="1:3">
      <c r="A15" s="45">
        <v>2047</v>
      </c>
      <c r="B15" s="45">
        <v>531000000</v>
      </c>
      <c r="C15" s="45">
        <v>1</v>
      </c>
    </row>
    <row r="16" spans="1:3">
      <c r="A16" s="47" t="s">
        <v>489</v>
      </c>
      <c r="B16" s="48">
        <f>SUM(B6:B15)</f>
        <v/>
      </c>
    </row>
    <row r="17" spans="1:10">
      <c r="A17" s="42" t="s">
        <v>640</v>
      </c>
      <c r="B17" s="45">
        <f>'Balance'!AA43+'Balance'!AA54</f>
        <v/>
      </c>
    </row>
    <row r="18" spans="1:10">
      <c r="A18" s="42" t="s">
        <v>641</v>
      </c>
      <c r="B18" s="45">
        <f>B17 - B16</f>
        <v/>
      </c>
      <c r="D18" s="6" t="s">
        <v>642</v>
      </c>
    </row>
    <row r="21" spans="1:10">
      <c r="A21" s="5" t="s">
        <v>643</v>
      </c>
    </row>
    <row r="22" spans="1:10">
      <c r="A22" s="40" t="s">
        <v>644</v>
      </c>
      <c r="B22" s="41" t="s">
        <v>645</v>
      </c>
      <c r="C22" s="41" t="s">
        <v>637</v>
      </c>
      <c r="D22" s="41" t="s">
        <v>646</v>
      </c>
      <c r="E22" s="41" t="s">
        <v>647</v>
      </c>
      <c r="F22" s="41" t="s">
        <v>648</v>
      </c>
      <c r="G22" s="41" t="s">
        <v>638</v>
      </c>
      <c r="H22" s="41" t="s">
        <v>649</v>
      </c>
      <c r="I22" s="41" t="s">
        <v>650</v>
      </c>
      <c r="J22" s="41" t="s">
        <v>489</v>
      </c>
    </row>
    <row r="23" spans="1:10">
      <c r="A23" s="42" t="s">
        <v>651</v>
      </c>
      <c r="B23" s="42" t="s">
        <v>652</v>
      </c>
      <c r="C23" s="42" t="s">
        <v>653</v>
      </c>
      <c r="D23" s="42" t="s">
        <v>654</v>
      </c>
      <c r="E23" s="45">
        <v>389000000</v>
      </c>
      <c r="F23" s="42" t="s">
        <v>655</v>
      </c>
      <c r="G23" s="45">
        <v>2026</v>
      </c>
      <c r="H23" s="45">
        <v>0</v>
      </c>
      <c r="I23" s="45">
        <v>127000000</v>
      </c>
      <c r="J23" s="45">
        <v>127000000</v>
      </c>
    </row>
    <row r="24" spans="1:10">
      <c r="A24" s="42" t="s">
        <v>656</v>
      </c>
      <c r="B24" s="42" t="s">
        <v>657</v>
      </c>
      <c r="C24" s="42" t="s">
        <v>658</v>
      </c>
      <c r="D24" s="42" t="s">
        <v>654</v>
      </c>
      <c r="E24" s="45">
        <v>128000000</v>
      </c>
      <c r="F24" s="42" t="s">
        <v>659</v>
      </c>
      <c r="G24" s="45">
        <v>2026</v>
      </c>
      <c r="H24" s="45">
        <v>0</v>
      </c>
      <c r="I24" s="45">
        <v>126000000</v>
      </c>
      <c r="J24" s="45">
        <v>126000000</v>
      </c>
    </row>
    <row r="25" spans="1:10">
      <c r="A25" s="42" t="s">
        <v>660</v>
      </c>
      <c r="B25" s="42" t="s">
        <v>661</v>
      </c>
      <c r="C25" s="42" t="s">
        <v>662</v>
      </c>
      <c r="D25" s="42" t="s">
        <v>654</v>
      </c>
      <c r="E25" s="45">
        <v>644000000</v>
      </c>
      <c r="F25" s="42" t="s">
        <v>663</v>
      </c>
      <c r="G25" s="45">
        <v>2027</v>
      </c>
      <c r="H25" s="45">
        <v>647000000</v>
      </c>
      <c r="I25" s="45">
        <v>19000000</v>
      </c>
      <c r="J25" s="45">
        <v>666000000</v>
      </c>
    </row>
    <row r="26" spans="1:10">
      <c r="A26" s="42" t="s">
        <v>664</v>
      </c>
      <c r="B26" s="42" t="s">
        <v>665</v>
      </c>
      <c r="C26" s="42" t="s">
        <v>666</v>
      </c>
      <c r="D26" s="42" t="s">
        <v>654</v>
      </c>
      <c r="E26" s="45">
        <v>250000000</v>
      </c>
      <c r="F26" s="42" t="s">
        <v>667</v>
      </c>
      <c r="G26" s="45">
        <v>2027</v>
      </c>
      <c r="H26" s="45">
        <v>248000000</v>
      </c>
      <c r="I26" s="45">
        <v>4000000</v>
      </c>
      <c r="J26" s="45">
        <v>252000000</v>
      </c>
    </row>
    <row r="27" spans="1:10">
      <c r="A27" s="42" t="s">
        <v>668</v>
      </c>
      <c r="B27" s="42" t="s">
        <v>669</v>
      </c>
      <c r="C27" s="42" t="s">
        <v>666</v>
      </c>
      <c r="D27" s="42" t="s">
        <v>654</v>
      </c>
      <c r="E27" s="45">
        <v>140000000</v>
      </c>
      <c r="F27" s="42" t="s">
        <v>670</v>
      </c>
      <c r="G27" s="45">
        <v>2027</v>
      </c>
      <c r="H27" s="45">
        <v>0</v>
      </c>
      <c r="I27" s="45">
        <v>141000000</v>
      </c>
      <c r="J27" s="45">
        <v>141000000</v>
      </c>
    </row>
    <row r="28" spans="1:10">
      <c r="A28" s="42" t="s">
        <v>671</v>
      </c>
      <c r="B28" s="42" t="s">
        <v>672</v>
      </c>
      <c r="C28" s="42" t="s">
        <v>666</v>
      </c>
      <c r="D28" s="42" t="s">
        <v>654</v>
      </c>
      <c r="E28" s="45">
        <v>140000000</v>
      </c>
      <c r="F28" s="42" t="s">
        <v>673</v>
      </c>
      <c r="G28" s="45">
        <v>2027</v>
      </c>
      <c r="H28" s="45">
        <v>0</v>
      </c>
      <c r="I28" s="45">
        <v>141000000</v>
      </c>
      <c r="J28" s="45">
        <v>141000000</v>
      </c>
    </row>
    <row r="29" spans="1:10">
      <c r="A29" s="42" t="s">
        <v>674</v>
      </c>
      <c r="B29" s="42" t="s">
        <v>675</v>
      </c>
      <c r="C29" s="42" t="s">
        <v>666</v>
      </c>
      <c r="D29" s="42" t="s">
        <v>654</v>
      </c>
      <c r="E29" s="45">
        <v>99000000</v>
      </c>
      <c r="F29" s="42" t="s">
        <v>676</v>
      </c>
      <c r="G29" s="45">
        <v>2027</v>
      </c>
      <c r="H29" s="45">
        <v>0</v>
      </c>
      <c r="I29" s="45">
        <v>100000000</v>
      </c>
      <c r="J29" s="45">
        <v>100000000</v>
      </c>
    </row>
    <row r="30" spans="1:10">
      <c r="A30" s="42" t="s">
        <v>677</v>
      </c>
      <c r="B30" s="42" t="s">
        <v>678</v>
      </c>
      <c r="C30" s="42" t="s">
        <v>658</v>
      </c>
      <c r="D30" s="42" t="s">
        <v>654</v>
      </c>
      <c r="E30" s="45">
        <v>38000000</v>
      </c>
      <c r="F30" s="42" t="s">
        <v>655</v>
      </c>
      <c r="G30" s="45">
        <v>2027</v>
      </c>
      <c r="H30" s="45">
        <v>0</v>
      </c>
      <c r="I30" s="45">
        <v>38000000</v>
      </c>
      <c r="J30" s="45">
        <v>38000000</v>
      </c>
    </row>
    <row r="31" spans="1:10">
      <c r="A31" s="42" t="s">
        <v>679</v>
      </c>
      <c r="B31" s="42" t="s">
        <v>680</v>
      </c>
      <c r="C31" s="42" t="s">
        <v>658</v>
      </c>
      <c r="D31" s="42" t="s">
        <v>654</v>
      </c>
      <c r="E31" s="45">
        <v>400000000</v>
      </c>
      <c r="F31" s="42" t="s">
        <v>659</v>
      </c>
      <c r="G31" s="45">
        <v>2028</v>
      </c>
      <c r="H31" s="45">
        <v>400000000</v>
      </c>
      <c r="I31" s="45">
        <v>0</v>
      </c>
      <c r="J31" s="45">
        <v>400000000</v>
      </c>
    </row>
    <row r="32" spans="1:10">
      <c r="A32" s="42" t="s">
        <v>681</v>
      </c>
      <c r="B32" s="42" t="s">
        <v>657</v>
      </c>
      <c r="C32" s="42" t="s">
        <v>682</v>
      </c>
      <c r="D32" s="42" t="s">
        <v>654</v>
      </c>
      <c r="E32" s="45">
        <v>125000000</v>
      </c>
      <c r="F32" s="42" t="s">
        <v>683</v>
      </c>
      <c r="G32" s="45">
        <v>2028</v>
      </c>
      <c r="H32" s="45">
        <v>125000000</v>
      </c>
      <c r="I32" s="45">
        <v>2000000</v>
      </c>
      <c r="J32" s="45">
        <v>127000000</v>
      </c>
    </row>
    <row r="33" spans="1:10">
      <c r="A33" s="42" t="s">
        <v>684</v>
      </c>
      <c r="B33" s="42" t="s">
        <v>685</v>
      </c>
      <c r="C33" s="42" t="s">
        <v>666</v>
      </c>
      <c r="D33" s="42" t="s">
        <v>654</v>
      </c>
      <c r="E33" s="45">
        <v>51000000</v>
      </c>
      <c r="F33" s="42" t="s">
        <v>667</v>
      </c>
      <c r="G33" s="45">
        <v>2028</v>
      </c>
      <c r="H33" s="45">
        <v>50000000</v>
      </c>
      <c r="I33" s="45">
        <v>0</v>
      </c>
      <c r="J33" s="45">
        <v>50000000</v>
      </c>
    </row>
    <row r="34" spans="1:10">
      <c r="A34" s="42" t="s">
        <v>686</v>
      </c>
      <c r="B34" s="42" t="s">
        <v>657</v>
      </c>
      <c r="C34" s="42" t="s">
        <v>682</v>
      </c>
      <c r="D34" s="42" t="s">
        <v>654</v>
      </c>
      <c r="E34" s="45">
        <v>25000000</v>
      </c>
      <c r="F34" s="42" t="s">
        <v>673</v>
      </c>
      <c r="G34" s="45">
        <v>2028</v>
      </c>
      <c r="H34" s="45">
        <v>24000000</v>
      </c>
      <c r="I34" s="45">
        <v>0</v>
      </c>
      <c r="J34" s="45">
        <v>24000000</v>
      </c>
    </row>
    <row r="35" spans="1:10">
      <c r="A35" s="42" t="s">
        <v>687</v>
      </c>
      <c r="B35" s="42" t="s">
        <v>687</v>
      </c>
      <c r="C35" s="42" t="s">
        <v>688</v>
      </c>
      <c r="D35" s="42" t="s">
        <v>654</v>
      </c>
      <c r="E35" s="45">
        <v>15000000</v>
      </c>
      <c r="F35" s="42" t="s">
        <v>689</v>
      </c>
      <c r="G35" s="45">
        <v>2028</v>
      </c>
      <c r="H35" s="45">
        <v>15000000</v>
      </c>
      <c r="I35" s="45">
        <v>0</v>
      </c>
      <c r="J35" s="45">
        <v>15000000</v>
      </c>
    </row>
    <row r="36" spans="1:10">
      <c r="A36" s="42" t="s">
        <v>690</v>
      </c>
      <c r="B36" s="42" t="s">
        <v>669</v>
      </c>
      <c r="C36" s="42" t="s">
        <v>691</v>
      </c>
      <c r="D36" s="42" t="s">
        <v>654</v>
      </c>
      <c r="E36" s="45">
        <v>748000000</v>
      </c>
      <c r="F36" s="42" t="s">
        <v>692</v>
      </c>
      <c r="G36" s="45">
        <v>2029</v>
      </c>
      <c r="H36" s="45">
        <v>429000000</v>
      </c>
      <c r="I36" s="45">
        <v>216000000</v>
      </c>
      <c r="J36" s="45">
        <v>645000000</v>
      </c>
    </row>
    <row r="37" spans="1:10">
      <c r="A37" s="42" t="s">
        <v>693</v>
      </c>
      <c r="B37" s="42" t="s">
        <v>694</v>
      </c>
      <c r="C37" s="42" t="s">
        <v>695</v>
      </c>
      <c r="D37" s="42" t="s">
        <v>654</v>
      </c>
      <c r="E37" s="45">
        <v>399000000</v>
      </c>
      <c r="F37" s="42" t="s">
        <v>696</v>
      </c>
      <c r="G37" s="45">
        <v>2029</v>
      </c>
      <c r="H37" s="45">
        <v>398000000</v>
      </c>
      <c r="I37" s="45">
        <v>0</v>
      </c>
      <c r="J37" s="45">
        <v>398000000</v>
      </c>
    </row>
    <row r="38" spans="1:10">
      <c r="A38" s="42" t="s">
        <v>697</v>
      </c>
      <c r="B38" s="42" t="s">
        <v>698</v>
      </c>
      <c r="C38" s="42" t="s">
        <v>666</v>
      </c>
      <c r="D38" s="42" t="s">
        <v>654</v>
      </c>
      <c r="E38" s="45">
        <v>361000000</v>
      </c>
      <c r="F38" s="42" t="s">
        <v>673</v>
      </c>
      <c r="G38" s="45">
        <v>2029</v>
      </c>
      <c r="H38" s="45">
        <v>358000000</v>
      </c>
      <c r="I38" s="45">
        <v>2000000</v>
      </c>
      <c r="J38" s="45">
        <v>360000000</v>
      </c>
    </row>
    <row r="39" spans="1:10">
      <c r="A39" s="42" t="s">
        <v>699</v>
      </c>
      <c r="B39" s="42" t="s">
        <v>700</v>
      </c>
      <c r="C39" s="42" t="s">
        <v>666</v>
      </c>
      <c r="D39" s="42" t="s">
        <v>654</v>
      </c>
      <c r="E39" s="45">
        <v>225000000</v>
      </c>
      <c r="F39" s="42" t="s">
        <v>701</v>
      </c>
      <c r="G39" s="45">
        <v>2030</v>
      </c>
      <c r="H39" s="45">
        <v>153000000</v>
      </c>
      <c r="I39" s="45">
        <v>9000000</v>
      </c>
      <c r="J39" s="45">
        <v>162000000</v>
      </c>
    </row>
    <row r="40" spans="1:10">
      <c r="A40" s="42" t="s">
        <v>702</v>
      </c>
      <c r="B40" s="42" t="s">
        <v>703</v>
      </c>
      <c r="C40" s="42" t="s">
        <v>704</v>
      </c>
      <c r="D40" s="42" t="s">
        <v>654</v>
      </c>
      <c r="E40" s="45">
        <v>122000000</v>
      </c>
      <c r="F40" s="42" t="s">
        <v>705</v>
      </c>
      <c r="G40" s="45">
        <v>2030</v>
      </c>
      <c r="H40" s="45">
        <v>122000000</v>
      </c>
      <c r="I40" s="45">
        <v>1000000</v>
      </c>
      <c r="J40" s="45">
        <v>123000000</v>
      </c>
    </row>
    <row r="41" spans="1:10">
      <c r="A41" s="42" t="s">
        <v>706</v>
      </c>
      <c r="B41" s="42" t="s">
        <v>680</v>
      </c>
      <c r="C41" s="42" t="s">
        <v>682</v>
      </c>
      <c r="D41" s="42" t="s">
        <v>654</v>
      </c>
      <c r="E41" s="45">
        <v>540000000</v>
      </c>
      <c r="F41" s="42" t="s">
        <v>701</v>
      </c>
      <c r="G41" s="45">
        <v>2031</v>
      </c>
      <c r="H41" s="45">
        <v>1046000000</v>
      </c>
      <c r="I41" s="45">
        <v>27000000</v>
      </c>
      <c r="J41" s="45">
        <v>1073000000</v>
      </c>
    </row>
    <row r="42" spans="1:10">
      <c r="A42" s="42" t="s">
        <v>707</v>
      </c>
      <c r="B42" s="42" t="s">
        <v>708</v>
      </c>
      <c r="C42" s="42" t="s">
        <v>682</v>
      </c>
      <c r="D42" s="42" t="s">
        <v>654</v>
      </c>
      <c r="E42" s="45">
        <v>800000000</v>
      </c>
      <c r="F42" s="42" t="s">
        <v>709</v>
      </c>
      <c r="G42" s="45">
        <v>2031</v>
      </c>
      <c r="H42" s="45">
        <v>636000000</v>
      </c>
      <c r="I42" s="45">
        <v>192000000</v>
      </c>
      <c r="J42" s="45">
        <v>828000000</v>
      </c>
    </row>
    <row r="43" spans="1:10">
      <c r="A43" s="42" t="s">
        <v>710</v>
      </c>
      <c r="B43" s="42" t="s">
        <v>711</v>
      </c>
      <c r="C43" s="42" t="s">
        <v>691</v>
      </c>
      <c r="D43" s="42" t="s">
        <v>654</v>
      </c>
      <c r="E43" s="45">
        <v>384000000</v>
      </c>
      <c r="F43" s="42" t="s">
        <v>712</v>
      </c>
      <c r="G43" s="45">
        <v>2032</v>
      </c>
      <c r="H43" s="45">
        <v>302000000</v>
      </c>
      <c r="I43" s="45">
        <v>64000000</v>
      </c>
      <c r="J43" s="45">
        <v>366000000</v>
      </c>
    </row>
    <row r="44" spans="1:10">
      <c r="A44" s="42" t="s">
        <v>713</v>
      </c>
      <c r="B44" s="42" t="s">
        <v>669</v>
      </c>
      <c r="C44" s="42" t="s">
        <v>691</v>
      </c>
      <c r="D44" s="42" t="s">
        <v>654</v>
      </c>
      <c r="E44" s="45">
        <v>576000000</v>
      </c>
      <c r="F44" s="42" t="s">
        <v>673</v>
      </c>
      <c r="G44" s="45">
        <v>2033</v>
      </c>
      <c r="H44" s="45">
        <v>559000000</v>
      </c>
      <c r="I44" s="45">
        <v>11000000</v>
      </c>
      <c r="J44" s="45">
        <v>570000000</v>
      </c>
    </row>
    <row r="45" spans="1:10">
      <c r="A45" s="42" t="s">
        <v>714</v>
      </c>
      <c r="B45" s="42" t="s">
        <v>715</v>
      </c>
      <c r="C45" s="42" t="s">
        <v>666</v>
      </c>
      <c r="D45" s="42" t="s">
        <v>654</v>
      </c>
      <c r="E45" s="45">
        <v>1632000000</v>
      </c>
      <c r="F45" s="42" t="s">
        <v>716</v>
      </c>
      <c r="G45" s="45">
        <v>2034</v>
      </c>
      <c r="H45" s="45">
        <v>1624000000</v>
      </c>
      <c r="I45" s="45">
        <v>63000000</v>
      </c>
      <c r="J45" s="45">
        <v>1687000000</v>
      </c>
    </row>
    <row r="46" spans="1:10">
      <c r="A46" s="42" t="s">
        <v>717</v>
      </c>
      <c r="B46" s="42" t="s">
        <v>718</v>
      </c>
      <c r="C46" s="42" t="s">
        <v>662</v>
      </c>
      <c r="D46" s="42" t="s">
        <v>654</v>
      </c>
      <c r="E46" s="45">
        <v>537000000</v>
      </c>
      <c r="F46" s="42" t="s">
        <v>673</v>
      </c>
      <c r="G46" s="45">
        <v>2047</v>
      </c>
      <c r="H46" s="45">
        <v>530000000</v>
      </c>
      <c r="I46" s="45">
        <v>1000000</v>
      </c>
      <c r="J46" s="45">
        <v>531000000</v>
      </c>
    </row>
    <row r="48" spans="1:10" ht="28" customHeight="1">
      <c r="A48" s="6" t="s">
        <v>719</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sheetPr>
    <tabColor rgb="FF00246B"/>
  </sheetPr>
  <dimension ref="A1:AK36"/>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62.7109375" customWidth="1"/>
    <col min="2" max="36" width="19.7109375" customWidth="1"/>
  </cols>
  <sheetData>
    <row r="1" spans="1:35">
      <c r="A1" s="1" t="s">
        <v>72</v>
      </c>
    </row>
    <row r="2" spans="1:35">
      <c r="A2" s="2" t="s">
        <v>720</v>
      </c>
    </row>
    <row r="4" spans="1:35">
      <c r="A4" s="40"/>
      <c r="B4" s="41" t="s">
        <v>159</v>
      </c>
      <c r="C4" s="41" t="s">
        <v>160</v>
      </c>
      <c r="D4" s="41" t="s">
        <v>161</v>
      </c>
      <c r="E4" s="41" t="s">
        <v>162</v>
      </c>
      <c r="F4" s="41" t="s">
        <v>163</v>
      </c>
      <c r="G4" s="41" t="s">
        <v>164</v>
      </c>
      <c r="H4" s="41" t="s">
        <v>165</v>
      </c>
      <c r="I4" s="41" t="s">
        <v>166</v>
      </c>
      <c r="J4" s="41" t="s">
        <v>167</v>
      </c>
      <c r="K4" s="41" t="s">
        <v>168</v>
      </c>
      <c r="L4" s="41" t="s">
        <v>169</v>
      </c>
      <c r="M4" s="41" t="s">
        <v>170</v>
      </c>
      <c r="N4" s="41" t="s">
        <v>171</v>
      </c>
      <c r="O4" s="41" t="s">
        <v>172</v>
      </c>
      <c r="P4" s="41" t="s">
        <v>173</v>
      </c>
      <c r="Q4" s="41" t="s">
        <v>174</v>
      </c>
      <c r="R4" s="41" t="s">
        <v>175</v>
      </c>
      <c r="S4" s="41" t="s">
        <v>176</v>
      </c>
      <c r="T4" s="41" t="s">
        <v>177</v>
      </c>
      <c r="U4" s="41" t="s">
        <v>178</v>
      </c>
      <c r="V4" s="41" t="s">
        <v>179</v>
      </c>
      <c r="W4" s="41" t="s">
        <v>180</v>
      </c>
      <c r="X4" s="41" t="s">
        <v>181</v>
      </c>
      <c r="Y4" s="41" t="s">
        <v>182</v>
      </c>
      <c r="Z4" s="41" t="s">
        <v>183</v>
      </c>
      <c r="AA4" s="41" t="s">
        <v>184</v>
      </c>
      <c r="AC4" s="41" t="s">
        <v>185</v>
      </c>
      <c r="AD4" s="41" t="s">
        <v>186</v>
      </c>
      <c r="AE4" s="41" t="s">
        <v>187</v>
      </c>
      <c r="AF4" s="41" t="s">
        <v>188</v>
      </c>
      <c r="AG4" s="41" t="s">
        <v>189</v>
      </c>
      <c r="AH4" s="41" t="s">
        <v>190</v>
      </c>
      <c r="AI4" s="41" t="s">
        <v>191</v>
      </c>
    </row>
    <row r="5" spans="1:35">
      <c r="A5" s="5" t="s">
        <v>721</v>
      </c>
    </row>
    <row r="6" spans="1:35">
      <c r="A6" s="42" t="s">
        <v>722</v>
      </c>
      <c r="B6" s="45">
        <f>'Balance'!B21-('Balance'!B58+'Balance'!B35)</f>
        <v/>
      </c>
      <c r="C6" s="45">
        <f>'Balance'!C21-('Balance'!C58+'Balance'!C35)</f>
        <v/>
      </c>
      <c r="D6" s="45">
        <f>'Balance'!D21-('Balance'!D58+'Balance'!D35)</f>
        <v/>
      </c>
      <c r="E6" s="45">
        <f>'Balance'!E21-('Balance'!E58+'Balance'!E35)</f>
        <v/>
      </c>
      <c r="F6" s="45">
        <f>'Balance'!F21-('Balance'!F58+'Balance'!F35)</f>
        <v/>
      </c>
      <c r="G6" s="45">
        <f>'Balance'!G21-('Balance'!G58+'Balance'!G35)</f>
        <v/>
      </c>
      <c r="H6" s="45">
        <f>'Balance'!H21-('Balance'!H58+'Balance'!H35)</f>
        <v/>
      </c>
      <c r="I6" s="45">
        <f>'Balance'!I21-('Balance'!I58+'Balance'!I35)</f>
        <v/>
      </c>
      <c r="J6" s="45">
        <f>'Balance'!J21-('Balance'!J58+'Balance'!J35)</f>
        <v/>
      </c>
      <c r="K6" s="45">
        <f>'Balance'!K21-('Balance'!K58+'Balance'!K35)</f>
        <v/>
      </c>
      <c r="L6" s="45">
        <f>'Balance'!L21-('Balance'!L58+'Balance'!L35)</f>
        <v/>
      </c>
      <c r="M6" s="45">
        <f>'Balance'!M21-('Balance'!M58+'Balance'!M35)</f>
        <v/>
      </c>
      <c r="N6" s="45">
        <f>'Balance'!N21-('Balance'!N58+'Balance'!N35)</f>
        <v/>
      </c>
      <c r="O6" s="45">
        <f>'Balance'!O21-('Balance'!O58+'Balance'!O35)</f>
        <v/>
      </c>
      <c r="P6" s="45">
        <f>'Balance'!P21-('Balance'!P58+'Balance'!P35)</f>
        <v/>
      </c>
      <c r="Q6" s="45">
        <f>'Balance'!Q21-('Balance'!Q58+'Balance'!Q35)</f>
        <v/>
      </c>
      <c r="R6" s="45">
        <f>'Balance'!R21-('Balance'!R58+'Balance'!R35)</f>
        <v/>
      </c>
      <c r="S6" s="45">
        <f>'Balance'!S21-('Balance'!S58+'Balance'!S35)</f>
        <v/>
      </c>
      <c r="T6" s="45">
        <f>'Balance'!T21-('Balance'!T58+'Balance'!T35)</f>
        <v/>
      </c>
      <c r="U6" s="45">
        <f>'Balance'!U21-('Balance'!U58+'Balance'!U35)</f>
        <v/>
      </c>
      <c r="V6" s="45">
        <f>'Balance'!V21-('Balance'!V58+'Balance'!V35)</f>
        <v/>
      </c>
      <c r="W6" s="45">
        <f>'Balance'!W21-('Balance'!W58+'Balance'!W35)</f>
        <v/>
      </c>
      <c r="X6" s="45">
        <f>'Balance'!X21-('Balance'!X58+'Balance'!X35)</f>
        <v/>
      </c>
      <c r="Y6" s="45">
        <f>'Balance'!Y21-('Balance'!Y58+'Balance'!Y35)</f>
        <v/>
      </c>
      <c r="Z6" s="45">
        <f>'Balance'!Z21-('Balance'!Z58+'Balance'!Z35)</f>
        <v/>
      </c>
      <c r="AA6" s="45">
        <f>'Balance'!AA21-('Balance'!AA58+'Balance'!AA35)</f>
        <v/>
      </c>
      <c r="AC6" s="45">
        <f>'Balance'!AC21-('Balance'!AC58+'Balance'!AC35)</f>
        <v/>
      </c>
      <c r="AD6" s="45">
        <f>'Balance'!AD21-('Balance'!AD58+'Balance'!AD35)</f>
        <v/>
      </c>
      <c r="AE6" s="45">
        <f>'Balance'!AE21-('Balance'!AE58+'Balance'!AE35)</f>
        <v/>
      </c>
      <c r="AF6" s="45">
        <f>'Balance'!AF21-('Balance'!AF58+'Balance'!AF35)</f>
        <v/>
      </c>
      <c r="AG6" s="45">
        <f>'Balance'!AG21-('Balance'!AG58+'Balance'!AG35)</f>
        <v/>
      </c>
      <c r="AH6" s="45">
        <f>'Balance'!AH21-('Balance'!AH58+'Balance'!AH35)</f>
        <v/>
      </c>
      <c r="AI6" s="45">
        <f>'Balance'!AI21-('Balance'!AI58+'Balance'!AI35)</f>
        <v/>
      </c>
    </row>
    <row r="7" spans="1:35">
      <c r="A7" s="42" t="s">
        <v>723</v>
      </c>
      <c r="B7" s="45">
        <f>'Balance'!B21-('Balance'!B20+'Balance'!B12)</f>
        <v/>
      </c>
      <c r="C7" s="45">
        <f>'Balance'!C21-('Balance'!C20+'Balance'!C12)</f>
        <v/>
      </c>
      <c r="D7" s="45">
        <f>'Balance'!D21-('Balance'!D20+'Balance'!D12)</f>
        <v/>
      </c>
      <c r="E7" s="45">
        <f>'Balance'!E21-('Balance'!E20+'Balance'!E12)</f>
        <v/>
      </c>
      <c r="F7" s="45">
        <f>'Balance'!F21-('Balance'!F20+'Balance'!F12)</f>
        <v/>
      </c>
      <c r="G7" s="45">
        <f>'Balance'!G21-('Balance'!G20+'Balance'!G12)</f>
        <v/>
      </c>
      <c r="H7" s="45">
        <f>'Balance'!H21-('Balance'!H20+'Balance'!H12)</f>
        <v/>
      </c>
      <c r="I7" s="45">
        <f>'Balance'!I21-('Balance'!I20+'Balance'!I12)</f>
        <v/>
      </c>
      <c r="J7" s="45">
        <f>'Balance'!J21-('Balance'!J20+'Balance'!J12)</f>
        <v/>
      </c>
      <c r="K7" s="45">
        <f>'Balance'!K21-('Balance'!K20+'Balance'!K12)</f>
        <v/>
      </c>
      <c r="L7" s="45">
        <f>'Balance'!L21-('Balance'!L20+'Balance'!L12)</f>
        <v/>
      </c>
      <c r="M7" s="45">
        <f>'Balance'!M21-('Balance'!M20+'Balance'!M12)</f>
        <v/>
      </c>
      <c r="N7" s="45">
        <f>'Balance'!N21-('Balance'!N20+'Balance'!N12)</f>
        <v/>
      </c>
      <c r="O7" s="45">
        <f>'Balance'!O21-('Balance'!O20+'Balance'!O12)</f>
        <v/>
      </c>
      <c r="P7" s="45">
        <f>'Balance'!P21-('Balance'!P20+'Balance'!P12)</f>
        <v/>
      </c>
      <c r="Q7" s="45">
        <f>'Balance'!Q21-('Balance'!Q20+'Balance'!Q12)</f>
        <v/>
      </c>
      <c r="R7" s="45">
        <f>'Balance'!R21-('Balance'!R20+'Balance'!R12)</f>
        <v/>
      </c>
      <c r="S7" s="45">
        <f>'Balance'!S21-('Balance'!S20+'Balance'!S12)</f>
        <v/>
      </c>
      <c r="T7" s="45">
        <f>'Balance'!T21-('Balance'!T20+'Balance'!T12)</f>
        <v/>
      </c>
      <c r="U7" s="45">
        <f>'Balance'!U21-('Balance'!U20+'Balance'!U12)</f>
        <v/>
      </c>
      <c r="V7" s="45">
        <f>'Balance'!V21-('Balance'!V20+'Balance'!V12)</f>
        <v/>
      </c>
      <c r="W7" s="45">
        <f>'Balance'!W21-('Balance'!W20+'Balance'!W12)</f>
        <v/>
      </c>
      <c r="X7" s="45">
        <f>'Balance'!X21-('Balance'!X20+'Balance'!X12)</f>
        <v/>
      </c>
      <c r="Y7" s="45">
        <f>'Balance'!Y21-('Balance'!Y20+'Balance'!Y12)</f>
        <v/>
      </c>
      <c r="Z7" s="45">
        <f>'Balance'!Z21-('Balance'!Z20+'Balance'!Z12)</f>
        <v/>
      </c>
      <c r="AA7" s="45">
        <f>'Balance'!AA21-('Balance'!AA20+'Balance'!AA12)</f>
        <v/>
      </c>
      <c r="AC7" s="45">
        <f>'Balance'!AC21-('Balance'!AC20+'Balance'!AC12)</f>
        <v/>
      </c>
      <c r="AD7" s="45">
        <f>'Balance'!AD21-('Balance'!AD20+'Balance'!AD12)</f>
        <v/>
      </c>
      <c r="AE7" s="45">
        <f>'Balance'!AE21-('Balance'!AE20+'Balance'!AE12)</f>
        <v/>
      </c>
      <c r="AF7" s="45">
        <f>'Balance'!AF21-('Balance'!AF20+'Balance'!AF12)</f>
        <v/>
      </c>
      <c r="AG7" s="45">
        <f>'Balance'!AG21-('Balance'!AG20+'Balance'!AG12)</f>
        <v/>
      </c>
      <c r="AH7" s="45">
        <f>'Balance'!AH21-('Balance'!AH20+'Balance'!AH12)</f>
        <v/>
      </c>
      <c r="AI7" s="45">
        <f>'Balance'!AI21-('Balance'!AI20+'Balance'!AI12)</f>
        <v/>
      </c>
    </row>
    <row r="8" spans="1:35">
      <c r="A8" s="42" t="s">
        <v>724</v>
      </c>
      <c r="B8" s="45">
        <f>'Balance'!B58-('Balance'!B57+'Balance'!B46)</f>
        <v/>
      </c>
      <c r="C8" s="45">
        <f>'Balance'!C58-('Balance'!C57+'Balance'!C46)</f>
        <v/>
      </c>
      <c r="D8" s="45">
        <f>'Balance'!D58-('Balance'!D57+'Balance'!D46)</f>
        <v/>
      </c>
      <c r="E8" s="45">
        <f>'Balance'!E58-('Balance'!E57+'Balance'!E46)</f>
        <v/>
      </c>
      <c r="F8" s="45">
        <f>'Balance'!F58-('Balance'!F57+'Balance'!F46)</f>
        <v/>
      </c>
      <c r="G8" s="45">
        <f>'Balance'!G58-('Balance'!G57+'Balance'!G46)</f>
        <v/>
      </c>
      <c r="H8" s="45">
        <f>'Balance'!H58-('Balance'!H57+'Balance'!H46)</f>
        <v/>
      </c>
      <c r="I8" s="45">
        <f>'Balance'!I58-('Balance'!I57+'Balance'!I46)</f>
        <v/>
      </c>
      <c r="J8" s="45">
        <f>'Balance'!J58-('Balance'!J57+'Balance'!J46)</f>
        <v/>
      </c>
      <c r="K8" s="45">
        <f>'Balance'!K58-('Balance'!K57+'Balance'!K46)</f>
        <v/>
      </c>
      <c r="L8" s="45">
        <f>'Balance'!L58-('Balance'!L57+'Balance'!L46)</f>
        <v/>
      </c>
      <c r="M8" s="45">
        <f>'Balance'!M58-('Balance'!M57+'Balance'!M46)</f>
        <v/>
      </c>
      <c r="N8" s="45">
        <f>'Balance'!N58-('Balance'!N57+'Balance'!N46)</f>
        <v/>
      </c>
      <c r="O8" s="45">
        <f>'Balance'!O58-('Balance'!O57+'Balance'!O46)</f>
        <v/>
      </c>
      <c r="P8" s="45">
        <f>'Balance'!P58-('Balance'!P57+'Balance'!P46)</f>
        <v/>
      </c>
      <c r="Q8" s="45">
        <f>'Balance'!Q58-('Balance'!Q57+'Balance'!Q46)</f>
        <v/>
      </c>
      <c r="R8" s="45">
        <f>'Balance'!R58-('Balance'!R57+'Balance'!R46)</f>
        <v/>
      </c>
      <c r="S8" s="45">
        <f>'Balance'!S58-('Balance'!S57+'Balance'!S46)</f>
        <v/>
      </c>
      <c r="T8" s="45">
        <f>'Balance'!T58-('Balance'!T57+'Balance'!T46)</f>
        <v/>
      </c>
      <c r="U8" s="45">
        <f>'Balance'!U58-('Balance'!U57+'Balance'!U46)</f>
        <v/>
      </c>
      <c r="V8" s="45">
        <f>'Balance'!V58-('Balance'!V57+'Balance'!V46)</f>
        <v/>
      </c>
      <c r="W8" s="45">
        <f>'Balance'!W58-('Balance'!W57+'Balance'!W46)</f>
        <v/>
      </c>
      <c r="X8" s="45">
        <f>'Balance'!X58-('Balance'!X57+'Balance'!X46)</f>
        <v/>
      </c>
      <c r="Y8" s="45">
        <f>'Balance'!Y58-('Balance'!Y57+'Balance'!Y46)</f>
        <v/>
      </c>
      <c r="Z8" s="45">
        <f>'Balance'!Z58-('Balance'!Z57+'Balance'!Z46)</f>
        <v/>
      </c>
      <c r="AA8" s="45">
        <f>'Balance'!AA58-('Balance'!AA57+'Balance'!AA46)</f>
        <v/>
      </c>
      <c r="AC8" s="45">
        <f>'Balance'!AC58-('Balance'!AC57+'Balance'!AC46)</f>
        <v/>
      </c>
      <c r="AD8" s="45">
        <f>'Balance'!AD58-('Balance'!AD57+'Balance'!AD46)</f>
        <v/>
      </c>
      <c r="AE8" s="45">
        <f>'Balance'!AE58-('Balance'!AE57+'Balance'!AE46)</f>
        <v/>
      </c>
      <c r="AF8" s="45">
        <f>'Balance'!AF58-('Balance'!AF57+'Balance'!AF46)</f>
        <v/>
      </c>
      <c r="AG8" s="45">
        <f>'Balance'!AG58-('Balance'!AG57+'Balance'!AG46)</f>
        <v/>
      </c>
      <c r="AH8" s="45">
        <f>'Balance'!AH58-('Balance'!AH57+'Balance'!AH46)</f>
        <v/>
      </c>
      <c r="AI8" s="45">
        <f>'Balance'!AI58-('Balance'!AI57+'Balance'!AI46)</f>
        <v/>
      </c>
    </row>
    <row r="10" spans="1:35">
      <c r="A10" s="5" t="s">
        <v>725</v>
      </c>
    </row>
    <row r="11" spans="1:35">
      <c r="A11" s="42" t="s">
        <v>726</v>
      </c>
      <c r="B11" s="45">
        <f>'Resultados'!B7-('Resultados'!B5+'Resultados'!B6)</f>
        <v/>
      </c>
      <c r="C11" s="45">
        <f>'Resultados'!C7-('Resultados'!C5+'Resultados'!C6)</f>
        <v/>
      </c>
      <c r="D11" s="45">
        <f>'Resultados'!D7-('Resultados'!D5+'Resultados'!D6)</f>
        <v/>
      </c>
      <c r="E11" s="45">
        <f>'Resultados'!E7-('Resultados'!E5+'Resultados'!E6)</f>
        <v/>
      </c>
      <c r="F11" s="45">
        <f>'Resultados'!F7-('Resultados'!F5+'Resultados'!F6)</f>
        <v/>
      </c>
      <c r="G11" s="45">
        <f>'Resultados'!G7-('Resultados'!G5+'Resultados'!G6)</f>
        <v/>
      </c>
      <c r="H11" s="45">
        <f>'Resultados'!H7-('Resultados'!H5+'Resultados'!H6)</f>
        <v/>
      </c>
      <c r="I11" s="45">
        <f>'Resultados'!I7-('Resultados'!I5+'Resultados'!I6)</f>
        <v/>
      </c>
      <c r="J11" s="45">
        <f>'Resultados'!J7-('Resultados'!J5+'Resultados'!J6)</f>
        <v/>
      </c>
      <c r="K11" s="45">
        <f>'Resultados'!K7-('Resultados'!K5+'Resultados'!K6)</f>
        <v/>
      </c>
      <c r="L11" s="45">
        <f>'Resultados'!L7-('Resultados'!L5+'Resultados'!L6)</f>
        <v/>
      </c>
      <c r="M11" s="45">
        <f>'Resultados'!M7-('Resultados'!M5+'Resultados'!M6)</f>
        <v/>
      </c>
      <c r="N11" s="45">
        <f>'Resultados'!N7-('Resultados'!N5+'Resultados'!N6)</f>
        <v/>
      </c>
      <c r="O11" s="45">
        <f>'Resultados'!O7-('Resultados'!O5+'Resultados'!O6)</f>
        <v/>
      </c>
      <c r="P11" s="45">
        <f>'Resultados'!P7-('Resultados'!P5+'Resultados'!P6)</f>
        <v/>
      </c>
      <c r="Q11" s="45">
        <f>'Resultados'!Q7-('Resultados'!Q5+'Resultados'!Q6)</f>
        <v/>
      </c>
      <c r="R11" s="45">
        <f>'Resultados'!R7-('Resultados'!R5+'Resultados'!R6)</f>
        <v/>
      </c>
      <c r="S11" s="45">
        <f>'Resultados'!S7-('Resultados'!S5+'Resultados'!S6)</f>
        <v/>
      </c>
      <c r="T11" s="45">
        <f>'Resultados'!T7-('Resultados'!T5+'Resultados'!T6)</f>
        <v/>
      </c>
      <c r="U11" s="45">
        <f>'Resultados'!U7-('Resultados'!U5+'Resultados'!U6)</f>
        <v/>
      </c>
      <c r="V11" s="45">
        <f>'Resultados'!V7-('Resultados'!V5+'Resultados'!V6)</f>
        <v/>
      </c>
      <c r="W11" s="45">
        <f>'Resultados'!W7-('Resultados'!W5+'Resultados'!W6)</f>
        <v/>
      </c>
      <c r="X11" s="45">
        <f>'Resultados'!X7-('Resultados'!X5+'Resultados'!X6)</f>
        <v/>
      </c>
      <c r="Y11" s="45">
        <f>'Resultados'!Y7-('Resultados'!Y5+'Resultados'!Y6)</f>
        <v/>
      </c>
      <c r="Z11" s="45">
        <f>'Resultados'!Z7-('Resultados'!Z5+'Resultados'!Z6)</f>
        <v/>
      </c>
      <c r="AA11" s="45">
        <f>'Resultados'!AA7-('Resultados'!AA5+'Resultados'!AA6)</f>
        <v/>
      </c>
      <c r="AC11" s="45">
        <f>'Resultados'!AC7-('Resultados'!AC5+'Resultados'!AC6)</f>
        <v/>
      </c>
      <c r="AD11" s="45">
        <f>'Resultados'!AD7-('Resultados'!AD5+'Resultados'!AD6)</f>
        <v/>
      </c>
      <c r="AE11" s="45">
        <f>'Resultados'!AE7-('Resultados'!AE5+'Resultados'!AE6)</f>
        <v/>
      </c>
      <c r="AF11" s="45">
        <f>'Resultados'!AF7-('Resultados'!AF5+'Resultados'!AF6)</f>
        <v/>
      </c>
      <c r="AG11" s="45">
        <f>'Resultados'!AG7-('Resultados'!AG5+'Resultados'!AG6)</f>
        <v/>
      </c>
      <c r="AH11" s="45">
        <f>'Resultados'!AH7-('Resultados'!AH5+'Resultados'!AH6)</f>
        <v/>
      </c>
      <c r="AI11" s="45">
        <f>'Resultados'!AI7-('Resultados'!AI5+'Resultados'!AI6)</f>
        <v/>
      </c>
    </row>
    <row r="12" spans="1:35">
      <c r="A12" s="42" t="s">
        <v>727</v>
      </c>
      <c r="B12" s="45">
        <f>'Resultados'!B21-('Resultados'!B19+'Resultados'!B20)</f>
        <v/>
      </c>
      <c r="C12" s="45">
        <f>'Resultados'!C21-('Resultados'!C19+'Resultados'!C20)</f>
        <v/>
      </c>
      <c r="D12" s="45">
        <f>'Resultados'!D21-('Resultados'!D19+'Resultados'!D20)</f>
        <v/>
      </c>
      <c r="E12" s="45">
        <f>'Resultados'!E21-('Resultados'!E19+'Resultados'!E20)</f>
        <v/>
      </c>
      <c r="F12" s="45">
        <f>'Resultados'!F21-('Resultados'!F19+'Resultados'!F20)</f>
        <v/>
      </c>
      <c r="G12" s="45">
        <f>'Resultados'!G21-('Resultados'!G19+'Resultados'!G20)</f>
        <v/>
      </c>
      <c r="H12" s="45">
        <f>'Resultados'!H21-('Resultados'!H19+'Resultados'!H20)</f>
        <v/>
      </c>
      <c r="I12" s="45">
        <f>'Resultados'!I21-('Resultados'!I19+'Resultados'!I20)</f>
        <v/>
      </c>
      <c r="J12" s="45">
        <f>'Resultados'!J21-('Resultados'!J19+'Resultados'!J20)</f>
        <v/>
      </c>
      <c r="K12" s="45">
        <f>'Resultados'!K21-('Resultados'!K19+'Resultados'!K20)</f>
        <v/>
      </c>
      <c r="L12" s="45">
        <f>'Resultados'!L21-('Resultados'!L19+'Resultados'!L20)</f>
        <v/>
      </c>
      <c r="M12" s="45">
        <f>'Resultados'!M21-('Resultados'!M19+'Resultados'!M20)</f>
        <v/>
      </c>
      <c r="N12" s="45">
        <f>'Resultados'!N21-('Resultados'!N19+'Resultados'!N20)</f>
        <v/>
      </c>
      <c r="O12" s="45">
        <f>'Resultados'!O21-('Resultados'!O19+'Resultados'!O20)</f>
        <v/>
      </c>
      <c r="P12" s="45">
        <f>'Resultados'!P21-('Resultados'!P19+'Resultados'!P20)</f>
        <v/>
      </c>
      <c r="Q12" s="45">
        <f>'Resultados'!Q21-('Resultados'!Q19+'Resultados'!Q20)</f>
        <v/>
      </c>
      <c r="R12" s="45">
        <f>'Resultados'!R21-('Resultados'!R19+'Resultados'!R20)</f>
        <v/>
      </c>
      <c r="S12" s="45">
        <f>'Resultados'!S21-('Resultados'!S19+'Resultados'!S20)</f>
        <v/>
      </c>
      <c r="T12" s="45">
        <f>'Resultados'!T21-('Resultados'!T19+'Resultados'!T20)</f>
        <v/>
      </c>
      <c r="U12" s="45">
        <f>'Resultados'!U21-('Resultados'!U19+'Resultados'!U20)</f>
        <v/>
      </c>
      <c r="V12" s="45">
        <f>'Resultados'!V21-('Resultados'!V19+'Resultados'!V20)</f>
        <v/>
      </c>
      <c r="W12" s="45">
        <f>'Resultados'!W21-('Resultados'!W19+'Resultados'!W20)</f>
        <v/>
      </c>
      <c r="X12" s="45">
        <f>'Resultados'!X21-('Resultados'!X19+'Resultados'!X20)</f>
        <v/>
      </c>
      <c r="Y12" s="45">
        <f>'Resultados'!Y21-('Resultados'!Y19+'Resultados'!Y20)</f>
        <v/>
      </c>
      <c r="Z12" s="45">
        <f>'Resultados'!Z21-('Resultados'!Z19+'Resultados'!Z20)</f>
        <v/>
      </c>
      <c r="AA12" s="45">
        <f>'Resultados'!AA21-('Resultados'!AA19+'Resultados'!AA20)</f>
        <v/>
      </c>
      <c r="AC12" s="45">
        <f>'Resultados'!AC21-('Resultados'!AC19+'Resultados'!AC20)</f>
        <v/>
      </c>
      <c r="AD12" s="45">
        <f>'Resultados'!AD21-('Resultados'!AD19+'Resultados'!AD20)</f>
        <v/>
      </c>
      <c r="AE12" s="45">
        <f>'Resultados'!AE21-('Resultados'!AE19+'Resultados'!AE20)</f>
        <v/>
      </c>
      <c r="AF12" s="45">
        <f>'Resultados'!AF21-('Resultados'!AF19+'Resultados'!AF20)</f>
        <v/>
      </c>
      <c r="AG12" s="45">
        <f>'Resultados'!AG21-('Resultados'!AG19+'Resultados'!AG20)</f>
        <v/>
      </c>
      <c r="AH12" s="45">
        <f>'Resultados'!AH21-('Resultados'!AH19+'Resultados'!AH20)</f>
        <v/>
      </c>
      <c r="AI12" s="45">
        <f>'Resultados'!AI21-('Resultados'!AI19+'Resultados'!AI20)</f>
        <v/>
      </c>
    </row>
    <row r="13" spans="1:35">
      <c r="A13" s="42" t="s">
        <v>728</v>
      </c>
      <c r="B13" s="45">
        <f>'Resultados'!B21-('Resultados'!B26+'Resultados'!B27)</f>
        <v/>
      </c>
      <c r="C13" s="45">
        <f>'Resultados'!C21-('Resultados'!C26+'Resultados'!C27)</f>
        <v/>
      </c>
      <c r="D13" s="45">
        <f>'Resultados'!D21-('Resultados'!D26+'Resultados'!D27)</f>
        <v/>
      </c>
      <c r="E13" s="45">
        <f>'Resultados'!E21-('Resultados'!E26+'Resultados'!E27)</f>
        <v/>
      </c>
      <c r="F13" s="45">
        <f>'Resultados'!F21-('Resultados'!F26+'Resultados'!F27)</f>
        <v/>
      </c>
      <c r="G13" s="45">
        <f>'Resultados'!G21-('Resultados'!G26+'Resultados'!G27)</f>
        <v/>
      </c>
      <c r="H13" s="45">
        <f>'Resultados'!H21-('Resultados'!H26+'Resultados'!H27)</f>
        <v/>
      </c>
      <c r="I13" s="45">
        <f>'Resultados'!I21-('Resultados'!I26+'Resultados'!I27)</f>
        <v/>
      </c>
      <c r="J13" s="45">
        <f>'Resultados'!J21-('Resultados'!J26+'Resultados'!J27)</f>
        <v/>
      </c>
      <c r="K13" s="45">
        <f>'Resultados'!K21-('Resultados'!K26+'Resultados'!K27)</f>
        <v/>
      </c>
      <c r="L13" s="45">
        <f>'Resultados'!L21-('Resultados'!L26+'Resultados'!L27)</f>
        <v/>
      </c>
      <c r="M13" s="45">
        <f>'Resultados'!M21-('Resultados'!M26+'Resultados'!M27)</f>
        <v/>
      </c>
      <c r="N13" s="45">
        <f>'Resultados'!N21-('Resultados'!N26+'Resultados'!N27)</f>
        <v/>
      </c>
      <c r="O13" s="45">
        <f>'Resultados'!O21-('Resultados'!O26+'Resultados'!O27)</f>
        <v/>
      </c>
      <c r="P13" s="45">
        <f>'Resultados'!P21-('Resultados'!P26+'Resultados'!P27)</f>
        <v/>
      </c>
      <c r="Q13" s="45">
        <f>'Resultados'!Q21-('Resultados'!Q26+'Resultados'!Q27)</f>
        <v/>
      </c>
      <c r="R13" s="45">
        <f>'Resultados'!R21-('Resultados'!R26+'Resultados'!R27)</f>
        <v/>
      </c>
      <c r="S13" s="45">
        <f>'Resultados'!S21-('Resultados'!S26+'Resultados'!S27)</f>
        <v/>
      </c>
      <c r="T13" s="45">
        <f>'Resultados'!T21-('Resultados'!T26+'Resultados'!T27)</f>
        <v/>
      </c>
      <c r="U13" s="45">
        <f>'Resultados'!U21-('Resultados'!U26+'Resultados'!U27)</f>
        <v/>
      </c>
      <c r="V13" s="45">
        <f>'Resultados'!V21-('Resultados'!V26+'Resultados'!V27)</f>
        <v/>
      </c>
      <c r="W13" s="45">
        <f>'Resultados'!W21-('Resultados'!W26+'Resultados'!W27)</f>
        <v/>
      </c>
      <c r="X13" s="45">
        <f>'Resultados'!X21-('Resultados'!X26+'Resultados'!X27)</f>
        <v/>
      </c>
      <c r="Y13" s="45">
        <f>'Resultados'!Y21-('Resultados'!Y26+'Resultados'!Y27)</f>
        <v/>
      </c>
      <c r="Z13" s="45">
        <f>'Resultados'!Z21-('Resultados'!Z26+'Resultados'!Z27)</f>
        <v/>
      </c>
      <c r="AA13" s="45">
        <f>'Resultados'!AA21-('Resultados'!AA26+'Resultados'!AA27)</f>
        <v/>
      </c>
      <c r="AC13" s="45">
        <f>'Resultados'!AC21-('Resultados'!AC26+'Resultados'!AC27)</f>
        <v/>
      </c>
      <c r="AD13" s="45">
        <f>'Resultados'!AD21-('Resultados'!AD26+'Resultados'!AD27)</f>
        <v/>
      </c>
      <c r="AE13" s="45">
        <f>'Resultados'!AE21-('Resultados'!AE26+'Resultados'!AE27)</f>
        <v/>
      </c>
      <c r="AF13" s="45">
        <f>'Resultados'!AF21-('Resultados'!AF26+'Resultados'!AF27)</f>
        <v/>
      </c>
      <c r="AG13" s="45">
        <f>'Resultados'!AG21-('Resultados'!AG26+'Resultados'!AG27)</f>
        <v/>
      </c>
      <c r="AH13" s="45">
        <f>'Resultados'!AH21-('Resultados'!AH26+'Resultados'!AH27)</f>
        <v/>
      </c>
      <c r="AI13" s="45">
        <f>'Resultados'!AI21-('Resultados'!AI26+'Resultados'!AI27)</f>
        <v/>
      </c>
    </row>
    <row r="15" spans="1:35">
      <c r="A15" s="5" t="s">
        <v>729</v>
      </c>
    </row>
    <row r="16" spans="1:35">
      <c r="A16" s="42" t="s">
        <v>730</v>
      </c>
      <c r="B16" s="45">
        <f>'Flujo de efectivo'!B52-('Balance'!B19)</f>
        <v/>
      </c>
      <c r="C16" s="45">
        <f>'Flujo de efectivo'!C52-('Balance'!C19)</f>
        <v/>
      </c>
      <c r="D16" s="45">
        <f>'Flujo de efectivo'!D52-('Balance'!D19)</f>
        <v/>
      </c>
      <c r="E16" s="45">
        <f>'Flujo de efectivo'!E52-('Balance'!E19)</f>
        <v/>
      </c>
      <c r="F16" s="45">
        <f>'Flujo de efectivo'!F52-('Balance'!F19)</f>
        <v/>
      </c>
      <c r="G16" s="45">
        <f>'Flujo de efectivo'!G52-('Balance'!G19)</f>
        <v/>
      </c>
      <c r="H16" s="45">
        <f>'Flujo de efectivo'!H52-('Balance'!H19)</f>
        <v/>
      </c>
      <c r="I16" s="45">
        <f>'Flujo de efectivo'!I52-('Balance'!I19)</f>
        <v/>
      </c>
      <c r="J16" s="45">
        <f>'Flujo de efectivo'!J52-('Balance'!J19)</f>
        <v/>
      </c>
      <c r="K16" s="45">
        <f>'Flujo de efectivo'!K52-('Balance'!K19)</f>
        <v/>
      </c>
      <c r="L16" s="45">
        <f>'Flujo de efectivo'!L52-('Balance'!L19)</f>
        <v/>
      </c>
      <c r="M16" s="45">
        <f>'Flujo de efectivo'!M52-('Balance'!M19)</f>
        <v/>
      </c>
      <c r="N16" s="45">
        <f>'Flujo de efectivo'!N52-('Balance'!N19)</f>
        <v/>
      </c>
      <c r="O16" s="45">
        <f>'Flujo de efectivo'!O52-('Balance'!O19)</f>
        <v/>
      </c>
      <c r="P16" s="45">
        <f>'Flujo de efectivo'!P52-('Balance'!P19)</f>
        <v/>
      </c>
      <c r="Q16" s="45">
        <f>'Flujo de efectivo'!Q52-('Balance'!Q19)</f>
        <v/>
      </c>
      <c r="R16" s="45">
        <f>'Flujo de efectivo'!R52-('Balance'!R19)</f>
        <v/>
      </c>
      <c r="S16" s="45">
        <f>'Flujo de efectivo'!S52-('Balance'!S19)</f>
        <v/>
      </c>
      <c r="T16" s="45">
        <f>'Flujo de efectivo'!T52-('Balance'!T19)</f>
        <v/>
      </c>
      <c r="U16" s="45">
        <f>'Flujo de efectivo'!U52-('Balance'!U19)</f>
        <v/>
      </c>
      <c r="V16" s="45">
        <f>'Flujo de efectivo'!V52-('Balance'!V19)</f>
        <v/>
      </c>
      <c r="W16" s="45">
        <f>'Flujo de efectivo'!W52-('Balance'!W19)</f>
        <v/>
      </c>
      <c r="X16" s="45">
        <f>'Flujo de efectivo'!X52-('Balance'!X19)</f>
        <v/>
      </c>
      <c r="Y16" s="45">
        <f>'Flujo de efectivo'!Y52-('Balance'!Y19)</f>
        <v/>
      </c>
      <c r="Z16" s="45">
        <f>'Flujo de efectivo'!Z52-('Balance'!Z19)</f>
        <v/>
      </c>
      <c r="AA16" s="45">
        <f>'Flujo de efectivo'!AA52-('Balance'!AA19)</f>
        <v/>
      </c>
      <c r="AC16" s="45">
        <f>'Flujo de efectivo'!AC52-('Balance'!AC19)</f>
        <v/>
      </c>
      <c r="AD16" s="45">
        <f>'Flujo de efectivo'!AD52-('Balance'!AD19)</f>
        <v/>
      </c>
      <c r="AE16" s="45">
        <f>'Flujo de efectivo'!AE52-('Balance'!AE19)</f>
        <v/>
      </c>
      <c r="AF16" s="45">
        <f>'Flujo de efectivo'!AF52-('Balance'!AF19)</f>
        <v/>
      </c>
      <c r="AG16" s="45">
        <f>'Flujo de efectivo'!AG52-('Balance'!AG19)</f>
        <v/>
      </c>
      <c r="AH16" s="45">
        <f>'Flujo de efectivo'!AH52-('Balance'!AH19)</f>
        <v/>
      </c>
      <c r="AI16" s="45">
        <f>'Flujo de efectivo'!AI52-('Balance'!AI19)</f>
        <v/>
      </c>
    </row>
    <row r="17" spans="1:37">
      <c r="A17" s="42" t="s">
        <v>731</v>
      </c>
      <c r="B17" s="45">
        <f>'Flujo de efectivo'!B33+'Flujo de efectivo'!B40+'Flujo de efectivo'!B48+'Flujo de efectivo'!B49-('Flujo de efectivo'!B50)</f>
        <v/>
      </c>
      <c r="C17" s="45">
        <f>'Flujo de efectivo'!C33+'Flujo de efectivo'!C40+'Flujo de efectivo'!C48+'Flujo de efectivo'!C49-('Flujo de efectivo'!C50)</f>
        <v/>
      </c>
      <c r="D17" s="45">
        <f>'Flujo de efectivo'!D33+'Flujo de efectivo'!D40+'Flujo de efectivo'!D48+'Flujo de efectivo'!D49-('Flujo de efectivo'!D50)</f>
        <v/>
      </c>
      <c r="E17" s="45">
        <f>'Flujo de efectivo'!E33+'Flujo de efectivo'!E40+'Flujo de efectivo'!E48+'Flujo de efectivo'!E49-('Flujo de efectivo'!E50)</f>
        <v/>
      </c>
      <c r="F17" s="45">
        <f>'Flujo de efectivo'!F33+'Flujo de efectivo'!F40+'Flujo de efectivo'!F48+'Flujo de efectivo'!F49-('Flujo de efectivo'!F50)</f>
        <v/>
      </c>
      <c r="G17" s="45">
        <f>'Flujo de efectivo'!G33+'Flujo de efectivo'!G40+'Flujo de efectivo'!G48+'Flujo de efectivo'!G49-('Flujo de efectivo'!G50)</f>
        <v/>
      </c>
      <c r="H17" s="45">
        <f>'Flujo de efectivo'!H33+'Flujo de efectivo'!H40+'Flujo de efectivo'!H48+'Flujo de efectivo'!H49-('Flujo de efectivo'!H50)</f>
        <v/>
      </c>
      <c r="I17" s="45">
        <f>'Flujo de efectivo'!I33+'Flujo de efectivo'!I40+'Flujo de efectivo'!I48+'Flujo de efectivo'!I49-('Flujo de efectivo'!I50)</f>
        <v/>
      </c>
      <c r="J17" s="45">
        <f>'Flujo de efectivo'!J33+'Flujo de efectivo'!J40+'Flujo de efectivo'!J48+'Flujo de efectivo'!J49-('Flujo de efectivo'!J50)</f>
        <v/>
      </c>
      <c r="K17" s="45">
        <f>'Flujo de efectivo'!K33+'Flujo de efectivo'!K40+'Flujo de efectivo'!K48+'Flujo de efectivo'!K49-('Flujo de efectivo'!K50)</f>
        <v/>
      </c>
      <c r="L17" s="45">
        <f>'Flujo de efectivo'!L33+'Flujo de efectivo'!L40+'Flujo de efectivo'!L48+'Flujo de efectivo'!L49-('Flujo de efectivo'!L50)</f>
        <v/>
      </c>
      <c r="M17" s="45">
        <f>'Flujo de efectivo'!M33+'Flujo de efectivo'!M40+'Flujo de efectivo'!M48+'Flujo de efectivo'!M49-('Flujo de efectivo'!M50)</f>
        <v/>
      </c>
      <c r="N17" s="45">
        <f>'Flujo de efectivo'!N33+'Flujo de efectivo'!N40+'Flujo de efectivo'!N48+'Flujo de efectivo'!N49-('Flujo de efectivo'!N50)</f>
        <v/>
      </c>
      <c r="O17" s="45">
        <f>'Flujo de efectivo'!O33+'Flujo de efectivo'!O40+'Flujo de efectivo'!O48+'Flujo de efectivo'!O49-('Flujo de efectivo'!O50)</f>
        <v/>
      </c>
      <c r="P17" s="45">
        <f>'Flujo de efectivo'!P33+'Flujo de efectivo'!P40+'Flujo de efectivo'!P48+'Flujo de efectivo'!P49-('Flujo de efectivo'!P50)</f>
        <v/>
      </c>
      <c r="Q17" s="45">
        <f>'Flujo de efectivo'!Q33+'Flujo de efectivo'!Q40+'Flujo de efectivo'!Q48+'Flujo de efectivo'!Q49-('Flujo de efectivo'!Q50)</f>
        <v/>
      </c>
      <c r="R17" s="45">
        <f>'Flujo de efectivo'!R33+'Flujo de efectivo'!R40+'Flujo de efectivo'!R48+'Flujo de efectivo'!R49-('Flujo de efectivo'!R50)</f>
        <v/>
      </c>
      <c r="S17" s="45">
        <f>'Flujo de efectivo'!S33+'Flujo de efectivo'!S40+'Flujo de efectivo'!S48+'Flujo de efectivo'!S49-('Flujo de efectivo'!S50)</f>
        <v/>
      </c>
      <c r="T17" s="45">
        <f>'Flujo de efectivo'!T33+'Flujo de efectivo'!T40+'Flujo de efectivo'!T48+'Flujo de efectivo'!T49-('Flujo de efectivo'!T50)</f>
        <v/>
      </c>
      <c r="U17" s="45">
        <f>'Flujo de efectivo'!U33+'Flujo de efectivo'!U40+'Flujo de efectivo'!U48+'Flujo de efectivo'!U49-('Flujo de efectivo'!U50)</f>
        <v/>
      </c>
      <c r="V17" s="45">
        <f>'Flujo de efectivo'!V33+'Flujo de efectivo'!V40+'Flujo de efectivo'!V48+'Flujo de efectivo'!V49-('Flujo de efectivo'!V50)</f>
        <v/>
      </c>
      <c r="W17" s="45">
        <f>'Flujo de efectivo'!W33+'Flujo de efectivo'!W40+'Flujo de efectivo'!W48+'Flujo de efectivo'!W49-('Flujo de efectivo'!W50)</f>
        <v/>
      </c>
      <c r="X17" s="45">
        <f>'Flujo de efectivo'!X33+'Flujo de efectivo'!X40+'Flujo de efectivo'!X48+'Flujo de efectivo'!X49-('Flujo de efectivo'!X50)</f>
        <v/>
      </c>
      <c r="Y17" s="45">
        <f>'Flujo de efectivo'!Y33+'Flujo de efectivo'!Y40+'Flujo de efectivo'!Y48+'Flujo de efectivo'!Y49-('Flujo de efectivo'!Y50)</f>
        <v/>
      </c>
      <c r="Z17" s="45">
        <f>'Flujo de efectivo'!Z33+'Flujo de efectivo'!Z40+'Flujo de efectivo'!Z48+'Flujo de efectivo'!Z49-('Flujo de efectivo'!Z50)</f>
        <v/>
      </c>
      <c r="AA17" s="45">
        <f>'Flujo de efectivo'!AA33+'Flujo de efectivo'!AA40+'Flujo de efectivo'!AA48+'Flujo de efectivo'!AA49-('Flujo de efectivo'!AA50)</f>
        <v/>
      </c>
      <c r="AC17" s="45">
        <f>'Flujo de efectivo'!AC33+'Flujo de efectivo'!AC40+'Flujo de efectivo'!AC48+'Flujo de efectivo'!AC49-('Flujo de efectivo'!AC50)</f>
        <v/>
      </c>
      <c r="AD17" s="45">
        <f>'Flujo de efectivo'!AD33+'Flujo de efectivo'!AD40+'Flujo de efectivo'!AD48+'Flujo de efectivo'!AD49-('Flujo de efectivo'!AD50)</f>
        <v/>
      </c>
      <c r="AE17" s="45">
        <f>'Flujo de efectivo'!AE33+'Flujo de efectivo'!AE40+'Flujo de efectivo'!AE48+'Flujo de efectivo'!AE49-('Flujo de efectivo'!AE50)</f>
        <v/>
      </c>
      <c r="AF17" s="45">
        <f>'Flujo de efectivo'!AF33+'Flujo de efectivo'!AF40+'Flujo de efectivo'!AF48+'Flujo de efectivo'!AF49-('Flujo de efectivo'!AF50)</f>
        <v/>
      </c>
      <c r="AG17" s="45">
        <f>'Flujo de efectivo'!AG33+'Flujo de efectivo'!AG40+'Flujo de efectivo'!AG48+'Flujo de efectivo'!AG49-('Flujo de efectivo'!AG50)</f>
        <v/>
      </c>
      <c r="AH17" s="45">
        <f>'Flujo de efectivo'!AH33+'Flujo de efectivo'!AH40+'Flujo de efectivo'!AH48+'Flujo de efectivo'!AH49-('Flujo de efectivo'!AH50)</f>
        <v/>
      </c>
      <c r="AI17" s="45">
        <f>'Flujo de efectivo'!AI33+'Flujo de efectivo'!AI40+'Flujo de efectivo'!AI48+'Flujo de efectivo'!AI49-('Flujo de efectivo'!AI50)</f>
        <v/>
      </c>
    </row>
    <row r="18" spans="1:37">
      <c r="A18" s="42" t="s">
        <v>732</v>
      </c>
      <c r="B18" s="45">
        <f>'Flujo de efectivo'!B5-('Resultados'!B21)</f>
        <v/>
      </c>
      <c r="C18" s="45">
        <f>'Flujo de efectivo'!C5-('Resultados'!C21)</f>
        <v/>
      </c>
      <c r="D18" s="45">
        <f>'Flujo de efectivo'!D5-('Resultados'!D21)</f>
        <v/>
      </c>
      <c r="E18" s="45">
        <f>'Flujo de efectivo'!E5-('Resultados'!E21)</f>
        <v/>
      </c>
      <c r="F18" s="45">
        <f>'Flujo de efectivo'!F5-('Resultados'!F21)</f>
        <v/>
      </c>
      <c r="G18" s="45">
        <f>'Flujo de efectivo'!G5-('Resultados'!G21)</f>
        <v/>
      </c>
      <c r="H18" s="45">
        <f>'Flujo de efectivo'!H5-('Resultados'!H21)</f>
        <v/>
      </c>
      <c r="I18" s="45">
        <f>'Flujo de efectivo'!I5-('Resultados'!I21)</f>
        <v/>
      </c>
      <c r="J18" s="45">
        <f>'Flujo de efectivo'!J5-('Resultados'!J21)</f>
        <v/>
      </c>
      <c r="K18" s="45">
        <f>'Flujo de efectivo'!K5-('Resultados'!K21)</f>
        <v/>
      </c>
      <c r="L18" s="45">
        <f>'Flujo de efectivo'!L5-('Resultados'!L21)</f>
        <v/>
      </c>
      <c r="M18" s="45">
        <f>'Flujo de efectivo'!M5-('Resultados'!M21)</f>
        <v/>
      </c>
      <c r="N18" s="45">
        <f>'Flujo de efectivo'!N5-('Resultados'!N21)</f>
        <v/>
      </c>
      <c r="O18" s="45">
        <f>'Flujo de efectivo'!O5-('Resultados'!O21)</f>
        <v/>
      </c>
      <c r="P18" s="45">
        <f>'Flujo de efectivo'!P5-('Resultados'!P21)</f>
        <v/>
      </c>
      <c r="Q18" s="45">
        <f>'Flujo de efectivo'!Q5-('Resultados'!Q21)</f>
        <v/>
      </c>
      <c r="R18" s="45">
        <f>'Flujo de efectivo'!R5-('Resultados'!R21)</f>
        <v/>
      </c>
      <c r="S18" s="45">
        <f>'Flujo de efectivo'!S5-('Resultados'!S21)</f>
        <v/>
      </c>
      <c r="T18" s="45">
        <f>'Flujo de efectivo'!T5-('Resultados'!T21)</f>
        <v/>
      </c>
      <c r="U18" s="45">
        <f>'Flujo de efectivo'!U5-('Resultados'!U21)</f>
        <v/>
      </c>
      <c r="V18" s="45">
        <f>'Flujo de efectivo'!V5-('Resultados'!V21)</f>
        <v/>
      </c>
      <c r="W18" s="45">
        <f>'Flujo de efectivo'!W5-('Resultados'!W21)</f>
        <v/>
      </c>
      <c r="X18" s="45">
        <f>'Flujo de efectivo'!X5-('Resultados'!X21)</f>
        <v/>
      </c>
      <c r="Y18" s="45">
        <f>'Flujo de efectivo'!Y5-('Resultados'!Y21)</f>
        <v/>
      </c>
      <c r="Z18" s="45">
        <f>'Flujo de efectivo'!Z5-('Resultados'!Z21)</f>
        <v/>
      </c>
      <c r="AA18" s="45">
        <f>'Flujo de efectivo'!AA5-('Resultados'!AA21)</f>
        <v/>
      </c>
      <c r="AC18" s="45">
        <f>'Flujo de efectivo'!AC5-('Resultados'!AC21)</f>
        <v/>
      </c>
      <c r="AD18" s="45">
        <f>'Flujo de efectivo'!AD5-('Resultados'!AD21)</f>
        <v/>
      </c>
      <c r="AE18" s="45">
        <f>'Flujo de efectivo'!AE5-('Resultados'!AE21)</f>
        <v/>
      </c>
      <c r="AF18" s="45">
        <f>'Flujo de efectivo'!AF5-('Resultados'!AF21)</f>
        <v/>
      </c>
      <c r="AG18" s="45">
        <f>'Flujo de efectivo'!AG5-('Resultados'!AG21)</f>
        <v/>
      </c>
      <c r="AH18" s="45">
        <f>'Flujo de efectivo'!AH5-('Resultados'!AH21)</f>
        <v/>
      </c>
      <c r="AI18" s="45">
        <f>'Flujo de efectivo'!AI5-('Resultados'!AI21)</f>
        <v/>
      </c>
    </row>
    <row r="20" spans="1:37">
      <c r="A20" s="5" t="s">
        <v>733</v>
      </c>
      <c r="AK20" s="6" t="s">
        <v>734</v>
      </c>
    </row>
    <row r="21" spans="1:37">
      <c r="A21" s="42" t="s">
        <v>735</v>
      </c>
      <c r="AD21" s="45">
        <f>'Resultados'!B5+'Resultados'!C5+'Resultados'!D5+'Resultados'!E5-'Resultados'!AD5</f>
        <v/>
      </c>
      <c r="AE21" s="45">
        <f>'Resultados'!F5+'Resultados'!G5+'Resultados'!H5+'Resultados'!I5-'Resultados'!AE5</f>
        <v/>
      </c>
      <c r="AF21" s="45">
        <f>'Resultados'!J5+'Resultados'!K5+'Resultados'!L5+'Resultados'!M5-'Resultados'!AF5</f>
        <v/>
      </c>
      <c r="AG21" s="45">
        <f>'Resultados'!N5+'Resultados'!O5+'Resultados'!P5+'Resultados'!Q5-'Resultados'!AG5</f>
        <v/>
      </c>
      <c r="AH21" s="45">
        <f>'Resultados'!R5+'Resultados'!S5+'Resultados'!T5+'Resultados'!U5-'Resultados'!AH5</f>
        <v/>
      </c>
      <c r="AI21" s="45">
        <f>'Resultados'!V5+'Resultados'!W5+'Resultados'!X5+'Resultados'!Y5-'Resultados'!AI5</f>
        <v/>
      </c>
    </row>
    <row r="22" spans="1:37">
      <c r="A22" s="42" t="s">
        <v>736</v>
      </c>
      <c r="AD22" s="45">
        <f>'Resultados'!B21+'Resultados'!C21+'Resultados'!D21+'Resultados'!E21-'Resultados'!AD21</f>
        <v/>
      </c>
      <c r="AE22" s="45">
        <f>'Resultados'!F21+'Resultados'!G21+'Resultados'!H21+'Resultados'!I21-'Resultados'!AE21</f>
        <v/>
      </c>
      <c r="AF22" s="45">
        <f>'Resultados'!J21+'Resultados'!K21+'Resultados'!L21+'Resultados'!M21-'Resultados'!AF21</f>
        <v/>
      </c>
      <c r="AG22" s="45">
        <f>'Resultados'!N21+'Resultados'!O21+'Resultados'!P21+'Resultados'!Q21-'Resultados'!AG21</f>
        <v/>
      </c>
      <c r="AH22" s="45">
        <f>'Resultados'!R21+'Resultados'!S21+'Resultados'!T21+'Resultados'!U21-'Resultados'!AH21</f>
        <v/>
      </c>
      <c r="AI22" s="45">
        <f>'Resultados'!V21+'Resultados'!W21+'Resultados'!X21+'Resultados'!Y21-'Resultados'!AI21</f>
        <v/>
      </c>
    </row>
    <row r="23" spans="1:37">
      <c r="A23" s="42" t="s">
        <v>737</v>
      </c>
      <c r="AD23" s="45">
        <f>'Flujo de efectivo'!B33+'Flujo de efectivo'!C33+'Flujo de efectivo'!D33+'Flujo de efectivo'!E33-'Flujo de efectivo'!AD33</f>
        <v/>
      </c>
      <c r="AE23" s="45">
        <f>'Flujo de efectivo'!F33+'Flujo de efectivo'!G33+'Flujo de efectivo'!H33+'Flujo de efectivo'!I33-'Flujo de efectivo'!AE33</f>
        <v/>
      </c>
      <c r="AF23" s="45">
        <f>'Flujo de efectivo'!J33+'Flujo de efectivo'!K33+'Flujo de efectivo'!L33+'Flujo de efectivo'!M33-'Flujo de efectivo'!AF33</f>
        <v/>
      </c>
      <c r="AG23" s="45">
        <f>'Flujo de efectivo'!N33+'Flujo de efectivo'!O33+'Flujo de efectivo'!P33+'Flujo de efectivo'!Q33-'Flujo de efectivo'!AG33</f>
        <v/>
      </c>
      <c r="AH23" s="45">
        <f>'Flujo de efectivo'!R33+'Flujo de efectivo'!S33+'Flujo de efectivo'!T33+'Flujo de efectivo'!U33-'Flujo de efectivo'!AH33</f>
        <v/>
      </c>
      <c r="AI23" s="45">
        <f>'Flujo de efectivo'!V33+'Flujo de efectivo'!W33+'Flujo de efectivo'!X33+'Flujo de efectivo'!Y33-'Flujo de efectivo'!AI33</f>
        <v/>
      </c>
    </row>
    <row r="25" spans="1:37">
      <c r="A25" s="5" t="s">
        <v>738</v>
      </c>
      <c r="AK25" s="6" t="s">
        <v>739</v>
      </c>
    </row>
    <row r="26" spans="1:37">
      <c r="A26" s="42" t="s">
        <v>740</v>
      </c>
      <c r="AD26" s="49">
        <f>IFERROR(('Resultados'!B5+'Resultados'!C5+'Resultados'!D5+'Resultados'!E5)/'Resultados'!AD5-1,"")</f>
        <v/>
      </c>
      <c r="AE26" s="49">
        <f>IFERROR(('Resultados'!F5+'Resultados'!G5+'Resultados'!H5+'Resultados'!I5)/'Resultados'!AE5-1,"")</f>
        <v/>
      </c>
      <c r="AF26" s="49">
        <f>IFERROR(('Resultados'!J5+'Resultados'!K5+'Resultados'!L5+'Resultados'!M5)/'Resultados'!AF5-1,"")</f>
        <v/>
      </c>
      <c r="AG26" s="49">
        <f>IFERROR(('Resultados'!N5+'Resultados'!O5+'Resultados'!P5+'Resultados'!Q5)/'Resultados'!AG5-1,"")</f>
        <v/>
      </c>
      <c r="AH26" s="49">
        <f>IFERROR(('Resultados'!R5+'Resultados'!S5+'Resultados'!T5+'Resultados'!U5)/'Resultados'!AH5-1,"")</f>
        <v/>
      </c>
      <c r="AI26" s="49">
        <f>IFERROR(('Resultados'!V5+'Resultados'!W5+'Resultados'!X5+'Resultados'!Y5)/'Resultados'!AI5-1,"")</f>
        <v/>
      </c>
    </row>
    <row r="27" spans="1:37">
      <c r="A27" s="42" t="s">
        <v>741</v>
      </c>
      <c r="AD27" s="49">
        <f>IFERROR(('Resultados'!B21+'Resultados'!C21+'Resultados'!D21+'Resultados'!E21)/'Resultados'!AD21-1,"")</f>
        <v/>
      </c>
      <c r="AE27" s="49">
        <f>IFERROR(('Resultados'!F21+'Resultados'!G21+'Resultados'!H21+'Resultados'!I21)/'Resultados'!AE21-1,"")</f>
        <v/>
      </c>
      <c r="AF27" s="49">
        <f>IFERROR(('Resultados'!J21+'Resultados'!K21+'Resultados'!L21+'Resultados'!M21)/'Resultados'!AF21-1,"")</f>
        <v/>
      </c>
      <c r="AG27" s="49">
        <f>IFERROR(('Resultados'!N21+'Resultados'!O21+'Resultados'!P21+'Resultados'!Q21)/'Resultados'!AG21-1,"")</f>
        <v/>
      </c>
      <c r="AH27" s="49">
        <f>IFERROR(('Resultados'!R21+'Resultados'!S21+'Resultados'!T21+'Resultados'!U21)/'Resultados'!AH21-1,"")</f>
        <v/>
      </c>
      <c r="AI27" s="49">
        <f>IFERROR(('Resultados'!V21+'Resultados'!W21+'Resultados'!X21+'Resultados'!Y21)/'Resultados'!AI21-1,"")</f>
        <v/>
      </c>
    </row>
    <row r="28" spans="1:37">
      <c r="A28" s="42" t="s">
        <v>742</v>
      </c>
      <c r="AD28" s="49">
        <f>IFERROR(('Flujo de efectivo'!B33+'Flujo de efectivo'!C33+'Flujo de efectivo'!D33+'Flujo de efectivo'!E33)/'Flujo de efectivo'!AD33-1,"")</f>
        <v/>
      </c>
      <c r="AE28" s="49">
        <f>IFERROR(('Flujo de efectivo'!F33+'Flujo de efectivo'!G33+'Flujo de efectivo'!H33+'Flujo de efectivo'!I33)/'Flujo de efectivo'!AE33-1,"")</f>
        <v/>
      </c>
      <c r="AF28" s="49">
        <f>IFERROR(('Flujo de efectivo'!J33+'Flujo de efectivo'!K33+'Flujo de efectivo'!L33+'Flujo de efectivo'!M33)/'Flujo de efectivo'!AF33-1,"")</f>
        <v/>
      </c>
      <c r="AG28" s="49">
        <f>IFERROR(('Flujo de efectivo'!N33+'Flujo de efectivo'!O33+'Flujo de efectivo'!P33+'Flujo de efectivo'!Q33)/'Flujo de efectivo'!AG33-1,"")</f>
        <v/>
      </c>
      <c r="AH28" s="49">
        <f>IFERROR(('Flujo de efectivo'!R33+'Flujo de efectivo'!S33+'Flujo de efectivo'!T33+'Flujo de efectivo'!U33)/'Flujo de efectivo'!AH33-1,"")</f>
        <v/>
      </c>
      <c r="AI28" s="49">
        <f>IFERROR(('Flujo de efectivo'!V33+'Flujo de efectivo'!W33+'Flujo de efectivo'!X33+'Flujo de efectivo'!Y33)/'Flujo de efectivo'!AI33-1,"")</f>
        <v/>
      </c>
    </row>
    <row r="30" spans="1:37">
      <c r="A30" s="5" t="s">
        <v>743</v>
      </c>
      <c r="AK30" s="6" t="s">
        <v>744</v>
      </c>
    </row>
    <row r="31" spans="1:37">
      <c r="A31" s="42" t="s">
        <v>745</v>
      </c>
      <c r="B31" s="45">
        <v>2832000000</v>
      </c>
      <c r="C31" s="45">
        <v>1947000000</v>
      </c>
      <c r="D31" s="45">
        <v>2327000000</v>
      </c>
      <c r="E31" s="45">
        <v>2270000000</v>
      </c>
      <c r="F31" s="45">
        <v>2648000000</v>
      </c>
      <c r="G31" s="45">
        <v>3349000000</v>
      </c>
      <c r="H31" s="45">
        <v>3621000000</v>
      </c>
      <c r="I31" s="45">
        <v>3620000000</v>
      </c>
      <c r="J31" s="45">
        <v>3635000000</v>
      </c>
      <c r="K31" s="45">
        <v>4855000000</v>
      </c>
      <c r="L31" s="45">
        <v>5179000000</v>
      </c>
      <c r="M31" s="45">
        <v>4645000000</v>
      </c>
      <c r="N31" s="45">
        <v>4238000000</v>
      </c>
      <c r="O31" s="45">
        <v>4375000000</v>
      </c>
      <c r="P31" s="45">
        <v>4504000000</v>
      </c>
      <c r="Q31" s="45">
        <v>4194000000</v>
      </c>
      <c r="R31" s="45">
        <v>4310000000</v>
      </c>
      <c r="S31" s="45">
        <v>4935000000</v>
      </c>
      <c r="T31" s="45">
        <v>5297000000</v>
      </c>
      <c r="U31" s="45">
        <v>4751000000</v>
      </c>
      <c r="V31" s="45">
        <v>4608000000</v>
      </c>
      <c r="W31" s="45">
        <v>4641000000</v>
      </c>
      <c r="X31" s="45">
        <v>4643000000</v>
      </c>
      <c r="Y31" s="45">
        <v>4556000000</v>
      </c>
      <c r="Z31" s="45">
        <v>4946000000</v>
      </c>
      <c r="AA31" s="45">
        <v>6574000000</v>
      </c>
    </row>
    <row r="32" spans="1:37">
      <c r="A32" s="42" t="s">
        <v>746</v>
      </c>
      <c r="B32" s="45">
        <f>B31-'Resultados'!B5</f>
        <v/>
      </c>
      <c r="C32" s="45">
        <f>C31-'Resultados'!C5</f>
        <v/>
      </c>
      <c r="D32" s="45">
        <f>D31-'Resultados'!D5</f>
        <v/>
      </c>
      <c r="E32" s="45">
        <f>E31-'Resultados'!E5</f>
        <v/>
      </c>
      <c r="F32" s="45">
        <f>F31-'Resultados'!F5</f>
        <v/>
      </c>
      <c r="G32" s="45">
        <f>G31-'Resultados'!G5</f>
        <v/>
      </c>
      <c r="H32" s="45">
        <f>H31-'Resultados'!H5</f>
        <v/>
      </c>
      <c r="I32" s="45">
        <f>I31-'Resultados'!I5</f>
        <v/>
      </c>
      <c r="J32" s="45">
        <f>J31-'Resultados'!J5</f>
        <v/>
      </c>
      <c r="K32" s="45">
        <f>K31-'Resultados'!K5</f>
        <v/>
      </c>
      <c r="L32" s="45">
        <f>L31-'Resultados'!L5</f>
        <v/>
      </c>
      <c r="M32" s="45">
        <f>M31-'Resultados'!M5</f>
        <v/>
      </c>
      <c r="N32" s="45">
        <f>N31-'Resultados'!N5</f>
        <v/>
      </c>
      <c r="O32" s="45">
        <f>O31-'Resultados'!O5</f>
        <v/>
      </c>
      <c r="P32" s="45">
        <f>P31-'Resultados'!P5</f>
        <v/>
      </c>
      <c r="Q32" s="45">
        <f>Q31-'Resultados'!Q5</f>
        <v/>
      </c>
      <c r="R32" s="45">
        <f>R31-'Resultados'!R5</f>
        <v/>
      </c>
      <c r="S32" s="45">
        <f>S31-'Resultados'!S5</f>
        <v/>
      </c>
      <c r="T32" s="45">
        <f>T31-'Resultados'!T5</f>
        <v/>
      </c>
      <c r="U32" s="45">
        <f>U31-'Resultados'!U5</f>
        <v/>
      </c>
      <c r="V32" s="45">
        <f>V31-'Resultados'!V5</f>
        <v/>
      </c>
      <c r="W32" s="45">
        <f>W31-'Resultados'!W5</f>
        <v/>
      </c>
      <c r="X32" s="45">
        <f>X31-'Resultados'!X5</f>
        <v/>
      </c>
      <c r="Y32" s="45">
        <f>Y31-'Resultados'!Y5</f>
        <v/>
      </c>
      <c r="Z32" s="45">
        <f>Z31-'Resultados'!Z5</f>
        <v/>
      </c>
      <c r="AA32" s="45">
        <f>AA31-'Resultados'!AA5</f>
        <v/>
      </c>
    </row>
    <row r="33" spans="1:27">
      <c r="A33" s="42" t="s">
        <v>747</v>
      </c>
      <c r="B33" s="45">
        <v>103000000</v>
      </c>
      <c r="C33" s="45">
        <v>-1258000000</v>
      </c>
      <c r="D33" s="45">
        <v>-482000000</v>
      </c>
      <c r="E33" s="45">
        <v>539000000</v>
      </c>
      <c r="F33" s="45">
        <v>-25000000</v>
      </c>
      <c r="G33" s="45">
        <v>-492000000</v>
      </c>
      <c r="H33" s="45">
        <v>237000000</v>
      </c>
      <c r="I33" s="45">
        <v>247000000</v>
      </c>
      <c r="J33" s="45">
        <v>248000000</v>
      </c>
      <c r="K33" s="45">
        <v>798000000</v>
      </c>
      <c r="L33" s="45">
        <v>678000000</v>
      </c>
      <c r="M33" s="45">
        <v>464000000</v>
      </c>
      <c r="N33" s="45">
        <v>341000000</v>
      </c>
      <c r="O33" s="45">
        <v>380000000</v>
      </c>
      <c r="P33" s="45">
        <v>-137000000</v>
      </c>
      <c r="Q33" s="45">
        <v>-1861000000</v>
      </c>
      <c r="R33" s="45">
        <v>657000000</v>
      </c>
      <c r="S33" s="45">
        <v>535000000</v>
      </c>
      <c r="T33" s="45">
        <v>1485000000</v>
      </c>
      <c r="U33" s="45">
        <v>-284000000</v>
      </c>
      <c r="V33" s="45">
        <v>-10000000</v>
      </c>
      <c r="W33" s="45">
        <v>58000000</v>
      </c>
      <c r="X33" s="45">
        <v>-198000000</v>
      </c>
      <c r="Y33" s="45">
        <v>-649000000</v>
      </c>
      <c r="Z33" s="45">
        <v>409000000</v>
      </c>
      <c r="AA33" s="45">
        <v>1205000000</v>
      </c>
    </row>
    <row r="34" spans="1:27">
      <c r="A34" s="42" t="s">
        <v>746</v>
      </c>
      <c r="B34" s="45">
        <f>B33-'Resultados'!B21</f>
        <v/>
      </c>
      <c r="C34" s="45">
        <f>C33-'Resultados'!C21</f>
        <v/>
      </c>
      <c r="D34" s="45">
        <f>D33-'Resultados'!D21</f>
        <v/>
      </c>
      <c r="E34" s="45">
        <f>E33-'Resultados'!E21</f>
        <v/>
      </c>
      <c r="F34" s="45">
        <f>F33-'Resultados'!F21</f>
        <v/>
      </c>
      <c r="G34" s="45">
        <f>G33-'Resultados'!G21</f>
        <v/>
      </c>
      <c r="H34" s="45">
        <f>H33-'Resultados'!H21</f>
        <v/>
      </c>
      <c r="I34" s="45">
        <f>I33-'Resultados'!I21</f>
        <v/>
      </c>
      <c r="J34" s="45">
        <f>J33-'Resultados'!J21</f>
        <v/>
      </c>
      <c r="K34" s="45">
        <f>K33-'Resultados'!K21</f>
        <v/>
      </c>
      <c r="L34" s="45">
        <f>L33-'Resultados'!L21</f>
        <v/>
      </c>
      <c r="M34" s="45">
        <f>M33-'Resultados'!M21</f>
        <v/>
      </c>
      <c r="N34" s="45">
        <f>N33-'Resultados'!N21</f>
        <v/>
      </c>
      <c r="O34" s="45">
        <f>O33-'Resultados'!O21</f>
        <v/>
      </c>
      <c r="P34" s="45">
        <f>P33-'Resultados'!P21</f>
        <v/>
      </c>
      <c r="Q34" s="45">
        <f>Q33-'Resultados'!Q21</f>
        <v/>
      </c>
      <c r="R34" s="45">
        <f>R33-'Resultados'!R21</f>
        <v/>
      </c>
      <c r="S34" s="45">
        <f>S33-'Resultados'!S21</f>
        <v/>
      </c>
      <c r="T34" s="45">
        <f>T33-'Resultados'!T21</f>
        <v/>
      </c>
      <c r="U34" s="45">
        <f>U33-'Resultados'!U21</f>
        <v/>
      </c>
      <c r="V34" s="45">
        <f>V33-'Resultados'!V21</f>
        <v/>
      </c>
      <c r="W34" s="45">
        <f>W33-'Resultados'!W21</f>
        <v/>
      </c>
      <c r="X34" s="45">
        <f>X33-'Resultados'!X21</f>
        <v/>
      </c>
      <c r="Y34" s="45">
        <f>Y33-'Resultados'!Y21</f>
        <v/>
      </c>
      <c r="Z34" s="45">
        <f>Z33-'Resultados'!Z21</f>
        <v/>
      </c>
      <c r="AA34" s="45">
        <f>AA33-'Resultados'!AA21</f>
        <v/>
      </c>
    </row>
    <row r="35" spans="1:27">
      <c r="A35" s="42" t="s">
        <v>748</v>
      </c>
      <c r="B35" s="45">
        <v>851000000</v>
      </c>
      <c r="C35" s="45">
        <v>28000000</v>
      </c>
      <c r="D35" s="45">
        <v>392000000</v>
      </c>
      <c r="E35" s="45">
        <v>183000000</v>
      </c>
      <c r="F35" s="45">
        <v>767000000</v>
      </c>
      <c r="G35" s="45">
        <v>1084000000</v>
      </c>
      <c r="H35" s="45">
        <v>1154000000</v>
      </c>
      <c r="I35" s="45">
        <v>834000000</v>
      </c>
      <c r="J35" s="45">
        <v>972000000</v>
      </c>
      <c r="K35" s="45">
        <v>1500000000</v>
      </c>
      <c r="L35" s="45">
        <v>1498000000</v>
      </c>
      <c r="M35" s="45">
        <v>933000000</v>
      </c>
      <c r="N35" s="45">
        <v>1044000000</v>
      </c>
      <c r="O35" s="45">
        <v>1005000000</v>
      </c>
      <c r="P35" s="45">
        <v>926000000</v>
      </c>
      <c r="Q35" s="45">
        <v>1082000000</v>
      </c>
      <c r="R35" s="45">
        <v>1245000000</v>
      </c>
      <c r="S35" s="45">
        <v>1204000000</v>
      </c>
      <c r="T35" s="45">
        <v>1366000000</v>
      </c>
      <c r="U35" s="45">
        <v>839000000</v>
      </c>
      <c r="V35" s="45">
        <v>1245000000</v>
      </c>
      <c r="W35" s="45">
        <v>1124000000</v>
      </c>
      <c r="X35" s="45">
        <v>1357000000</v>
      </c>
      <c r="Y35" s="45">
        <v>1283000000</v>
      </c>
      <c r="Z35" s="45">
        <v>1594000000</v>
      </c>
      <c r="AA35" s="45">
        <v>2804000000</v>
      </c>
    </row>
    <row r="36" spans="1:27">
      <c r="A36" s="42" t="s">
        <v>749</v>
      </c>
      <c r="B36" s="45">
        <v>7640000000</v>
      </c>
      <c r="C36" s="45">
        <v>7387000000</v>
      </c>
      <c r="D36" s="45">
        <v>7203000000</v>
      </c>
      <c r="E36" s="45">
        <v>7076000000</v>
      </c>
      <c r="F36" s="45">
        <v>6752000000</v>
      </c>
      <c r="G36" s="45">
        <v>6499000000</v>
      </c>
      <c r="H36" s="45">
        <v>6455000000</v>
      </c>
      <c r="I36" s="45">
        <v>6271000000</v>
      </c>
      <c r="J36" s="45">
        <v>5912000000</v>
      </c>
      <c r="K36" s="45">
        <v>5843000000</v>
      </c>
      <c r="L36" s="45">
        <v>5655000000</v>
      </c>
      <c r="M36" s="45">
        <v>5996000000</v>
      </c>
      <c r="N36" s="45">
        <v>6043000000</v>
      </c>
      <c r="O36" s="45">
        <v>6312000000</v>
      </c>
      <c r="P36" s="45">
        <v>6675000000</v>
      </c>
      <c r="Q36" s="45">
        <v>6803000000</v>
      </c>
      <c r="R36" s="45">
        <v>7200000000</v>
      </c>
      <c r="S36" s="45">
        <v>7457000000</v>
      </c>
      <c r="T36" s="45">
        <v>7506000000</v>
      </c>
      <c r="U36" s="45">
        <v>7434000000</v>
      </c>
      <c r="V36" s="45">
        <v>8336000000</v>
      </c>
      <c r="W36" s="45">
        <v>8833000000</v>
      </c>
      <c r="X36" s="45">
        <v>9595000000</v>
      </c>
      <c r="Y36" s="45">
        <v>9386000000</v>
      </c>
      <c r="Z36" s="45">
        <v>8425000000</v>
      </c>
      <c r="AA36" s="45">
        <v>7654000000</v>
      </c>
    </row>
  </sheetData>
  <conditionalFormatting sqref="B11:AI11">
    <cfRule type="cellIs" dxfId="0" priority="7" operator="between">
      <formula>-0.5</formula>
      <formula>0.5</formula>
    </cfRule>
    <cfRule type="cellIs" dxfId="1" priority="8" operator="notBetween">
      <formula>-0.5</formula>
      <formula>0.5</formula>
    </cfRule>
  </conditionalFormatting>
  <conditionalFormatting sqref="B12:AI12">
    <cfRule type="cellIs" dxfId="0" priority="9" operator="between">
      <formula>-0.5</formula>
      <formula>0.5</formula>
    </cfRule>
    <cfRule type="cellIs" dxfId="1" priority="10" operator="notBetween">
      <formula>-0.5</formula>
      <formula>0.5</formula>
    </cfRule>
  </conditionalFormatting>
  <conditionalFormatting sqref="B13:AI13">
    <cfRule type="cellIs" dxfId="0" priority="11" operator="between">
      <formula>-0.5</formula>
      <formula>0.5</formula>
    </cfRule>
    <cfRule type="cellIs" dxfId="1" priority="12" operator="notBetween">
      <formula>-0.5</formula>
      <formula>0.5</formula>
    </cfRule>
  </conditionalFormatting>
  <conditionalFormatting sqref="B16:AI16">
    <cfRule type="cellIs" dxfId="0" priority="13" operator="between">
      <formula>-0.5</formula>
      <formula>0.5</formula>
    </cfRule>
    <cfRule type="cellIs" dxfId="1" priority="14" operator="notBetween">
      <formula>-0.5</formula>
      <formula>0.5</formula>
    </cfRule>
  </conditionalFormatting>
  <conditionalFormatting sqref="B17:AI17">
    <cfRule type="cellIs" dxfId="0" priority="15" operator="between">
      <formula>-0.5</formula>
      <formula>0.5</formula>
    </cfRule>
    <cfRule type="cellIs" dxfId="1" priority="16" operator="notBetween">
      <formula>-0.5</formula>
      <formula>0.5</formula>
    </cfRule>
  </conditionalFormatting>
  <conditionalFormatting sqref="B18:AI18">
    <cfRule type="cellIs" dxfId="0" priority="17" operator="between">
      <formula>-0.5</formula>
      <formula>0.5</formula>
    </cfRule>
    <cfRule type="cellIs" dxfId="1" priority="18" operator="notBetween">
      <formula>-0.5</formula>
      <formula>0.5</formula>
    </cfRule>
  </conditionalFormatting>
  <conditionalFormatting sqref="B21:AI21">
    <cfRule type="cellIs" dxfId="0" priority="19" operator="between">
      <formula>-0.5</formula>
      <formula>0.5</formula>
    </cfRule>
    <cfRule type="cellIs" dxfId="1" priority="20" operator="notBetween">
      <formula>-0.5</formula>
      <formula>0.5</formula>
    </cfRule>
  </conditionalFormatting>
  <conditionalFormatting sqref="B22:AI22">
    <cfRule type="cellIs" dxfId="0" priority="21" operator="between">
      <formula>-0.5</formula>
      <formula>0.5</formula>
    </cfRule>
    <cfRule type="cellIs" dxfId="1" priority="22" operator="notBetween">
      <formula>-0.5</formula>
      <formula>0.5</formula>
    </cfRule>
  </conditionalFormatting>
  <conditionalFormatting sqref="B23:AI23">
    <cfRule type="cellIs" dxfId="0" priority="23" operator="between">
      <formula>-0.5</formula>
      <formula>0.5</formula>
    </cfRule>
    <cfRule type="cellIs" dxfId="1" priority="24" operator="notBetween">
      <formula>-0.5</formula>
      <formula>0.5</formula>
    </cfRule>
  </conditionalFormatting>
  <conditionalFormatting sqref="B6:AI6">
    <cfRule type="cellIs" dxfId="0" priority="1" operator="between">
      <formula>-0.5</formula>
      <formula>0.5</formula>
    </cfRule>
    <cfRule type="cellIs" dxfId="1" priority="2" operator="notBetween">
      <formula>-0.5</formula>
      <formula>0.5</formula>
    </cfRule>
  </conditionalFormatting>
  <conditionalFormatting sqref="B7:AI7">
    <cfRule type="cellIs" dxfId="0" priority="3" operator="between">
      <formula>-0.5</formula>
      <formula>0.5</formula>
    </cfRule>
    <cfRule type="cellIs" dxfId="1" priority="4" operator="notBetween">
      <formula>-0.5</formula>
      <formula>0.5</formula>
    </cfRule>
  </conditionalFormatting>
  <conditionalFormatting sqref="B8:AI8">
    <cfRule type="cellIs" dxfId="0" priority="5" operator="between">
      <formula>-0.5</formula>
      <formula>0.5</formula>
    </cfRule>
    <cfRule type="cellIs" dxfId="1" priority="6" operator="notBetween">
      <formula>-0.5</formula>
      <formula>0.5</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5F7099"/>
  </sheetPr>
  <dimension ref="A1:I5175"/>
  <sheetViews>
    <sheetView showGridLines="0" workbookViewId="0">
      <pane ySplit="1" topLeftCell="A2" activePane="bottomLeft" state="frozen"/>
      <selection pane="bottomLeft"/>
    </sheetView>
  </sheetViews>
  <sheetFormatPr defaultRowHeight="15"/>
  <cols>
    <col min="1" max="1" width="14.7109375" customWidth="1"/>
    <col min="2" max="2" width="58.7109375" customWidth="1"/>
    <col min="3" max="3" width="46.7109375" customWidth="1"/>
    <col min="4" max="4" width="10.7109375" customWidth="1"/>
    <col min="5" max="5" width="11.7109375" customWidth="1"/>
    <col min="6" max="6" width="20.7109375" customWidth="1"/>
    <col min="7" max="7" width="34.7109375" customWidth="1"/>
    <col min="8" max="8" width="44.7109375" customWidth="1"/>
    <col min="9" max="9" width="18.7109375" customWidth="1"/>
  </cols>
  <sheetData>
    <row r="1" spans="1:9">
      <c r="A1" s="41" t="s">
        <v>750</v>
      </c>
      <c r="B1" s="41" t="s">
        <v>751</v>
      </c>
      <c r="C1" s="41" t="s">
        <v>752</v>
      </c>
      <c r="D1" s="41" t="s">
        <v>753</v>
      </c>
      <c r="E1" s="41" t="s">
        <v>754</v>
      </c>
      <c r="F1" s="41" t="s">
        <v>755</v>
      </c>
      <c r="G1" s="41" t="s">
        <v>756</v>
      </c>
      <c r="H1" s="41" t="s">
        <v>757</v>
      </c>
      <c r="I1" s="41" t="s">
        <v>758</v>
      </c>
    </row>
    <row r="2" spans="1:9">
      <c r="A2" s="42" t="s">
        <v>759</v>
      </c>
      <c r="B2" s="42" t="s">
        <v>287</v>
      </c>
      <c r="C2" s="42" t="s">
        <v>760</v>
      </c>
      <c r="D2" s="42" t="s">
        <v>761</v>
      </c>
      <c r="E2" s="42" t="s">
        <v>762</v>
      </c>
      <c r="F2" s="45">
        <v>509977701.3849961</v>
      </c>
      <c r="G2" s="42" t="s">
        <v>763</v>
      </c>
      <c r="H2" s="42" t="s">
        <v>80</v>
      </c>
      <c r="I2" s="42" t="s">
        <v>764</v>
      </c>
    </row>
    <row r="3" spans="1:9">
      <c r="A3" s="42" t="s">
        <v>759</v>
      </c>
      <c r="B3" s="42" t="s">
        <v>288</v>
      </c>
      <c r="C3" s="42" t="s">
        <v>765</v>
      </c>
      <c r="D3" s="42" t="s">
        <v>761</v>
      </c>
      <c r="E3" s="42" t="s">
        <v>762</v>
      </c>
      <c r="F3" s="45">
        <v>19359165850.92411</v>
      </c>
      <c r="G3" s="42" t="s">
        <v>763</v>
      </c>
      <c r="H3" s="42" t="s">
        <v>80</v>
      </c>
      <c r="I3" s="42" t="s">
        <v>764</v>
      </c>
    </row>
    <row r="4" spans="1:9">
      <c r="A4" s="42" t="s">
        <v>759</v>
      </c>
      <c r="B4" s="42" t="s">
        <v>290</v>
      </c>
      <c r="C4" s="42" t="s">
        <v>766</v>
      </c>
      <c r="D4" s="42" t="s">
        <v>761</v>
      </c>
      <c r="E4" s="42" t="s">
        <v>762</v>
      </c>
      <c r="F4" s="45">
        <v>344929458.3683582</v>
      </c>
      <c r="G4" s="42" t="s">
        <v>763</v>
      </c>
      <c r="H4" s="42" t="s">
        <v>80</v>
      </c>
      <c r="I4" s="42" t="s">
        <v>764</v>
      </c>
    </row>
    <row r="5" spans="1:9">
      <c r="A5" s="42" t="s">
        <v>759</v>
      </c>
      <c r="B5" s="42" t="s">
        <v>291</v>
      </c>
      <c r="C5" s="42" t="s">
        <v>767</v>
      </c>
      <c r="D5" s="42" t="s">
        <v>761</v>
      </c>
      <c r="E5" s="42" t="s">
        <v>762</v>
      </c>
      <c r="F5" s="45">
        <v>35448289.81773944</v>
      </c>
      <c r="G5" s="42" t="s">
        <v>763</v>
      </c>
      <c r="H5" s="42" t="s">
        <v>80</v>
      </c>
      <c r="I5" s="42" t="s">
        <v>764</v>
      </c>
    </row>
    <row r="6" spans="1:9">
      <c r="A6" s="42" t="s">
        <v>759</v>
      </c>
      <c r="B6" s="42" t="s">
        <v>292</v>
      </c>
      <c r="C6" s="42" t="s">
        <v>768</v>
      </c>
      <c r="D6" s="42" t="s">
        <v>761</v>
      </c>
      <c r="E6" s="42" t="s">
        <v>762</v>
      </c>
      <c r="F6" s="45">
        <v>245686817.194226</v>
      </c>
      <c r="G6" s="42" t="s">
        <v>763</v>
      </c>
      <c r="H6" s="42" t="s">
        <v>80</v>
      </c>
      <c r="I6" s="42" t="s">
        <v>764</v>
      </c>
    </row>
    <row r="7" spans="1:9">
      <c r="A7" s="42" t="s">
        <v>759</v>
      </c>
      <c r="B7" s="42" t="s">
        <v>293</v>
      </c>
      <c r="C7" s="42" t="s">
        <v>769</v>
      </c>
      <c r="D7" s="42" t="s">
        <v>761</v>
      </c>
      <c r="E7" s="42" t="s">
        <v>762</v>
      </c>
      <c r="F7" s="45">
        <v>5468087.259119381</v>
      </c>
      <c r="G7" s="42" t="s">
        <v>763</v>
      </c>
      <c r="H7" s="42" t="s">
        <v>80</v>
      </c>
      <c r="I7" s="42" t="s">
        <v>764</v>
      </c>
    </row>
    <row r="8" spans="1:9">
      <c r="A8" s="42" t="s">
        <v>759</v>
      </c>
      <c r="B8" s="42" t="s">
        <v>295</v>
      </c>
      <c r="C8" s="42" t="s">
        <v>770</v>
      </c>
      <c r="D8" s="42" t="s">
        <v>761</v>
      </c>
      <c r="E8" s="42" t="s">
        <v>762</v>
      </c>
      <c r="F8" s="45">
        <v>486282656.5954788</v>
      </c>
      <c r="G8" s="42" t="s">
        <v>763</v>
      </c>
      <c r="H8" s="42" t="s">
        <v>80</v>
      </c>
      <c r="I8" s="42" t="s">
        <v>764</v>
      </c>
    </row>
    <row r="9" spans="1:9">
      <c r="A9" s="42" t="s">
        <v>759</v>
      </c>
      <c r="B9" s="42" t="s">
        <v>296</v>
      </c>
      <c r="C9" s="42" t="s">
        <v>771</v>
      </c>
      <c r="D9" s="42" t="s">
        <v>761</v>
      </c>
      <c r="E9" s="42" t="s">
        <v>762</v>
      </c>
      <c r="F9" s="45">
        <v>20986958861.54402</v>
      </c>
      <c r="G9" s="42" t="s">
        <v>763</v>
      </c>
      <c r="H9" s="42" t="s">
        <v>80</v>
      </c>
      <c r="I9" s="42" t="s">
        <v>764</v>
      </c>
    </row>
    <row r="10" spans="1:9">
      <c r="A10" s="42" t="s">
        <v>759</v>
      </c>
      <c r="B10" s="42" t="s">
        <v>241</v>
      </c>
      <c r="C10" s="42" t="s">
        <v>772</v>
      </c>
      <c r="D10" s="42" t="s">
        <v>761</v>
      </c>
      <c r="E10" s="42" t="s">
        <v>762</v>
      </c>
      <c r="F10" s="45">
        <v>1370667206.285925</v>
      </c>
      <c r="G10" s="42" t="s">
        <v>763</v>
      </c>
      <c r="H10" s="42" t="s">
        <v>80</v>
      </c>
      <c r="I10" s="42" t="s">
        <v>764</v>
      </c>
    </row>
    <row r="11" spans="1:9">
      <c r="A11" s="42" t="s">
        <v>759</v>
      </c>
      <c r="B11" s="42" t="s">
        <v>242</v>
      </c>
      <c r="C11" s="42" t="s">
        <v>773</v>
      </c>
      <c r="D11" s="42" t="s">
        <v>761</v>
      </c>
      <c r="E11" s="42" t="s">
        <v>762</v>
      </c>
      <c r="F11" s="45">
        <v>754218.9322923284</v>
      </c>
      <c r="G11" s="42" t="s">
        <v>763</v>
      </c>
      <c r="H11" s="42" t="s">
        <v>80</v>
      </c>
      <c r="I11" s="42" t="s">
        <v>764</v>
      </c>
    </row>
    <row r="12" spans="1:9">
      <c r="A12" s="42" t="s">
        <v>759</v>
      </c>
      <c r="B12" s="42" t="s">
        <v>292</v>
      </c>
      <c r="C12" s="42" t="s">
        <v>774</v>
      </c>
      <c r="D12" s="42" t="s">
        <v>761</v>
      </c>
      <c r="E12" s="42" t="s">
        <v>762</v>
      </c>
      <c r="F12" s="45">
        <v>845730829.4104644</v>
      </c>
      <c r="G12" s="42" t="s">
        <v>763</v>
      </c>
      <c r="H12" s="42" t="s">
        <v>80</v>
      </c>
      <c r="I12" s="42" t="s">
        <v>764</v>
      </c>
    </row>
    <row r="13" spans="1:9">
      <c r="A13" s="42" t="s">
        <v>759</v>
      </c>
      <c r="B13" s="42" t="s">
        <v>293</v>
      </c>
      <c r="C13" s="42" t="s">
        <v>775</v>
      </c>
      <c r="D13" s="42" t="s">
        <v>761</v>
      </c>
      <c r="E13" s="42" t="s">
        <v>762</v>
      </c>
      <c r="F13" s="45">
        <v>2114641331.414616</v>
      </c>
      <c r="G13" s="42" t="s">
        <v>763</v>
      </c>
      <c r="H13" s="42" t="s">
        <v>80</v>
      </c>
      <c r="I13" s="42" t="s">
        <v>764</v>
      </c>
    </row>
    <row r="14" spans="1:9">
      <c r="A14" s="42" t="s">
        <v>759</v>
      </c>
      <c r="B14" s="42" t="s">
        <v>295</v>
      </c>
      <c r="C14" s="42" t="s">
        <v>776</v>
      </c>
      <c r="D14" s="42" t="s">
        <v>761</v>
      </c>
      <c r="E14" s="42" t="s">
        <v>762</v>
      </c>
      <c r="F14" s="45">
        <v>474403708.4118746</v>
      </c>
      <c r="G14" s="42" t="s">
        <v>763</v>
      </c>
      <c r="H14" s="42" t="s">
        <v>80</v>
      </c>
      <c r="I14" s="42" t="s">
        <v>764</v>
      </c>
    </row>
    <row r="15" spans="1:9">
      <c r="A15" s="42" t="s">
        <v>759</v>
      </c>
      <c r="B15" s="42" t="s">
        <v>246</v>
      </c>
      <c r="C15" s="42" t="s">
        <v>777</v>
      </c>
      <c r="D15" s="42" t="s">
        <v>761</v>
      </c>
      <c r="E15" s="42" t="s">
        <v>762</v>
      </c>
      <c r="F15" s="45">
        <v>676094421.2223815</v>
      </c>
      <c r="G15" s="42" t="s">
        <v>763</v>
      </c>
      <c r="H15" s="42" t="s">
        <v>80</v>
      </c>
      <c r="I15" s="42" t="s">
        <v>764</v>
      </c>
    </row>
    <row r="16" spans="1:9">
      <c r="A16" s="42" t="s">
        <v>759</v>
      </c>
      <c r="B16" s="42" t="s">
        <v>247</v>
      </c>
      <c r="C16" s="42" t="s">
        <v>778</v>
      </c>
      <c r="D16" s="42" t="s">
        <v>761</v>
      </c>
      <c r="E16" s="42" t="s">
        <v>762</v>
      </c>
      <c r="F16" s="45">
        <v>5482291715.677554</v>
      </c>
      <c r="G16" s="42" t="s">
        <v>763</v>
      </c>
      <c r="H16" s="42" t="s">
        <v>80</v>
      </c>
      <c r="I16" s="42" t="s">
        <v>764</v>
      </c>
    </row>
    <row r="17" spans="1:9">
      <c r="A17" s="42" t="s">
        <v>759</v>
      </c>
      <c r="B17" s="42" t="s">
        <v>248</v>
      </c>
      <c r="C17" s="42" t="s">
        <v>779</v>
      </c>
      <c r="D17" s="42" t="s">
        <v>761</v>
      </c>
      <c r="E17" s="42" t="s">
        <v>762</v>
      </c>
      <c r="F17" s="45">
        <v>26469250577.22158</v>
      </c>
      <c r="G17" s="42" t="s">
        <v>763</v>
      </c>
      <c r="H17" s="42" t="s">
        <v>80</v>
      </c>
      <c r="I17" s="42" t="s">
        <v>764</v>
      </c>
    </row>
    <row r="18" spans="1:9">
      <c r="A18" s="42" t="s">
        <v>759</v>
      </c>
      <c r="B18" s="42" t="s">
        <v>780</v>
      </c>
      <c r="C18" s="42" t="s">
        <v>781</v>
      </c>
      <c r="D18" s="42" t="s">
        <v>761</v>
      </c>
      <c r="E18" s="42" t="s">
        <v>762</v>
      </c>
      <c r="F18" s="45">
        <v>653844962.7197578</v>
      </c>
      <c r="G18" s="42" t="s">
        <v>763</v>
      </c>
      <c r="H18" s="42" t="s">
        <v>80</v>
      </c>
      <c r="I18" s="42" t="s">
        <v>764</v>
      </c>
    </row>
    <row r="19" spans="1:9">
      <c r="A19" s="42" t="s">
        <v>759</v>
      </c>
      <c r="B19" s="42" t="s">
        <v>299</v>
      </c>
      <c r="C19" s="42" t="s">
        <v>782</v>
      </c>
      <c r="D19" s="42" t="s">
        <v>761</v>
      </c>
      <c r="E19" s="42" t="s">
        <v>762</v>
      </c>
      <c r="F19" s="45">
        <v>6810094145.978198</v>
      </c>
      <c r="G19" s="42" t="s">
        <v>763</v>
      </c>
      <c r="H19" s="42" t="s">
        <v>80</v>
      </c>
      <c r="I19" s="42" t="s">
        <v>764</v>
      </c>
    </row>
    <row r="20" spans="1:9">
      <c r="A20" s="42" t="s">
        <v>759</v>
      </c>
      <c r="B20" s="42" t="s">
        <v>783</v>
      </c>
      <c r="C20" s="42" t="s">
        <v>784</v>
      </c>
      <c r="D20" s="42" t="s">
        <v>761</v>
      </c>
      <c r="E20" s="42" t="s">
        <v>762</v>
      </c>
      <c r="F20" s="45">
        <v>7463939108.697956</v>
      </c>
      <c r="G20" s="42" t="s">
        <v>763</v>
      </c>
      <c r="H20" s="42" t="s">
        <v>80</v>
      </c>
      <c r="I20" s="42" t="s">
        <v>764</v>
      </c>
    </row>
    <row r="21" spans="1:9">
      <c r="A21" s="42" t="s">
        <v>759</v>
      </c>
      <c r="B21" s="42" t="s">
        <v>261</v>
      </c>
      <c r="C21" s="42" t="s">
        <v>785</v>
      </c>
      <c r="D21" s="42" t="s">
        <v>761</v>
      </c>
      <c r="E21" s="42" t="s">
        <v>762</v>
      </c>
      <c r="F21" s="45">
        <v>-5908048.302956574</v>
      </c>
      <c r="G21" s="42" t="s">
        <v>763</v>
      </c>
      <c r="H21" s="42" t="s">
        <v>80</v>
      </c>
      <c r="I21" s="42" t="s">
        <v>764</v>
      </c>
    </row>
    <row r="22" spans="1:9">
      <c r="A22" s="42" t="s">
        <v>759</v>
      </c>
      <c r="B22" s="42" t="s">
        <v>786</v>
      </c>
      <c r="C22" s="42" t="s">
        <v>787</v>
      </c>
      <c r="D22" s="42" t="s">
        <v>761</v>
      </c>
      <c r="E22" s="42" t="s">
        <v>762</v>
      </c>
      <c r="F22" s="45">
        <v>7458031060.395</v>
      </c>
      <c r="G22" s="42" t="s">
        <v>763</v>
      </c>
      <c r="H22" s="42" t="s">
        <v>80</v>
      </c>
      <c r="I22" s="42" t="s">
        <v>764</v>
      </c>
    </row>
    <row r="23" spans="1:9">
      <c r="A23" s="42" t="s">
        <v>759</v>
      </c>
      <c r="B23" s="42" t="s">
        <v>301</v>
      </c>
      <c r="C23" s="42" t="s">
        <v>788</v>
      </c>
      <c r="D23" s="42" t="s">
        <v>761</v>
      </c>
      <c r="E23" s="42" t="s">
        <v>762</v>
      </c>
      <c r="F23" s="45">
        <v>2976525016.291675</v>
      </c>
      <c r="G23" s="42" t="s">
        <v>763</v>
      </c>
      <c r="H23" s="42" t="s">
        <v>80</v>
      </c>
      <c r="I23" s="42" t="s">
        <v>764</v>
      </c>
    </row>
    <row r="24" spans="1:9">
      <c r="A24" s="42" t="s">
        <v>759</v>
      </c>
      <c r="B24" s="42" t="s">
        <v>303</v>
      </c>
      <c r="C24" s="42" t="s">
        <v>789</v>
      </c>
      <c r="D24" s="42" t="s">
        <v>761</v>
      </c>
      <c r="E24" s="42" t="s">
        <v>762</v>
      </c>
      <c r="F24" s="45">
        <v>2668992246.649477</v>
      </c>
      <c r="G24" s="42" t="s">
        <v>763</v>
      </c>
      <c r="H24" s="42" t="s">
        <v>80</v>
      </c>
      <c r="I24" s="42" t="s">
        <v>764</v>
      </c>
    </row>
    <row r="25" spans="1:9">
      <c r="A25" s="42" t="s">
        <v>759</v>
      </c>
      <c r="B25" s="42" t="s">
        <v>305</v>
      </c>
      <c r="C25" s="42" t="s">
        <v>790</v>
      </c>
      <c r="D25" s="42" t="s">
        <v>761</v>
      </c>
      <c r="E25" s="42" t="s">
        <v>762</v>
      </c>
      <c r="F25" s="45">
        <v>6159454.613720682</v>
      </c>
      <c r="G25" s="42" t="s">
        <v>763</v>
      </c>
      <c r="H25" s="42" t="s">
        <v>80</v>
      </c>
      <c r="I25" s="42" t="s">
        <v>764</v>
      </c>
    </row>
    <row r="26" spans="1:9">
      <c r="A26" s="42" t="s">
        <v>759</v>
      </c>
      <c r="B26" s="42" t="s">
        <v>308</v>
      </c>
      <c r="C26" s="42" t="s">
        <v>791</v>
      </c>
      <c r="D26" s="42" t="s">
        <v>761</v>
      </c>
      <c r="E26" s="42" t="s">
        <v>762</v>
      </c>
      <c r="F26" s="45">
        <v>8017850062.888981</v>
      </c>
      <c r="G26" s="42" t="s">
        <v>763</v>
      </c>
      <c r="H26" s="42" t="s">
        <v>80</v>
      </c>
      <c r="I26" s="42" t="s">
        <v>764</v>
      </c>
    </row>
    <row r="27" spans="1:9">
      <c r="A27" s="42" t="s">
        <v>759</v>
      </c>
      <c r="B27" s="42" t="s">
        <v>309</v>
      </c>
      <c r="C27" s="42" t="s">
        <v>792</v>
      </c>
      <c r="D27" s="42" t="s">
        <v>761</v>
      </c>
      <c r="E27" s="42" t="s">
        <v>762</v>
      </c>
      <c r="F27" s="45">
        <v>21118130.1041852</v>
      </c>
      <c r="G27" s="42" t="s">
        <v>763</v>
      </c>
      <c r="H27" s="42" t="s">
        <v>80</v>
      </c>
      <c r="I27" s="42" t="s">
        <v>764</v>
      </c>
    </row>
    <row r="28" spans="1:9">
      <c r="A28" s="42" t="s">
        <v>759</v>
      </c>
      <c r="B28" s="42" t="s">
        <v>310</v>
      </c>
      <c r="C28" s="42" t="s">
        <v>793</v>
      </c>
      <c r="D28" s="42" t="s">
        <v>761</v>
      </c>
      <c r="E28" s="42" t="s">
        <v>762</v>
      </c>
      <c r="F28" s="45">
        <v>137456400.4102769</v>
      </c>
      <c r="G28" s="42" t="s">
        <v>763</v>
      </c>
      <c r="H28" s="42" t="s">
        <v>80</v>
      </c>
      <c r="I28" s="42" t="s">
        <v>764</v>
      </c>
    </row>
    <row r="29" spans="1:9">
      <c r="A29" s="42" t="s">
        <v>759</v>
      </c>
      <c r="B29" s="42" t="s">
        <v>311</v>
      </c>
      <c r="C29" s="42" t="s">
        <v>794</v>
      </c>
      <c r="D29" s="42" t="s">
        <v>761</v>
      </c>
      <c r="E29" s="42" t="s">
        <v>762</v>
      </c>
      <c r="F29" s="45">
        <v>13828101310.95831</v>
      </c>
      <c r="G29" s="42" t="s">
        <v>763</v>
      </c>
      <c r="H29" s="42" t="s">
        <v>80</v>
      </c>
      <c r="I29" s="42" t="s">
        <v>764</v>
      </c>
    </row>
    <row r="30" spans="1:9">
      <c r="A30" s="42" t="s">
        <v>759</v>
      </c>
      <c r="B30" s="42" t="s">
        <v>301</v>
      </c>
      <c r="C30" s="42" t="s">
        <v>795</v>
      </c>
      <c r="D30" s="42" t="s">
        <v>761</v>
      </c>
      <c r="E30" s="42" t="s">
        <v>762</v>
      </c>
      <c r="F30" s="45">
        <v>125326045.9159086</v>
      </c>
      <c r="G30" s="42" t="s">
        <v>763</v>
      </c>
      <c r="H30" s="42" t="s">
        <v>80</v>
      </c>
      <c r="I30" s="42" t="s">
        <v>764</v>
      </c>
    </row>
    <row r="31" spans="1:9">
      <c r="A31" s="42" t="s">
        <v>759</v>
      </c>
      <c r="B31" s="42" t="s">
        <v>304</v>
      </c>
      <c r="C31" s="42" t="s">
        <v>796</v>
      </c>
      <c r="D31" s="42" t="s">
        <v>761</v>
      </c>
      <c r="E31" s="42" t="s">
        <v>762</v>
      </c>
      <c r="F31" s="45">
        <v>11061877.67362082</v>
      </c>
      <c r="G31" s="42" t="s">
        <v>763</v>
      </c>
      <c r="H31" s="42" t="s">
        <v>80</v>
      </c>
      <c r="I31" s="42" t="s">
        <v>764</v>
      </c>
    </row>
    <row r="32" spans="1:9">
      <c r="A32" s="42" t="s">
        <v>759</v>
      </c>
      <c r="B32" s="42" t="s">
        <v>302</v>
      </c>
      <c r="C32" s="42" t="s">
        <v>797</v>
      </c>
      <c r="D32" s="42" t="s">
        <v>761</v>
      </c>
      <c r="E32" s="42" t="s">
        <v>762</v>
      </c>
      <c r="F32" s="45">
        <v>879922.0876743833</v>
      </c>
      <c r="G32" s="42" t="s">
        <v>763</v>
      </c>
      <c r="H32" s="42" t="s">
        <v>80</v>
      </c>
      <c r="I32" s="42" t="s">
        <v>764</v>
      </c>
    </row>
    <row r="33" spans="1:9">
      <c r="A33" s="42" t="s">
        <v>759</v>
      </c>
      <c r="B33" s="42" t="s">
        <v>305</v>
      </c>
      <c r="C33" s="42" t="s">
        <v>798</v>
      </c>
      <c r="D33" s="42" t="s">
        <v>761</v>
      </c>
      <c r="E33" s="42" t="s">
        <v>762</v>
      </c>
      <c r="F33" s="45">
        <v>279061004.9481615</v>
      </c>
      <c r="G33" s="42" t="s">
        <v>763</v>
      </c>
      <c r="H33" s="42" t="s">
        <v>80</v>
      </c>
      <c r="I33" s="42" t="s">
        <v>764</v>
      </c>
    </row>
    <row r="34" spans="1:9">
      <c r="A34" s="42" t="s">
        <v>759</v>
      </c>
      <c r="B34" s="42" t="s">
        <v>306</v>
      </c>
      <c r="C34" s="42" t="s">
        <v>799</v>
      </c>
      <c r="D34" s="42" t="s">
        <v>761</v>
      </c>
      <c r="E34" s="42" t="s">
        <v>762</v>
      </c>
      <c r="F34" s="45">
        <v>194462781.3760387</v>
      </c>
      <c r="G34" s="42" t="s">
        <v>763</v>
      </c>
      <c r="H34" s="42" t="s">
        <v>80</v>
      </c>
      <c r="I34" s="42" t="s">
        <v>764</v>
      </c>
    </row>
    <row r="35" spans="1:9">
      <c r="A35" s="42" t="s">
        <v>759</v>
      </c>
      <c r="B35" s="42" t="s">
        <v>308</v>
      </c>
      <c r="C35" s="42" t="s">
        <v>800</v>
      </c>
      <c r="D35" s="42" t="s">
        <v>761</v>
      </c>
      <c r="E35" s="42" t="s">
        <v>762</v>
      </c>
      <c r="F35" s="45">
        <v>1682976695.83264</v>
      </c>
      <c r="G35" s="42" t="s">
        <v>763</v>
      </c>
      <c r="H35" s="42" t="s">
        <v>80</v>
      </c>
      <c r="I35" s="42" t="s">
        <v>764</v>
      </c>
    </row>
    <row r="36" spans="1:9">
      <c r="A36" s="42" t="s">
        <v>759</v>
      </c>
      <c r="B36" s="42" t="s">
        <v>309</v>
      </c>
      <c r="C36" s="42" t="s">
        <v>801</v>
      </c>
      <c r="D36" s="42" t="s">
        <v>761</v>
      </c>
      <c r="E36" s="42" t="s">
        <v>762</v>
      </c>
      <c r="F36" s="45">
        <v>275918426.0636102</v>
      </c>
      <c r="G36" s="42" t="s">
        <v>763</v>
      </c>
      <c r="H36" s="42" t="s">
        <v>80</v>
      </c>
      <c r="I36" s="42" t="s">
        <v>764</v>
      </c>
    </row>
    <row r="37" spans="1:9">
      <c r="A37" s="42" t="s">
        <v>759</v>
      </c>
      <c r="B37" s="42" t="s">
        <v>310</v>
      </c>
      <c r="C37" s="42" t="s">
        <v>802</v>
      </c>
      <c r="D37" s="42" t="s">
        <v>761</v>
      </c>
      <c r="E37" s="42" t="s">
        <v>762</v>
      </c>
      <c r="F37" s="45">
        <v>2613431451.97061</v>
      </c>
      <c r="G37" s="42" t="s">
        <v>763</v>
      </c>
      <c r="H37" s="42" t="s">
        <v>80</v>
      </c>
      <c r="I37" s="42" t="s">
        <v>764</v>
      </c>
    </row>
    <row r="38" spans="1:9">
      <c r="A38" s="42" t="s">
        <v>759</v>
      </c>
      <c r="B38" s="42" t="s">
        <v>284</v>
      </c>
      <c r="C38" s="42" t="s">
        <v>803</v>
      </c>
      <c r="D38" s="42" t="s">
        <v>761</v>
      </c>
      <c r="E38" s="42" t="s">
        <v>762</v>
      </c>
      <c r="F38" s="45">
        <v>5183118205.868263</v>
      </c>
      <c r="G38" s="42" t="s">
        <v>763</v>
      </c>
      <c r="H38" s="42" t="s">
        <v>80</v>
      </c>
      <c r="I38" s="42" t="s">
        <v>764</v>
      </c>
    </row>
    <row r="39" spans="1:9">
      <c r="A39" s="42" t="s">
        <v>759</v>
      </c>
      <c r="B39" s="42" t="s">
        <v>285</v>
      </c>
      <c r="C39" s="42" t="s">
        <v>804</v>
      </c>
      <c r="D39" s="42" t="s">
        <v>761</v>
      </c>
      <c r="E39" s="42" t="s">
        <v>762</v>
      </c>
      <c r="F39" s="45">
        <v>19011219516.82658</v>
      </c>
      <c r="G39" s="42" t="s">
        <v>763</v>
      </c>
      <c r="H39" s="42" t="s">
        <v>80</v>
      </c>
      <c r="I39" s="42" t="s">
        <v>764</v>
      </c>
    </row>
    <row r="40" spans="1:9">
      <c r="A40" s="42" t="s">
        <v>759</v>
      </c>
      <c r="B40" s="42" t="s">
        <v>805</v>
      </c>
      <c r="C40" s="42" t="s">
        <v>806</v>
      </c>
      <c r="D40" s="42" t="s">
        <v>761</v>
      </c>
      <c r="E40" s="42" t="s">
        <v>762</v>
      </c>
      <c r="F40" s="45">
        <v>26469250577.22158</v>
      </c>
      <c r="G40" s="42" t="s">
        <v>763</v>
      </c>
      <c r="H40" s="42" t="s">
        <v>80</v>
      </c>
      <c r="I40" s="42" t="s">
        <v>764</v>
      </c>
    </row>
    <row r="41" spans="1:9">
      <c r="A41" s="42" t="s">
        <v>759</v>
      </c>
      <c r="B41" s="42" t="s">
        <v>287</v>
      </c>
      <c r="C41" s="42" t="s">
        <v>760</v>
      </c>
      <c r="D41" s="42" t="s">
        <v>807</v>
      </c>
      <c r="E41" s="42" t="s">
        <v>808</v>
      </c>
      <c r="F41" s="45">
        <v>509977701.3849961</v>
      </c>
      <c r="G41" s="42" t="s">
        <v>763</v>
      </c>
      <c r="H41" s="42" t="s">
        <v>80</v>
      </c>
      <c r="I41" s="42" t="s">
        <v>764</v>
      </c>
    </row>
    <row r="42" spans="1:9">
      <c r="A42" s="42" t="s">
        <v>759</v>
      </c>
      <c r="B42" s="42" t="s">
        <v>288</v>
      </c>
      <c r="C42" s="42" t="s">
        <v>765</v>
      </c>
      <c r="D42" s="42" t="s">
        <v>807</v>
      </c>
      <c r="E42" s="42" t="s">
        <v>808</v>
      </c>
      <c r="F42" s="45">
        <v>19359165850.92411</v>
      </c>
      <c r="G42" s="42" t="s">
        <v>763</v>
      </c>
      <c r="H42" s="42" t="s">
        <v>80</v>
      </c>
      <c r="I42" s="42" t="s">
        <v>764</v>
      </c>
    </row>
    <row r="43" spans="1:9">
      <c r="A43" s="42" t="s">
        <v>759</v>
      </c>
      <c r="B43" s="42" t="s">
        <v>290</v>
      </c>
      <c r="C43" s="42" t="s">
        <v>766</v>
      </c>
      <c r="D43" s="42" t="s">
        <v>807</v>
      </c>
      <c r="E43" s="42" t="s">
        <v>808</v>
      </c>
      <c r="F43" s="45">
        <v>344929458.3683582</v>
      </c>
      <c r="G43" s="42" t="s">
        <v>763</v>
      </c>
      <c r="H43" s="42" t="s">
        <v>80</v>
      </c>
      <c r="I43" s="42" t="s">
        <v>764</v>
      </c>
    </row>
    <row r="44" spans="1:9">
      <c r="A44" s="42" t="s">
        <v>759</v>
      </c>
      <c r="B44" s="42" t="s">
        <v>291</v>
      </c>
      <c r="C44" s="42" t="s">
        <v>767</v>
      </c>
      <c r="D44" s="42" t="s">
        <v>807</v>
      </c>
      <c r="E44" s="42" t="s">
        <v>808</v>
      </c>
      <c r="F44" s="45">
        <v>35448289.81773944</v>
      </c>
      <c r="G44" s="42" t="s">
        <v>763</v>
      </c>
      <c r="H44" s="42" t="s">
        <v>80</v>
      </c>
      <c r="I44" s="42" t="s">
        <v>764</v>
      </c>
    </row>
    <row r="45" spans="1:9">
      <c r="A45" s="42" t="s">
        <v>759</v>
      </c>
      <c r="B45" s="42" t="s">
        <v>292</v>
      </c>
      <c r="C45" s="42" t="s">
        <v>768</v>
      </c>
      <c r="D45" s="42" t="s">
        <v>807</v>
      </c>
      <c r="E45" s="42" t="s">
        <v>808</v>
      </c>
      <c r="F45" s="45">
        <v>245686817.194226</v>
      </c>
      <c r="G45" s="42" t="s">
        <v>763</v>
      </c>
      <c r="H45" s="42" t="s">
        <v>80</v>
      </c>
      <c r="I45" s="42" t="s">
        <v>764</v>
      </c>
    </row>
    <row r="46" spans="1:9">
      <c r="A46" s="42" t="s">
        <v>759</v>
      </c>
      <c r="B46" s="42" t="s">
        <v>293</v>
      </c>
      <c r="C46" s="42" t="s">
        <v>769</v>
      </c>
      <c r="D46" s="42" t="s">
        <v>807</v>
      </c>
      <c r="E46" s="42" t="s">
        <v>808</v>
      </c>
      <c r="F46" s="45">
        <v>5468087.259119381</v>
      </c>
      <c r="G46" s="42" t="s">
        <v>763</v>
      </c>
      <c r="H46" s="42" t="s">
        <v>80</v>
      </c>
      <c r="I46" s="42" t="s">
        <v>764</v>
      </c>
    </row>
    <row r="47" spans="1:9">
      <c r="A47" s="42" t="s">
        <v>759</v>
      </c>
      <c r="B47" s="42" t="s">
        <v>295</v>
      </c>
      <c r="C47" s="42" t="s">
        <v>770</v>
      </c>
      <c r="D47" s="42" t="s">
        <v>807</v>
      </c>
      <c r="E47" s="42" t="s">
        <v>808</v>
      </c>
      <c r="F47" s="45">
        <v>486282656.5954788</v>
      </c>
      <c r="G47" s="42" t="s">
        <v>763</v>
      </c>
      <c r="H47" s="42" t="s">
        <v>80</v>
      </c>
      <c r="I47" s="42" t="s">
        <v>764</v>
      </c>
    </row>
    <row r="48" spans="1:9">
      <c r="A48" s="42" t="s">
        <v>759</v>
      </c>
      <c r="B48" s="42" t="s">
        <v>296</v>
      </c>
      <c r="C48" s="42" t="s">
        <v>771</v>
      </c>
      <c r="D48" s="42" t="s">
        <v>807</v>
      </c>
      <c r="E48" s="42" t="s">
        <v>808</v>
      </c>
      <c r="F48" s="45">
        <v>20986958861.54402</v>
      </c>
      <c r="G48" s="42" t="s">
        <v>763</v>
      </c>
      <c r="H48" s="42" t="s">
        <v>80</v>
      </c>
      <c r="I48" s="42" t="s">
        <v>764</v>
      </c>
    </row>
    <row r="49" spans="1:9">
      <c r="A49" s="42" t="s">
        <v>759</v>
      </c>
      <c r="B49" s="42" t="s">
        <v>241</v>
      </c>
      <c r="C49" s="42" t="s">
        <v>772</v>
      </c>
      <c r="D49" s="42" t="s">
        <v>807</v>
      </c>
      <c r="E49" s="42" t="s">
        <v>808</v>
      </c>
      <c r="F49" s="45">
        <v>1370667206.285925</v>
      </c>
      <c r="G49" s="42" t="s">
        <v>763</v>
      </c>
      <c r="H49" s="42" t="s">
        <v>80</v>
      </c>
      <c r="I49" s="42" t="s">
        <v>764</v>
      </c>
    </row>
    <row r="50" spans="1:9">
      <c r="A50" s="42" t="s">
        <v>759</v>
      </c>
      <c r="B50" s="42" t="s">
        <v>242</v>
      </c>
      <c r="C50" s="42" t="s">
        <v>773</v>
      </c>
      <c r="D50" s="42" t="s">
        <v>807</v>
      </c>
      <c r="E50" s="42" t="s">
        <v>808</v>
      </c>
      <c r="F50" s="45">
        <v>754218.9322923284</v>
      </c>
      <c r="G50" s="42" t="s">
        <v>763</v>
      </c>
      <c r="H50" s="42" t="s">
        <v>80</v>
      </c>
      <c r="I50" s="42" t="s">
        <v>764</v>
      </c>
    </row>
    <row r="51" spans="1:9">
      <c r="A51" s="42" t="s">
        <v>759</v>
      </c>
      <c r="B51" s="42" t="s">
        <v>292</v>
      </c>
      <c r="C51" s="42" t="s">
        <v>774</v>
      </c>
      <c r="D51" s="42" t="s">
        <v>807</v>
      </c>
      <c r="E51" s="42" t="s">
        <v>808</v>
      </c>
      <c r="F51" s="45">
        <v>845730829.4104644</v>
      </c>
      <c r="G51" s="42" t="s">
        <v>763</v>
      </c>
      <c r="H51" s="42" t="s">
        <v>80</v>
      </c>
      <c r="I51" s="42" t="s">
        <v>764</v>
      </c>
    </row>
    <row r="52" spans="1:9">
      <c r="A52" s="42" t="s">
        <v>759</v>
      </c>
      <c r="B52" s="42" t="s">
        <v>293</v>
      </c>
      <c r="C52" s="42" t="s">
        <v>775</v>
      </c>
      <c r="D52" s="42" t="s">
        <v>807</v>
      </c>
      <c r="E52" s="42" t="s">
        <v>808</v>
      </c>
      <c r="F52" s="45">
        <v>2114641331.414616</v>
      </c>
      <c r="G52" s="42" t="s">
        <v>763</v>
      </c>
      <c r="H52" s="42" t="s">
        <v>80</v>
      </c>
      <c r="I52" s="42" t="s">
        <v>764</v>
      </c>
    </row>
    <row r="53" spans="1:9">
      <c r="A53" s="42" t="s">
        <v>759</v>
      </c>
      <c r="B53" s="42" t="s">
        <v>295</v>
      </c>
      <c r="C53" s="42" t="s">
        <v>776</v>
      </c>
      <c r="D53" s="42" t="s">
        <v>807</v>
      </c>
      <c r="E53" s="42" t="s">
        <v>808</v>
      </c>
      <c r="F53" s="45">
        <v>474403708.4118746</v>
      </c>
      <c r="G53" s="42" t="s">
        <v>763</v>
      </c>
      <c r="H53" s="42" t="s">
        <v>80</v>
      </c>
      <c r="I53" s="42" t="s">
        <v>764</v>
      </c>
    </row>
    <row r="54" spans="1:9">
      <c r="A54" s="42" t="s">
        <v>759</v>
      </c>
      <c r="B54" s="42" t="s">
        <v>246</v>
      </c>
      <c r="C54" s="42" t="s">
        <v>777</v>
      </c>
      <c r="D54" s="42" t="s">
        <v>807</v>
      </c>
      <c r="E54" s="42" t="s">
        <v>808</v>
      </c>
      <c r="F54" s="45">
        <v>676094421.2223815</v>
      </c>
      <c r="G54" s="42" t="s">
        <v>763</v>
      </c>
      <c r="H54" s="42" t="s">
        <v>80</v>
      </c>
      <c r="I54" s="42" t="s">
        <v>764</v>
      </c>
    </row>
    <row r="55" spans="1:9">
      <c r="A55" s="42" t="s">
        <v>759</v>
      </c>
      <c r="B55" s="42" t="s">
        <v>247</v>
      </c>
      <c r="C55" s="42" t="s">
        <v>778</v>
      </c>
      <c r="D55" s="42" t="s">
        <v>807</v>
      </c>
      <c r="E55" s="42" t="s">
        <v>808</v>
      </c>
      <c r="F55" s="45">
        <v>5482291715.677554</v>
      </c>
      <c r="G55" s="42" t="s">
        <v>763</v>
      </c>
      <c r="H55" s="42" t="s">
        <v>80</v>
      </c>
      <c r="I55" s="42" t="s">
        <v>764</v>
      </c>
    </row>
    <row r="56" spans="1:9">
      <c r="A56" s="42" t="s">
        <v>759</v>
      </c>
      <c r="B56" s="42" t="s">
        <v>248</v>
      </c>
      <c r="C56" s="42" t="s">
        <v>779</v>
      </c>
      <c r="D56" s="42" t="s">
        <v>807</v>
      </c>
      <c r="E56" s="42" t="s">
        <v>808</v>
      </c>
      <c r="F56" s="45">
        <v>26469250577.22158</v>
      </c>
      <c r="G56" s="42" t="s">
        <v>763</v>
      </c>
      <c r="H56" s="42" t="s">
        <v>80</v>
      </c>
      <c r="I56" s="42" t="s">
        <v>764</v>
      </c>
    </row>
    <row r="57" spans="1:9">
      <c r="A57" s="42" t="s">
        <v>759</v>
      </c>
      <c r="B57" s="42" t="s">
        <v>780</v>
      </c>
      <c r="C57" s="42" t="s">
        <v>781</v>
      </c>
      <c r="D57" s="42" t="s">
        <v>807</v>
      </c>
      <c r="E57" s="42" t="s">
        <v>808</v>
      </c>
      <c r="F57" s="45">
        <v>653844962.7197578</v>
      </c>
      <c r="G57" s="42" t="s">
        <v>763</v>
      </c>
      <c r="H57" s="42" t="s">
        <v>80</v>
      </c>
      <c r="I57" s="42" t="s">
        <v>764</v>
      </c>
    </row>
    <row r="58" spans="1:9">
      <c r="A58" s="42" t="s">
        <v>759</v>
      </c>
      <c r="B58" s="42" t="s">
        <v>299</v>
      </c>
      <c r="C58" s="42" t="s">
        <v>782</v>
      </c>
      <c r="D58" s="42" t="s">
        <v>807</v>
      </c>
      <c r="E58" s="42" t="s">
        <v>808</v>
      </c>
      <c r="F58" s="45">
        <v>6810094145.978198</v>
      </c>
      <c r="G58" s="42" t="s">
        <v>763</v>
      </c>
      <c r="H58" s="42" t="s">
        <v>80</v>
      </c>
      <c r="I58" s="42" t="s">
        <v>764</v>
      </c>
    </row>
    <row r="59" spans="1:9">
      <c r="A59" s="42" t="s">
        <v>759</v>
      </c>
      <c r="B59" s="42" t="s">
        <v>783</v>
      </c>
      <c r="C59" s="42" t="s">
        <v>784</v>
      </c>
      <c r="D59" s="42" t="s">
        <v>807</v>
      </c>
      <c r="E59" s="42" t="s">
        <v>808</v>
      </c>
      <c r="F59" s="45">
        <v>7463939108.697956</v>
      </c>
      <c r="G59" s="42" t="s">
        <v>763</v>
      </c>
      <c r="H59" s="42" t="s">
        <v>80</v>
      </c>
      <c r="I59" s="42" t="s">
        <v>764</v>
      </c>
    </row>
    <row r="60" spans="1:9">
      <c r="A60" s="42" t="s">
        <v>759</v>
      </c>
      <c r="B60" s="42" t="s">
        <v>261</v>
      </c>
      <c r="C60" s="42" t="s">
        <v>785</v>
      </c>
      <c r="D60" s="42" t="s">
        <v>807</v>
      </c>
      <c r="E60" s="42" t="s">
        <v>808</v>
      </c>
      <c r="F60" s="45">
        <v>-5908048.302956574</v>
      </c>
      <c r="G60" s="42" t="s">
        <v>763</v>
      </c>
      <c r="H60" s="42" t="s">
        <v>80</v>
      </c>
      <c r="I60" s="42" t="s">
        <v>764</v>
      </c>
    </row>
    <row r="61" spans="1:9">
      <c r="A61" s="42" t="s">
        <v>759</v>
      </c>
      <c r="B61" s="42" t="s">
        <v>786</v>
      </c>
      <c r="C61" s="42" t="s">
        <v>787</v>
      </c>
      <c r="D61" s="42" t="s">
        <v>807</v>
      </c>
      <c r="E61" s="42" t="s">
        <v>808</v>
      </c>
      <c r="F61" s="45">
        <v>7458031060.395</v>
      </c>
      <c r="G61" s="42" t="s">
        <v>763</v>
      </c>
      <c r="H61" s="42" t="s">
        <v>80</v>
      </c>
      <c r="I61" s="42" t="s">
        <v>764</v>
      </c>
    </row>
    <row r="62" spans="1:9">
      <c r="A62" s="42" t="s">
        <v>759</v>
      </c>
      <c r="B62" s="42" t="s">
        <v>301</v>
      </c>
      <c r="C62" s="42" t="s">
        <v>788</v>
      </c>
      <c r="D62" s="42" t="s">
        <v>807</v>
      </c>
      <c r="E62" s="42" t="s">
        <v>808</v>
      </c>
      <c r="F62" s="45">
        <v>2976525016.291675</v>
      </c>
      <c r="G62" s="42" t="s">
        <v>763</v>
      </c>
      <c r="H62" s="42" t="s">
        <v>80</v>
      </c>
      <c r="I62" s="42" t="s">
        <v>764</v>
      </c>
    </row>
    <row r="63" spans="1:9">
      <c r="A63" s="42" t="s">
        <v>759</v>
      </c>
      <c r="B63" s="42" t="s">
        <v>303</v>
      </c>
      <c r="C63" s="42" t="s">
        <v>789</v>
      </c>
      <c r="D63" s="42" t="s">
        <v>807</v>
      </c>
      <c r="E63" s="42" t="s">
        <v>808</v>
      </c>
      <c r="F63" s="45">
        <v>2668992246.649477</v>
      </c>
      <c r="G63" s="42" t="s">
        <v>763</v>
      </c>
      <c r="H63" s="42" t="s">
        <v>80</v>
      </c>
      <c r="I63" s="42" t="s">
        <v>764</v>
      </c>
    </row>
    <row r="64" spans="1:9">
      <c r="A64" s="42" t="s">
        <v>759</v>
      </c>
      <c r="B64" s="42" t="s">
        <v>305</v>
      </c>
      <c r="C64" s="42" t="s">
        <v>790</v>
      </c>
      <c r="D64" s="42" t="s">
        <v>807</v>
      </c>
      <c r="E64" s="42" t="s">
        <v>808</v>
      </c>
      <c r="F64" s="45">
        <v>6159454.613720682</v>
      </c>
      <c r="G64" s="42" t="s">
        <v>763</v>
      </c>
      <c r="H64" s="42" t="s">
        <v>80</v>
      </c>
      <c r="I64" s="42" t="s">
        <v>764</v>
      </c>
    </row>
    <row r="65" spans="1:9">
      <c r="A65" s="42" t="s">
        <v>759</v>
      </c>
      <c r="B65" s="42" t="s">
        <v>308</v>
      </c>
      <c r="C65" s="42" t="s">
        <v>791</v>
      </c>
      <c r="D65" s="42" t="s">
        <v>807</v>
      </c>
      <c r="E65" s="42" t="s">
        <v>808</v>
      </c>
      <c r="F65" s="45">
        <v>8017850062.888981</v>
      </c>
      <c r="G65" s="42" t="s">
        <v>763</v>
      </c>
      <c r="H65" s="42" t="s">
        <v>80</v>
      </c>
      <c r="I65" s="42" t="s">
        <v>764</v>
      </c>
    </row>
    <row r="66" spans="1:9">
      <c r="A66" s="42" t="s">
        <v>759</v>
      </c>
      <c r="B66" s="42" t="s">
        <v>309</v>
      </c>
      <c r="C66" s="42" t="s">
        <v>792</v>
      </c>
      <c r="D66" s="42" t="s">
        <v>807</v>
      </c>
      <c r="E66" s="42" t="s">
        <v>808</v>
      </c>
      <c r="F66" s="45">
        <v>21118130.1041852</v>
      </c>
      <c r="G66" s="42" t="s">
        <v>763</v>
      </c>
      <c r="H66" s="42" t="s">
        <v>80</v>
      </c>
      <c r="I66" s="42" t="s">
        <v>764</v>
      </c>
    </row>
    <row r="67" spans="1:9">
      <c r="A67" s="42" t="s">
        <v>759</v>
      </c>
      <c r="B67" s="42" t="s">
        <v>310</v>
      </c>
      <c r="C67" s="42" t="s">
        <v>793</v>
      </c>
      <c r="D67" s="42" t="s">
        <v>807</v>
      </c>
      <c r="E67" s="42" t="s">
        <v>808</v>
      </c>
      <c r="F67" s="45">
        <v>137456400.4102769</v>
      </c>
      <c r="G67" s="42" t="s">
        <v>763</v>
      </c>
      <c r="H67" s="42" t="s">
        <v>80</v>
      </c>
      <c r="I67" s="42" t="s">
        <v>764</v>
      </c>
    </row>
    <row r="68" spans="1:9">
      <c r="A68" s="42" t="s">
        <v>759</v>
      </c>
      <c r="B68" s="42" t="s">
        <v>311</v>
      </c>
      <c r="C68" s="42" t="s">
        <v>794</v>
      </c>
      <c r="D68" s="42" t="s">
        <v>807</v>
      </c>
      <c r="E68" s="42" t="s">
        <v>808</v>
      </c>
      <c r="F68" s="45">
        <v>13828101310.95831</v>
      </c>
      <c r="G68" s="42" t="s">
        <v>763</v>
      </c>
      <c r="H68" s="42" t="s">
        <v>80</v>
      </c>
      <c r="I68" s="42" t="s">
        <v>764</v>
      </c>
    </row>
    <row r="69" spans="1:9">
      <c r="A69" s="42" t="s">
        <v>759</v>
      </c>
      <c r="B69" s="42" t="s">
        <v>301</v>
      </c>
      <c r="C69" s="42" t="s">
        <v>795</v>
      </c>
      <c r="D69" s="42" t="s">
        <v>807</v>
      </c>
      <c r="E69" s="42" t="s">
        <v>808</v>
      </c>
      <c r="F69" s="45">
        <v>125326045.9159086</v>
      </c>
      <c r="G69" s="42" t="s">
        <v>763</v>
      </c>
      <c r="H69" s="42" t="s">
        <v>80</v>
      </c>
      <c r="I69" s="42" t="s">
        <v>764</v>
      </c>
    </row>
    <row r="70" spans="1:9">
      <c r="A70" s="42" t="s">
        <v>759</v>
      </c>
      <c r="B70" s="42" t="s">
        <v>304</v>
      </c>
      <c r="C70" s="42" t="s">
        <v>796</v>
      </c>
      <c r="D70" s="42" t="s">
        <v>807</v>
      </c>
      <c r="E70" s="42" t="s">
        <v>808</v>
      </c>
      <c r="F70" s="45">
        <v>11061877.67362082</v>
      </c>
      <c r="G70" s="42" t="s">
        <v>763</v>
      </c>
      <c r="H70" s="42" t="s">
        <v>80</v>
      </c>
      <c r="I70" s="42" t="s">
        <v>764</v>
      </c>
    </row>
    <row r="71" spans="1:9">
      <c r="A71" s="42" t="s">
        <v>759</v>
      </c>
      <c r="B71" s="42" t="s">
        <v>302</v>
      </c>
      <c r="C71" s="42" t="s">
        <v>797</v>
      </c>
      <c r="D71" s="42" t="s">
        <v>807</v>
      </c>
      <c r="E71" s="42" t="s">
        <v>808</v>
      </c>
      <c r="F71" s="45">
        <v>879922.0876743833</v>
      </c>
      <c r="G71" s="42" t="s">
        <v>763</v>
      </c>
      <c r="H71" s="42" t="s">
        <v>80</v>
      </c>
      <c r="I71" s="42" t="s">
        <v>764</v>
      </c>
    </row>
    <row r="72" spans="1:9">
      <c r="A72" s="42" t="s">
        <v>759</v>
      </c>
      <c r="B72" s="42" t="s">
        <v>305</v>
      </c>
      <c r="C72" s="42" t="s">
        <v>798</v>
      </c>
      <c r="D72" s="42" t="s">
        <v>807</v>
      </c>
      <c r="E72" s="42" t="s">
        <v>808</v>
      </c>
      <c r="F72" s="45">
        <v>279061004.9481615</v>
      </c>
      <c r="G72" s="42" t="s">
        <v>763</v>
      </c>
      <c r="H72" s="42" t="s">
        <v>80</v>
      </c>
      <c r="I72" s="42" t="s">
        <v>764</v>
      </c>
    </row>
    <row r="73" spans="1:9">
      <c r="A73" s="42" t="s">
        <v>759</v>
      </c>
      <c r="B73" s="42" t="s">
        <v>306</v>
      </c>
      <c r="C73" s="42" t="s">
        <v>799</v>
      </c>
      <c r="D73" s="42" t="s">
        <v>807</v>
      </c>
      <c r="E73" s="42" t="s">
        <v>808</v>
      </c>
      <c r="F73" s="45">
        <v>194462781.3760387</v>
      </c>
      <c r="G73" s="42" t="s">
        <v>763</v>
      </c>
      <c r="H73" s="42" t="s">
        <v>80</v>
      </c>
      <c r="I73" s="42" t="s">
        <v>764</v>
      </c>
    </row>
    <row r="74" spans="1:9">
      <c r="A74" s="42" t="s">
        <v>759</v>
      </c>
      <c r="B74" s="42" t="s">
        <v>308</v>
      </c>
      <c r="C74" s="42" t="s">
        <v>800</v>
      </c>
      <c r="D74" s="42" t="s">
        <v>807</v>
      </c>
      <c r="E74" s="42" t="s">
        <v>808</v>
      </c>
      <c r="F74" s="45">
        <v>1682976695.83264</v>
      </c>
      <c r="G74" s="42" t="s">
        <v>763</v>
      </c>
      <c r="H74" s="42" t="s">
        <v>80</v>
      </c>
      <c r="I74" s="42" t="s">
        <v>764</v>
      </c>
    </row>
    <row r="75" spans="1:9">
      <c r="A75" s="42" t="s">
        <v>759</v>
      </c>
      <c r="B75" s="42" t="s">
        <v>309</v>
      </c>
      <c r="C75" s="42" t="s">
        <v>801</v>
      </c>
      <c r="D75" s="42" t="s">
        <v>807</v>
      </c>
      <c r="E75" s="42" t="s">
        <v>808</v>
      </c>
      <c r="F75" s="45">
        <v>275918426.0636102</v>
      </c>
      <c r="G75" s="42" t="s">
        <v>763</v>
      </c>
      <c r="H75" s="42" t="s">
        <v>80</v>
      </c>
      <c r="I75" s="42" t="s">
        <v>764</v>
      </c>
    </row>
    <row r="76" spans="1:9">
      <c r="A76" s="42" t="s">
        <v>759</v>
      </c>
      <c r="B76" s="42" t="s">
        <v>310</v>
      </c>
      <c r="C76" s="42" t="s">
        <v>802</v>
      </c>
      <c r="D76" s="42" t="s">
        <v>807</v>
      </c>
      <c r="E76" s="42" t="s">
        <v>808</v>
      </c>
      <c r="F76" s="45">
        <v>2613431451.97061</v>
      </c>
      <c r="G76" s="42" t="s">
        <v>763</v>
      </c>
      <c r="H76" s="42" t="s">
        <v>80</v>
      </c>
      <c r="I76" s="42" t="s">
        <v>764</v>
      </c>
    </row>
    <row r="77" spans="1:9">
      <c r="A77" s="42" t="s">
        <v>759</v>
      </c>
      <c r="B77" s="42" t="s">
        <v>284</v>
      </c>
      <c r="C77" s="42" t="s">
        <v>803</v>
      </c>
      <c r="D77" s="42" t="s">
        <v>807</v>
      </c>
      <c r="E77" s="42" t="s">
        <v>808</v>
      </c>
      <c r="F77" s="45">
        <v>5183118205.868263</v>
      </c>
      <c r="G77" s="42" t="s">
        <v>763</v>
      </c>
      <c r="H77" s="42" t="s">
        <v>80</v>
      </c>
      <c r="I77" s="42" t="s">
        <v>764</v>
      </c>
    </row>
    <row r="78" spans="1:9">
      <c r="A78" s="42" t="s">
        <v>759</v>
      </c>
      <c r="B78" s="42" t="s">
        <v>285</v>
      </c>
      <c r="C78" s="42" t="s">
        <v>804</v>
      </c>
      <c r="D78" s="42" t="s">
        <v>807</v>
      </c>
      <c r="E78" s="42" t="s">
        <v>808</v>
      </c>
      <c r="F78" s="45">
        <v>19011219516.82658</v>
      </c>
      <c r="G78" s="42" t="s">
        <v>763</v>
      </c>
      <c r="H78" s="42" t="s">
        <v>80</v>
      </c>
      <c r="I78" s="42" t="s">
        <v>764</v>
      </c>
    </row>
    <row r="79" spans="1:9">
      <c r="A79" s="42" t="s">
        <v>759</v>
      </c>
      <c r="B79" s="42" t="s">
        <v>805</v>
      </c>
      <c r="C79" s="42" t="s">
        <v>806</v>
      </c>
      <c r="D79" s="42" t="s">
        <v>807</v>
      </c>
      <c r="E79" s="42" t="s">
        <v>808</v>
      </c>
      <c r="F79" s="45">
        <v>26469250577.22158</v>
      </c>
      <c r="G79" s="42" t="s">
        <v>763</v>
      </c>
      <c r="H79" s="42" t="s">
        <v>80</v>
      </c>
      <c r="I79" s="42" t="s">
        <v>764</v>
      </c>
    </row>
    <row r="80" spans="1:9">
      <c r="A80" s="42" t="s">
        <v>759</v>
      </c>
      <c r="B80" s="42" t="s">
        <v>287</v>
      </c>
      <c r="C80" s="42" t="s">
        <v>760</v>
      </c>
      <c r="D80" s="42" t="s">
        <v>662</v>
      </c>
      <c r="E80" s="42" t="s">
        <v>762</v>
      </c>
      <c r="F80" s="45">
        <v>520206496.1248807</v>
      </c>
      <c r="G80" s="42" t="s">
        <v>763</v>
      </c>
      <c r="H80" s="42" t="s">
        <v>88</v>
      </c>
      <c r="I80" s="42" t="s">
        <v>809</v>
      </c>
    </row>
    <row r="81" spans="1:9">
      <c r="A81" s="42" t="s">
        <v>759</v>
      </c>
      <c r="B81" s="42" t="s">
        <v>288</v>
      </c>
      <c r="C81" s="42" t="s">
        <v>765</v>
      </c>
      <c r="D81" s="42" t="s">
        <v>662</v>
      </c>
      <c r="E81" s="42" t="s">
        <v>762</v>
      </c>
      <c r="F81" s="45">
        <v>18482713623.29501</v>
      </c>
      <c r="G81" s="42" t="s">
        <v>763</v>
      </c>
      <c r="H81" s="42" t="s">
        <v>88</v>
      </c>
      <c r="I81" s="42" t="s">
        <v>809</v>
      </c>
    </row>
    <row r="82" spans="1:9">
      <c r="A82" s="42" t="s">
        <v>759</v>
      </c>
      <c r="B82" s="42" t="s">
        <v>290</v>
      </c>
      <c r="C82" s="42" t="s">
        <v>766</v>
      </c>
      <c r="D82" s="42" t="s">
        <v>662</v>
      </c>
      <c r="E82" s="42" t="s">
        <v>762</v>
      </c>
      <c r="F82" s="45">
        <v>315221358.1670914</v>
      </c>
      <c r="G82" s="42" t="s">
        <v>763</v>
      </c>
      <c r="H82" s="42" t="s">
        <v>88</v>
      </c>
      <c r="I82" s="42" t="s">
        <v>809</v>
      </c>
    </row>
    <row r="83" spans="1:9">
      <c r="A83" s="42" t="s">
        <v>759</v>
      </c>
      <c r="B83" s="42" t="s">
        <v>810</v>
      </c>
      <c r="C83" s="42" t="s">
        <v>811</v>
      </c>
      <c r="D83" s="42" t="s">
        <v>662</v>
      </c>
      <c r="E83" s="42" t="s">
        <v>762</v>
      </c>
      <c r="F83" s="45">
        <v>460082389.2652187</v>
      </c>
      <c r="G83" s="42" t="s">
        <v>763</v>
      </c>
      <c r="H83" s="42" t="s">
        <v>88</v>
      </c>
      <c r="I83" s="42" t="s">
        <v>809</v>
      </c>
    </row>
    <row r="84" spans="1:9">
      <c r="A84" s="42" t="s">
        <v>759</v>
      </c>
      <c r="B84" s="42" t="s">
        <v>291</v>
      </c>
      <c r="C84" s="42" t="s">
        <v>767</v>
      </c>
      <c r="D84" s="42" t="s">
        <v>662</v>
      </c>
      <c r="E84" s="42" t="s">
        <v>762</v>
      </c>
      <c r="F84" s="45">
        <v>30661730.12444164</v>
      </c>
      <c r="G84" s="42" t="s">
        <v>763</v>
      </c>
      <c r="H84" s="42" t="s">
        <v>88</v>
      </c>
      <c r="I84" s="42" t="s">
        <v>809</v>
      </c>
    </row>
    <row r="85" spans="1:9">
      <c r="A85" s="42" t="s">
        <v>759</v>
      </c>
      <c r="B85" s="42" t="s">
        <v>292</v>
      </c>
      <c r="C85" s="42" t="s">
        <v>768</v>
      </c>
      <c r="D85" s="42" t="s">
        <v>662</v>
      </c>
      <c r="E85" s="42" t="s">
        <v>762</v>
      </c>
      <c r="F85" s="45">
        <v>69614642.37437005</v>
      </c>
      <c r="G85" s="42" t="s">
        <v>763</v>
      </c>
      <c r="H85" s="42" t="s">
        <v>88</v>
      </c>
      <c r="I85" s="42" t="s">
        <v>809</v>
      </c>
    </row>
    <row r="86" spans="1:9">
      <c r="A86" s="42" t="s">
        <v>759</v>
      </c>
      <c r="B86" s="42" t="s">
        <v>293</v>
      </c>
      <c r="C86" s="42" t="s">
        <v>769</v>
      </c>
      <c r="D86" s="42" t="s">
        <v>662</v>
      </c>
      <c r="E86" s="42" t="s">
        <v>762</v>
      </c>
      <c r="F86" s="45">
        <v>115242216.964313</v>
      </c>
      <c r="G86" s="42" t="s">
        <v>763</v>
      </c>
      <c r="H86" s="42" t="s">
        <v>88</v>
      </c>
      <c r="I86" s="42" t="s">
        <v>809</v>
      </c>
    </row>
    <row r="87" spans="1:9">
      <c r="A87" s="42" t="s">
        <v>759</v>
      </c>
      <c r="B87" s="42" t="s">
        <v>296</v>
      </c>
      <c r="C87" s="42" t="s">
        <v>771</v>
      </c>
      <c r="D87" s="42" t="s">
        <v>662</v>
      </c>
      <c r="E87" s="42" t="s">
        <v>762</v>
      </c>
      <c r="F87" s="45">
        <v>19993742456.31533</v>
      </c>
      <c r="G87" s="42" t="s">
        <v>763</v>
      </c>
      <c r="H87" s="42" t="s">
        <v>88</v>
      </c>
      <c r="I87" s="42" t="s">
        <v>809</v>
      </c>
    </row>
    <row r="88" spans="1:9">
      <c r="A88" s="42" t="s">
        <v>759</v>
      </c>
      <c r="B88" s="42" t="s">
        <v>241</v>
      </c>
      <c r="C88" s="42" t="s">
        <v>772</v>
      </c>
      <c r="D88" s="42" t="s">
        <v>662</v>
      </c>
      <c r="E88" s="42" t="s">
        <v>762</v>
      </c>
      <c r="F88" s="45">
        <v>1415706311.476983</v>
      </c>
      <c r="G88" s="42" t="s">
        <v>763</v>
      </c>
      <c r="H88" s="42" t="s">
        <v>88</v>
      </c>
      <c r="I88" s="42" t="s">
        <v>809</v>
      </c>
    </row>
    <row r="89" spans="1:9">
      <c r="A89" s="42" t="s">
        <v>759</v>
      </c>
      <c r="B89" s="42" t="s">
        <v>242</v>
      </c>
      <c r="C89" s="42" t="s">
        <v>773</v>
      </c>
      <c r="D89" s="42" t="s">
        <v>662</v>
      </c>
      <c r="E89" s="42" t="s">
        <v>762</v>
      </c>
      <c r="F89" s="45">
        <v>7404703.533453594</v>
      </c>
      <c r="G89" s="42" t="s">
        <v>763</v>
      </c>
      <c r="H89" s="42" t="s">
        <v>88</v>
      </c>
      <c r="I89" s="42" t="s">
        <v>809</v>
      </c>
    </row>
    <row r="90" spans="1:9">
      <c r="A90" s="42" t="s">
        <v>759</v>
      </c>
      <c r="B90" s="42" t="s">
        <v>292</v>
      </c>
      <c r="C90" s="42" t="s">
        <v>774</v>
      </c>
      <c r="D90" s="42" t="s">
        <v>662</v>
      </c>
      <c r="E90" s="42" t="s">
        <v>762</v>
      </c>
      <c r="F90" s="45">
        <v>661417321.2558125</v>
      </c>
      <c r="G90" s="42" t="s">
        <v>763</v>
      </c>
      <c r="H90" s="42" t="s">
        <v>88</v>
      </c>
      <c r="I90" s="42" t="s">
        <v>809</v>
      </c>
    </row>
    <row r="91" spans="1:9">
      <c r="A91" s="42" t="s">
        <v>759</v>
      </c>
      <c r="B91" s="42" t="s">
        <v>293</v>
      </c>
      <c r="C91" s="42" t="s">
        <v>775</v>
      </c>
      <c r="D91" s="42" t="s">
        <v>662</v>
      </c>
      <c r="E91" s="42" t="s">
        <v>762</v>
      </c>
      <c r="F91" s="45">
        <v>2119674605.150388</v>
      </c>
      <c r="G91" s="42" t="s">
        <v>763</v>
      </c>
      <c r="H91" s="42" t="s">
        <v>88</v>
      </c>
      <c r="I91" s="42" t="s">
        <v>809</v>
      </c>
    </row>
    <row r="92" spans="1:9">
      <c r="A92" s="42" t="s">
        <v>759</v>
      </c>
      <c r="B92" s="42" t="s">
        <v>295</v>
      </c>
      <c r="C92" s="42" t="s">
        <v>776</v>
      </c>
      <c r="D92" s="42" t="s">
        <v>662</v>
      </c>
      <c r="E92" s="42" t="s">
        <v>762</v>
      </c>
      <c r="F92" s="45">
        <v>674558062.7377161</v>
      </c>
      <c r="G92" s="42" t="s">
        <v>763</v>
      </c>
      <c r="H92" s="42" t="s">
        <v>88</v>
      </c>
      <c r="I92" s="42" t="s">
        <v>809</v>
      </c>
    </row>
    <row r="93" spans="1:9">
      <c r="A93" s="42" t="s">
        <v>759</v>
      </c>
      <c r="B93" s="42" t="s">
        <v>246</v>
      </c>
      <c r="C93" s="42" t="s">
        <v>777</v>
      </c>
      <c r="D93" s="42" t="s">
        <v>662</v>
      </c>
      <c r="E93" s="42" t="s">
        <v>762</v>
      </c>
      <c r="F93" s="45">
        <v>1498565986.93232</v>
      </c>
      <c r="G93" s="42" t="s">
        <v>763</v>
      </c>
      <c r="H93" s="42" t="s">
        <v>88</v>
      </c>
      <c r="I93" s="42" t="s">
        <v>809</v>
      </c>
    </row>
    <row r="94" spans="1:9">
      <c r="A94" s="42" t="s">
        <v>759</v>
      </c>
      <c r="B94" s="42" t="s">
        <v>247</v>
      </c>
      <c r="C94" s="42" t="s">
        <v>778</v>
      </c>
      <c r="D94" s="42" t="s">
        <v>662</v>
      </c>
      <c r="E94" s="42" t="s">
        <v>762</v>
      </c>
      <c r="F94" s="45">
        <v>6377326991.086674</v>
      </c>
      <c r="G94" s="42" t="s">
        <v>763</v>
      </c>
      <c r="H94" s="42" t="s">
        <v>88</v>
      </c>
      <c r="I94" s="42" t="s">
        <v>809</v>
      </c>
    </row>
    <row r="95" spans="1:9">
      <c r="A95" s="42" t="s">
        <v>759</v>
      </c>
      <c r="B95" s="42" t="s">
        <v>248</v>
      </c>
      <c r="C95" s="42" t="s">
        <v>779</v>
      </c>
      <c r="D95" s="42" t="s">
        <v>662</v>
      </c>
      <c r="E95" s="42" t="s">
        <v>762</v>
      </c>
      <c r="F95" s="45">
        <v>26371069447.402</v>
      </c>
      <c r="G95" s="42" t="s">
        <v>763</v>
      </c>
      <c r="H95" s="42" t="s">
        <v>88</v>
      </c>
      <c r="I95" s="42" t="s">
        <v>809</v>
      </c>
    </row>
    <row r="96" spans="1:9">
      <c r="A96" s="42" t="s">
        <v>759</v>
      </c>
      <c r="B96" s="42" t="s">
        <v>780</v>
      </c>
      <c r="C96" s="42" t="s">
        <v>781</v>
      </c>
      <c r="D96" s="42" t="s">
        <v>662</v>
      </c>
      <c r="E96" s="42" t="s">
        <v>762</v>
      </c>
      <c r="F96" s="45">
        <v>542420606.7252414</v>
      </c>
      <c r="G96" s="42" t="s">
        <v>763</v>
      </c>
      <c r="H96" s="42" t="s">
        <v>88</v>
      </c>
      <c r="I96" s="42" t="s">
        <v>809</v>
      </c>
    </row>
    <row r="97" spans="1:9">
      <c r="A97" s="42" t="s">
        <v>759</v>
      </c>
      <c r="B97" s="42" t="s">
        <v>299</v>
      </c>
      <c r="C97" s="42" t="s">
        <v>782</v>
      </c>
      <c r="D97" s="42" t="s">
        <v>662</v>
      </c>
      <c r="E97" s="42" t="s">
        <v>762</v>
      </c>
      <c r="F97" s="45">
        <v>7399123932.903738</v>
      </c>
      <c r="G97" s="42" t="s">
        <v>763</v>
      </c>
      <c r="H97" s="42" t="s">
        <v>88</v>
      </c>
      <c r="I97" s="42" t="s">
        <v>809</v>
      </c>
    </row>
    <row r="98" spans="1:9">
      <c r="A98" s="42" t="s">
        <v>759</v>
      </c>
      <c r="B98" s="42" t="s">
        <v>783</v>
      </c>
      <c r="C98" s="42" t="s">
        <v>784</v>
      </c>
      <c r="D98" s="42" t="s">
        <v>662</v>
      </c>
      <c r="E98" s="42" t="s">
        <v>762</v>
      </c>
      <c r="F98" s="45">
        <v>7941544539.62898</v>
      </c>
      <c r="G98" s="42" t="s">
        <v>763</v>
      </c>
      <c r="H98" s="42" t="s">
        <v>88</v>
      </c>
      <c r="I98" s="42" t="s">
        <v>809</v>
      </c>
    </row>
    <row r="99" spans="1:9">
      <c r="A99" s="42" t="s">
        <v>759</v>
      </c>
      <c r="B99" s="42" t="s">
        <v>261</v>
      </c>
      <c r="C99" s="42" t="s">
        <v>785</v>
      </c>
      <c r="D99" s="42" t="s">
        <v>662</v>
      </c>
      <c r="E99" s="42" t="s">
        <v>762</v>
      </c>
      <c r="F99" s="45">
        <v>12410700.28846447</v>
      </c>
      <c r="G99" s="42" t="s">
        <v>763</v>
      </c>
      <c r="H99" s="42" t="s">
        <v>88</v>
      </c>
      <c r="I99" s="42" t="s">
        <v>809</v>
      </c>
    </row>
    <row r="100" spans="1:9">
      <c r="A100" s="42" t="s">
        <v>759</v>
      </c>
      <c r="B100" s="42" t="s">
        <v>786</v>
      </c>
      <c r="C100" s="42" t="s">
        <v>787</v>
      </c>
      <c r="D100" s="42" t="s">
        <v>662</v>
      </c>
      <c r="E100" s="42" t="s">
        <v>762</v>
      </c>
      <c r="F100" s="45">
        <v>7953955239.917444</v>
      </c>
      <c r="G100" s="42" t="s">
        <v>763</v>
      </c>
      <c r="H100" s="42" t="s">
        <v>88</v>
      </c>
      <c r="I100" s="42" t="s">
        <v>809</v>
      </c>
    </row>
    <row r="101" spans="1:9">
      <c r="A101" s="42" t="s">
        <v>759</v>
      </c>
      <c r="B101" s="42" t="s">
        <v>812</v>
      </c>
      <c r="C101" s="42" t="s">
        <v>813</v>
      </c>
      <c r="D101" s="42" t="s">
        <v>662</v>
      </c>
      <c r="E101" s="42" t="s">
        <v>762</v>
      </c>
      <c r="F101" s="45">
        <v>218647337.4350065</v>
      </c>
      <c r="G101" s="42" t="s">
        <v>763</v>
      </c>
      <c r="H101" s="42" t="s">
        <v>88</v>
      </c>
      <c r="I101" s="42" t="s">
        <v>809</v>
      </c>
    </row>
    <row r="102" spans="1:9">
      <c r="A102" s="42" t="s">
        <v>759</v>
      </c>
      <c r="B102" s="42" t="s">
        <v>301</v>
      </c>
      <c r="C102" s="42" t="s">
        <v>788</v>
      </c>
      <c r="D102" s="42" t="s">
        <v>662</v>
      </c>
      <c r="E102" s="42" t="s">
        <v>762</v>
      </c>
      <c r="F102" s="45">
        <v>2854148191.549641</v>
      </c>
      <c r="G102" s="42" t="s">
        <v>763</v>
      </c>
      <c r="H102" s="42" t="s">
        <v>88</v>
      </c>
      <c r="I102" s="42" t="s">
        <v>809</v>
      </c>
    </row>
    <row r="103" spans="1:9">
      <c r="A103" s="42" t="s">
        <v>759</v>
      </c>
      <c r="B103" s="42" t="s">
        <v>303</v>
      </c>
      <c r="C103" s="42" t="s">
        <v>789</v>
      </c>
      <c r="D103" s="42" t="s">
        <v>662</v>
      </c>
      <c r="E103" s="42" t="s">
        <v>762</v>
      </c>
      <c r="F103" s="45">
        <v>1963028623.358173</v>
      </c>
      <c r="G103" s="42" t="s">
        <v>763</v>
      </c>
      <c r="H103" s="42" t="s">
        <v>88</v>
      </c>
      <c r="I103" s="42" t="s">
        <v>809</v>
      </c>
    </row>
    <row r="104" spans="1:9">
      <c r="A104" s="42" t="s">
        <v>759</v>
      </c>
      <c r="B104" s="42" t="s">
        <v>302</v>
      </c>
      <c r="C104" s="42" t="s">
        <v>814</v>
      </c>
      <c r="D104" s="42" t="s">
        <v>662</v>
      </c>
      <c r="E104" s="42" t="s">
        <v>762</v>
      </c>
      <c r="F104" s="45">
        <v>76654325.3111041</v>
      </c>
      <c r="G104" s="42" t="s">
        <v>763</v>
      </c>
      <c r="H104" s="42" t="s">
        <v>88</v>
      </c>
      <c r="I104" s="42" t="s">
        <v>809</v>
      </c>
    </row>
    <row r="105" spans="1:9">
      <c r="A105" s="42" t="s">
        <v>759</v>
      </c>
      <c r="B105" s="42" t="s">
        <v>305</v>
      </c>
      <c r="C105" s="42" t="s">
        <v>790</v>
      </c>
      <c r="D105" s="42" t="s">
        <v>662</v>
      </c>
      <c r="E105" s="42" t="s">
        <v>762</v>
      </c>
      <c r="F105" s="45">
        <v>11472075.89689993</v>
      </c>
      <c r="G105" s="42" t="s">
        <v>763</v>
      </c>
      <c r="H105" s="42" t="s">
        <v>88</v>
      </c>
      <c r="I105" s="42" t="s">
        <v>809</v>
      </c>
    </row>
    <row r="106" spans="1:9">
      <c r="A106" s="42" t="s">
        <v>759</v>
      </c>
      <c r="B106" s="42" t="s">
        <v>308</v>
      </c>
      <c r="C106" s="42" t="s">
        <v>791</v>
      </c>
      <c r="D106" s="42" t="s">
        <v>662</v>
      </c>
      <c r="E106" s="42" t="s">
        <v>762</v>
      </c>
      <c r="F106" s="45">
        <v>7911925725.495166</v>
      </c>
      <c r="G106" s="42" t="s">
        <v>763</v>
      </c>
      <c r="H106" s="42" t="s">
        <v>88</v>
      </c>
      <c r="I106" s="42" t="s">
        <v>809</v>
      </c>
    </row>
    <row r="107" spans="1:9">
      <c r="A107" s="42" t="s">
        <v>759</v>
      </c>
      <c r="B107" s="42" t="s">
        <v>309</v>
      </c>
      <c r="C107" s="42" t="s">
        <v>792</v>
      </c>
      <c r="D107" s="42" t="s">
        <v>662</v>
      </c>
      <c r="E107" s="42" t="s">
        <v>762</v>
      </c>
      <c r="F107" s="45">
        <v>14444386.47018765</v>
      </c>
      <c r="G107" s="42" t="s">
        <v>763</v>
      </c>
      <c r="H107" s="42" t="s">
        <v>88</v>
      </c>
      <c r="I107" s="42" t="s">
        <v>809</v>
      </c>
    </row>
    <row r="108" spans="1:9">
      <c r="A108" s="42" t="s">
        <v>759</v>
      </c>
      <c r="B108" s="42" t="s">
        <v>310</v>
      </c>
      <c r="C108" s="42" t="s">
        <v>793</v>
      </c>
      <c r="D108" s="42" t="s">
        <v>662</v>
      </c>
      <c r="E108" s="42" t="s">
        <v>762</v>
      </c>
      <c r="F108" s="45">
        <v>9646972.913302219</v>
      </c>
      <c r="G108" s="42" t="s">
        <v>763</v>
      </c>
      <c r="H108" s="42" t="s">
        <v>88</v>
      </c>
      <c r="I108" s="42" t="s">
        <v>809</v>
      </c>
    </row>
    <row r="109" spans="1:9">
      <c r="A109" s="42" t="s">
        <v>759</v>
      </c>
      <c r="B109" s="42" t="s">
        <v>311</v>
      </c>
      <c r="C109" s="42" t="s">
        <v>794</v>
      </c>
      <c r="D109" s="42" t="s">
        <v>662</v>
      </c>
      <c r="E109" s="42" t="s">
        <v>762</v>
      </c>
      <c r="F109" s="45">
        <v>13059967638.42948</v>
      </c>
      <c r="G109" s="42" t="s">
        <v>763</v>
      </c>
      <c r="H109" s="42" t="s">
        <v>88</v>
      </c>
      <c r="I109" s="42" t="s">
        <v>809</v>
      </c>
    </row>
    <row r="110" spans="1:9">
      <c r="A110" s="42" t="s">
        <v>759</v>
      </c>
      <c r="B110" s="42" t="s">
        <v>301</v>
      </c>
      <c r="C110" s="42" t="s">
        <v>795</v>
      </c>
      <c r="D110" s="42" t="s">
        <v>662</v>
      </c>
      <c r="E110" s="42" t="s">
        <v>762</v>
      </c>
      <c r="F110" s="45">
        <v>127340042.4555893</v>
      </c>
      <c r="G110" s="42" t="s">
        <v>763</v>
      </c>
      <c r="H110" s="42" t="s">
        <v>88</v>
      </c>
      <c r="I110" s="42" t="s">
        <v>809</v>
      </c>
    </row>
    <row r="111" spans="1:9">
      <c r="A111" s="42" t="s">
        <v>759</v>
      </c>
      <c r="B111" s="42" t="s">
        <v>302</v>
      </c>
      <c r="C111" s="42" t="s">
        <v>797</v>
      </c>
      <c r="D111" s="42" t="s">
        <v>662</v>
      </c>
      <c r="E111" s="42" t="s">
        <v>762</v>
      </c>
      <c r="F111" s="45">
        <v>76132867.31579047</v>
      </c>
      <c r="G111" s="42" t="s">
        <v>763</v>
      </c>
      <c r="H111" s="42" t="s">
        <v>88</v>
      </c>
      <c r="I111" s="42" t="s">
        <v>809</v>
      </c>
    </row>
    <row r="112" spans="1:9">
      <c r="A112" s="42" t="s">
        <v>759</v>
      </c>
      <c r="B112" s="42" t="s">
        <v>304</v>
      </c>
      <c r="C112" s="42" t="s">
        <v>796</v>
      </c>
      <c r="D112" s="42" t="s">
        <v>662</v>
      </c>
      <c r="E112" s="42" t="s">
        <v>762</v>
      </c>
      <c r="F112" s="45">
        <v>9959847.710490396</v>
      </c>
      <c r="G112" s="42" t="s">
        <v>763</v>
      </c>
      <c r="H112" s="42" t="s">
        <v>88</v>
      </c>
      <c r="I112" s="42" t="s">
        <v>809</v>
      </c>
    </row>
    <row r="113" spans="1:9">
      <c r="A113" s="42" t="s">
        <v>759</v>
      </c>
      <c r="B113" s="42" t="s">
        <v>305</v>
      </c>
      <c r="C113" s="42" t="s">
        <v>798</v>
      </c>
      <c r="D113" s="42" t="s">
        <v>662</v>
      </c>
      <c r="E113" s="42" t="s">
        <v>762</v>
      </c>
      <c r="F113" s="45">
        <v>358710954.9762484</v>
      </c>
      <c r="G113" s="42" t="s">
        <v>763</v>
      </c>
      <c r="H113" s="42" t="s">
        <v>88</v>
      </c>
      <c r="I113" s="42" t="s">
        <v>809</v>
      </c>
    </row>
    <row r="114" spans="1:9">
      <c r="A114" s="42" t="s">
        <v>759</v>
      </c>
      <c r="B114" s="42" t="s">
        <v>306</v>
      </c>
      <c r="C114" s="42" t="s">
        <v>799</v>
      </c>
      <c r="D114" s="42" t="s">
        <v>662</v>
      </c>
      <c r="E114" s="42" t="s">
        <v>762</v>
      </c>
      <c r="F114" s="45">
        <v>215466443.6635933</v>
      </c>
      <c r="G114" s="42" t="s">
        <v>763</v>
      </c>
      <c r="H114" s="42" t="s">
        <v>88</v>
      </c>
      <c r="I114" s="42" t="s">
        <v>809</v>
      </c>
    </row>
    <row r="115" spans="1:9">
      <c r="A115" s="42" t="s">
        <v>759</v>
      </c>
      <c r="B115" s="42" t="s">
        <v>308</v>
      </c>
      <c r="C115" s="42" t="s">
        <v>800</v>
      </c>
      <c r="D115" s="42" t="s">
        <v>662</v>
      </c>
      <c r="E115" s="42" t="s">
        <v>762</v>
      </c>
      <c r="F115" s="45">
        <v>2051207170.365708</v>
      </c>
      <c r="G115" s="42" t="s">
        <v>763</v>
      </c>
      <c r="H115" s="42" t="s">
        <v>88</v>
      </c>
      <c r="I115" s="42" t="s">
        <v>809</v>
      </c>
    </row>
    <row r="116" spans="1:9">
      <c r="A116" s="42" t="s">
        <v>759</v>
      </c>
      <c r="B116" s="42" t="s">
        <v>309</v>
      </c>
      <c r="C116" s="42" t="s">
        <v>801</v>
      </c>
      <c r="D116" s="42" t="s">
        <v>662</v>
      </c>
      <c r="E116" s="42" t="s">
        <v>762</v>
      </c>
      <c r="F116" s="45">
        <v>124263440.2832388</v>
      </c>
      <c r="G116" s="42" t="s">
        <v>763</v>
      </c>
      <c r="H116" s="42" t="s">
        <v>88</v>
      </c>
      <c r="I116" s="42" t="s">
        <v>809</v>
      </c>
    </row>
    <row r="117" spans="1:9">
      <c r="A117" s="42" t="s">
        <v>759</v>
      </c>
      <c r="B117" s="42" t="s">
        <v>310</v>
      </c>
      <c r="C117" s="42" t="s">
        <v>802</v>
      </c>
      <c r="D117" s="42" t="s">
        <v>662</v>
      </c>
      <c r="E117" s="42" t="s">
        <v>762</v>
      </c>
      <c r="F117" s="45">
        <v>2394065802.284422</v>
      </c>
      <c r="G117" s="42" t="s">
        <v>763</v>
      </c>
      <c r="H117" s="42" t="s">
        <v>88</v>
      </c>
      <c r="I117" s="42" t="s">
        <v>809</v>
      </c>
    </row>
    <row r="118" spans="1:9">
      <c r="A118" s="42" t="s">
        <v>759</v>
      </c>
      <c r="B118" s="42" t="s">
        <v>284</v>
      </c>
      <c r="C118" s="42" t="s">
        <v>803</v>
      </c>
      <c r="D118" s="42" t="s">
        <v>662</v>
      </c>
      <c r="E118" s="42" t="s">
        <v>762</v>
      </c>
      <c r="F118" s="45">
        <v>5357146569.055081</v>
      </c>
      <c r="G118" s="42" t="s">
        <v>763</v>
      </c>
      <c r="H118" s="42" t="s">
        <v>88</v>
      </c>
      <c r="I118" s="42" t="s">
        <v>809</v>
      </c>
    </row>
    <row r="119" spans="1:9">
      <c r="A119" s="42" t="s">
        <v>759</v>
      </c>
      <c r="B119" s="42" t="s">
        <v>285</v>
      </c>
      <c r="C119" s="42" t="s">
        <v>804</v>
      </c>
      <c r="D119" s="42" t="s">
        <v>662</v>
      </c>
      <c r="E119" s="42" t="s">
        <v>762</v>
      </c>
      <c r="F119" s="45">
        <v>18417114207.48456</v>
      </c>
      <c r="G119" s="42" t="s">
        <v>763</v>
      </c>
      <c r="H119" s="42" t="s">
        <v>88</v>
      </c>
      <c r="I119" s="42" t="s">
        <v>809</v>
      </c>
    </row>
    <row r="120" spans="1:9">
      <c r="A120" s="42" t="s">
        <v>759</v>
      </c>
      <c r="B120" s="42" t="s">
        <v>805</v>
      </c>
      <c r="C120" s="42" t="s">
        <v>806</v>
      </c>
      <c r="D120" s="42" t="s">
        <v>662</v>
      </c>
      <c r="E120" s="42" t="s">
        <v>762</v>
      </c>
      <c r="F120" s="45">
        <v>26371069447.402</v>
      </c>
      <c r="G120" s="42" t="s">
        <v>763</v>
      </c>
      <c r="H120" s="42" t="s">
        <v>88</v>
      </c>
      <c r="I120" s="42" t="s">
        <v>809</v>
      </c>
    </row>
    <row r="121" spans="1:9">
      <c r="A121" s="42" t="s">
        <v>759</v>
      </c>
      <c r="B121" s="42" t="s">
        <v>287</v>
      </c>
      <c r="C121" s="42" t="s">
        <v>760</v>
      </c>
      <c r="D121" s="42" t="s">
        <v>815</v>
      </c>
      <c r="E121" s="42" t="s">
        <v>808</v>
      </c>
      <c r="F121" s="45">
        <v>520206496.1248807</v>
      </c>
      <c r="G121" s="42" t="s">
        <v>763</v>
      </c>
      <c r="H121" s="42" t="s">
        <v>88</v>
      </c>
      <c r="I121" s="42" t="s">
        <v>809</v>
      </c>
    </row>
    <row r="122" spans="1:9">
      <c r="A122" s="42" t="s">
        <v>759</v>
      </c>
      <c r="B122" s="42" t="s">
        <v>288</v>
      </c>
      <c r="C122" s="42" t="s">
        <v>765</v>
      </c>
      <c r="D122" s="42" t="s">
        <v>815</v>
      </c>
      <c r="E122" s="42" t="s">
        <v>808</v>
      </c>
      <c r="F122" s="45">
        <v>18482713623.29501</v>
      </c>
      <c r="G122" s="42" t="s">
        <v>763</v>
      </c>
      <c r="H122" s="42" t="s">
        <v>88</v>
      </c>
      <c r="I122" s="42" t="s">
        <v>809</v>
      </c>
    </row>
    <row r="123" spans="1:9">
      <c r="A123" s="42" t="s">
        <v>759</v>
      </c>
      <c r="B123" s="42" t="s">
        <v>290</v>
      </c>
      <c r="C123" s="42" t="s">
        <v>766</v>
      </c>
      <c r="D123" s="42" t="s">
        <v>815</v>
      </c>
      <c r="E123" s="42" t="s">
        <v>808</v>
      </c>
      <c r="F123" s="45">
        <v>315221358.1670914</v>
      </c>
      <c r="G123" s="42" t="s">
        <v>763</v>
      </c>
      <c r="H123" s="42" t="s">
        <v>88</v>
      </c>
      <c r="I123" s="42" t="s">
        <v>809</v>
      </c>
    </row>
    <row r="124" spans="1:9">
      <c r="A124" s="42" t="s">
        <v>759</v>
      </c>
      <c r="B124" s="42" t="s">
        <v>810</v>
      </c>
      <c r="C124" s="42" t="s">
        <v>811</v>
      </c>
      <c r="D124" s="42" t="s">
        <v>815</v>
      </c>
      <c r="E124" s="42" t="s">
        <v>808</v>
      </c>
      <c r="F124" s="45">
        <v>460082389.2652187</v>
      </c>
      <c r="G124" s="42" t="s">
        <v>763</v>
      </c>
      <c r="H124" s="42" t="s">
        <v>88</v>
      </c>
      <c r="I124" s="42" t="s">
        <v>809</v>
      </c>
    </row>
    <row r="125" spans="1:9">
      <c r="A125" s="42" t="s">
        <v>759</v>
      </c>
      <c r="B125" s="42" t="s">
        <v>291</v>
      </c>
      <c r="C125" s="42" t="s">
        <v>767</v>
      </c>
      <c r="D125" s="42" t="s">
        <v>815</v>
      </c>
      <c r="E125" s="42" t="s">
        <v>808</v>
      </c>
      <c r="F125" s="45">
        <v>30661730.12444164</v>
      </c>
      <c r="G125" s="42" t="s">
        <v>763</v>
      </c>
      <c r="H125" s="42" t="s">
        <v>88</v>
      </c>
      <c r="I125" s="42" t="s">
        <v>809</v>
      </c>
    </row>
    <row r="126" spans="1:9">
      <c r="A126" s="42" t="s">
        <v>759</v>
      </c>
      <c r="B126" s="42" t="s">
        <v>292</v>
      </c>
      <c r="C126" s="42" t="s">
        <v>768</v>
      </c>
      <c r="D126" s="42" t="s">
        <v>815</v>
      </c>
      <c r="E126" s="42" t="s">
        <v>808</v>
      </c>
      <c r="F126" s="45">
        <v>69614642.37437005</v>
      </c>
      <c r="G126" s="42" t="s">
        <v>763</v>
      </c>
      <c r="H126" s="42" t="s">
        <v>88</v>
      </c>
      <c r="I126" s="42" t="s">
        <v>809</v>
      </c>
    </row>
    <row r="127" spans="1:9">
      <c r="A127" s="42" t="s">
        <v>759</v>
      </c>
      <c r="B127" s="42" t="s">
        <v>293</v>
      </c>
      <c r="C127" s="42" t="s">
        <v>769</v>
      </c>
      <c r="D127" s="42" t="s">
        <v>815</v>
      </c>
      <c r="E127" s="42" t="s">
        <v>808</v>
      </c>
      <c r="F127" s="45">
        <v>115242216.964313</v>
      </c>
      <c r="G127" s="42" t="s">
        <v>763</v>
      </c>
      <c r="H127" s="42" t="s">
        <v>88</v>
      </c>
      <c r="I127" s="42" t="s">
        <v>809</v>
      </c>
    </row>
    <row r="128" spans="1:9">
      <c r="A128" s="42" t="s">
        <v>759</v>
      </c>
      <c r="B128" s="42" t="s">
        <v>296</v>
      </c>
      <c r="C128" s="42" t="s">
        <v>771</v>
      </c>
      <c r="D128" s="42" t="s">
        <v>815</v>
      </c>
      <c r="E128" s="42" t="s">
        <v>808</v>
      </c>
      <c r="F128" s="45">
        <v>19993742456.31533</v>
      </c>
      <c r="G128" s="42" t="s">
        <v>763</v>
      </c>
      <c r="H128" s="42" t="s">
        <v>88</v>
      </c>
      <c r="I128" s="42" t="s">
        <v>809</v>
      </c>
    </row>
    <row r="129" spans="1:9">
      <c r="A129" s="42" t="s">
        <v>759</v>
      </c>
      <c r="B129" s="42" t="s">
        <v>241</v>
      </c>
      <c r="C129" s="42" t="s">
        <v>772</v>
      </c>
      <c r="D129" s="42" t="s">
        <v>815</v>
      </c>
      <c r="E129" s="42" t="s">
        <v>808</v>
      </c>
      <c r="F129" s="45">
        <v>1415706311.476983</v>
      </c>
      <c r="G129" s="42" t="s">
        <v>763</v>
      </c>
      <c r="H129" s="42" t="s">
        <v>88</v>
      </c>
      <c r="I129" s="42" t="s">
        <v>809</v>
      </c>
    </row>
    <row r="130" spans="1:9">
      <c r="A130" s="42" t="s">
        <v>759</v>
      </c>
      <c r="B130" s="42" t="s">
        <v>242</v>
      </c>
      <c r="C130" s="42" t="s">
        <v>773</v>
      </c>
      <c r="D130" s="42" t="s">
        <v>815</v>
      </c>
      <c r="E130" s="42" t="s">
        <v>808</v>
      </c>
      <c r="F130" s="45">
        <v>7404703.533453594</v>
      </c>
      <c r="G130" s="42" t="s">
        <v>763</v>
      </c>
      <c r="H130" s="42" t="s">
        <v>88</v>
      </c>
      <c r="I130" s="42" t="s">
        <v>809</v>
      </c>
    </row>
    <row r="131" spans="1:9">
      <c r="A131" s="42" t="s">
        <v>759</v>
      </c>
      <c r="B131" s="42" t="s">
        <v>292</v>
      </c>
      <c r="C131" s="42" t="s">
        <v>774</v>
      </c>
      <c r="D131" s="42" t="s">
        <v>815</v>
      </c>
      <c r="E131" s="42" t="s">
        <v>808</v>
      </c>
      <c r="F131" s="45">
        <v>661417321.2558125</v>
      </c>
      <c r="G131" s="42" t="s">
        <v>763</v>
      </c>
      <c r="H131" s="42" t="s">
        <v>88</v>
      </c>
      <c r="I131" s="42" t="s">
        <v>809</v>
      </c>
    </row>
    <row r="132" spans="1:9">
      <c r="A132" s="42" t="s">
        <v>759</v>
      </c>
      <c r="B132" s="42" t="s">
        <v>293</v>
      </c>
      <c r="C132" s="42" t="s">
        <v>775</v>
      </c>
      <c r="D132" s="42" t="s">
        <v>815</v>
      </c>
      <c r="E132" s="42" t="s">
        <v>808</v>
      </c>
      <c r="F132" s="45">
        <v>2119674605.150388</v>
      </c>
      <c r="G132" s="42" t="s">
        <v>763</v>
      </c>
      <c r="H132" s="42" t="s">
        <v>88</v>
      </c>
      <c r="I132" s="42" t="s">
        <v>809</v>
      </c>
    </row>
    <row r="133" spans="1:9">
      <c r="A133" s="42" t="s">
        <v>759</v>
      </c>
      <c r="B133" s="42" t="s">
        <v>295</v>
      </c>
      <c r="C133" s="42" t="s">
        <v>776</v>
      </c>
      <c r="D133" s="42" t="s">
        <v>815</v>
      </c>
      <c r="E133" s="42" t="s">
        <v>808</v>
      </c>
      <c r="F133" s="45">
        <v>674558062.7377161</v>
      </c>
      <c r="G133" s="42" t="s">
        <v>763</v>
      </c>
      <c r="H133" s="42" t="s">
        <v>88</v>
      </c>
      <c r="I133" s="42" t="s">
        <v>809</v>
      </c>
    </row>
    <row r="134" spans="1:9">
      <c r="A134" s="42" t="s">
        <v>759</v>
      </c>
      <c r="B134" s="42" t="s">
        <v>246</v>
      </c>
      <c r="C134" s="42" t="s">
        <v>777</v>
      </c>
      <c r="D134" s="42" t="s">
        <v>815</v>
      </c>
      <c r="E134" s="42" t="s">
        <v>808</v>
      </c>
      <c r="F134" s="45">
        <v>1498565986.93232</v>
      </c>
      <c r="G134" s="42" t="s">
        <v>763</v>
      </c>
      <c r="H134" s="42" t="s">
        <v>88</v>
      </c>
      <c r="I134" s="42" t="s">
        <v>809</v>
      </c>
    </row>
    <row r="135" spans="1:9">
      <c r="A135" s="42" t="s">
        <v>759</v>
      </c>
      <c r="B135" s="42" t="s">
        <v>247</v>
      </c>
      <c r="C135" s="42" t="s">
        <v>778</v>
      </c>
      <c r="D135" s="42" t="s">
        <v>815</v>
      </c>
      <c r="E135" s="42" t="s">
        <v>808</v>
      </c>
      <c r="F135" s="45">
        <v>6377326991.086674</v>
      </c>
      <c r="G135" s="42" t="s">
        <v>763</v>
      </c>
      <c r="H135" s="42" t="s">
        <v>88</v>
      </c>
      <c r="I135" s="42" t="s">
        <v>809</v>
      </c>
    </row>
    <row r="136" spans="1:9">
      <c r="A136" s="42" t="s">
        <v>759</v>
      </c>
      <c r="B136" s="42" t="s">
        <v>248</v>
      </c>
      <c r="C136" s="42" t="s">
        <v>779</v>
      </c>
      <c r="D136" s="42" t="s">
        <v>815</v>
      </c>
      <c r="E136" s="42" t="s">
        <v>808</v>
      </c>
      <c r="F136" s="45">
        <v>26371069447.402</v>
      </c>
      <c r="G136" s="42" t="s">
        <v>763</v>
      </c>
      <c r="H136" s="42" t="s">
        <v>88</v>
      </c>
      <c r="I136" s="42" t="s">
        <v>809</v>
      </c>
    </row>
    <row r="137" spans="1:9">
      <c r="A137" s="42" t="s">
        <v>759</v>
      </c>
      <c r="B137" s="42" t="s">
        <v>780</v>
      </c>
      <c r="C137" s="42" t="s">
        <v>781</v>
      </c>
      <c r="D137" s="42" t="s">
        <v>815</v>
      </c>
      <c r="E137" s="42" t="s">
        <v>808</v>
      </c>
      <c r="F137" s="45">
        <v>542420606.7252414</v>
      </c>
      <c r="G137" s="42" t="s">
        <v>763</v>
      </c>
      <c r="H137" s="42" t="s">
        <v>88</v>
      </c>
      <c r="I137" s="42" t="s">
        <v>809</v>
      </c>
    </row>
    <row r="138" spans="1:9">
      <c r="A138" s="42" t="s">
        <v>759</v>
      </c>
      <c r="B138" s="42" t="s">
        <v>299</v>
      </c>
      <c r="C138" s="42" t="s">
        <v>782</v>
      </c>
      <c r="D138" s="42" t="s">
        <v>815</v>
      </c>
      <c r="E138" s="42" t="s">
        <v>808</v>
      </c>
      <c r="F138" s="45">
        <v>7399123932.903738</v>
      </c>
      <c r="G138" s="42" t="s">
        <v>763</v>
      </c>
      <c r="H138" s="42" t="s">
        <v>88</v>
      </c>
      <c r="I138" s="42" t="s">
        <v>809</v>
      </c>
    </row>
    <row r="139" spans="1:9">
      <c r="A139" s="42" t="s">
        <v>759</v>
      </c>
      <c r="B139" s="42" t="s">
        <v>783</v>
      </c>
      <c r="C139" s="42" t="s">
        <v>784</v>
      </c>
      <c r="D139" s="42" t="s">
        <v>815</v>
      </c>
      <c r="E139" s="42" t="s">
        <v>808</v>
      </c>
      <c r="F139" s="45">
        <v>7941544539.62898</v>
      </c>
      <c r="G139" s="42" t="s">
        <v>763</v>
      </c>
      <c r="H139" s="42" t="s">
        <v>88</v>
      </c>
      <c r="I139" s="42" t="s">
        <v>809</v>
      </c>
    </row>
    <row r="140" spans="1:9">
      <c r="A140" s="42" t="s">
        <v>759</v>
      </c>
      <c r="B140" s="42" t="s">
        <v>261</v>
      </c>
      <c r="C140" s="42" t="s">
        <v>785</v>
      </c>
      <c r="D140" s="42" t="s">
        <v>815</v>
      </c>
      <c r="E140" s="42" t="s">
        <v>808</v>
      </c>
      <c r="F140" s="45">
        <v>12410700.28846447</v>
      </c>
      <c r="G140" s="42" t="s">
        <v>763</v>
      </c>
      <c r="H140" s="42" t="s">
        <v>88</v>
      </c>
      <c r="I140" s="42" t="s">
        <v>809</v>
      </c>
    </row>
    <row r="141" spans="1:9">
      <c r="A141" s="42" t="s">
        <v>759</v>
      </c>
      <c r="B141" s="42" t="s">
        <v>786</v>
      </c>
      <c r="C141" s="42" t="s">
        <v>787</v>
      </c>
      <c r="D141" s="42" t="s">
        <v>815</v>
      </c>
      <c r="E141" s="42" t="s">
        <v>808</v>
      </c>
      <c r="F141" s="45">
        <v>7953955239.917444</v>
      </c>
      <c r="G141" s="42" t="s">
        <v>763</v>
      </c>
      <c r="H141" s="42" t="s">
        <v>88</v>
      </c>
      <c r="I141" s="42" t="s">
        <v>809</v>
      </c>
    </row>
    <row r="142" spans="1:9">
      <c r="A142" s="42" t="s">
        <v>759</v>
      </c>
      <c r="B142" s="42" t="s">
        <v>812</v>
      </c>
      <c r="C142" s="42" t="s">
        <v>813</v>
      </c>
      <c r="D142" s="42" t="s">
        <v>815</v>
      </c>
      <c r="E142" s="42" t="s">
        <v>808</v>
      </c>
      <c r="F142" s="45">
        <v>218647337.4350065</v>
      </c>
      <c r="G142" s="42" t="s">
        <v>763</v>
      </c>
      <c r="H142" s="42" t="s">
        <v>88</v>
      </c>
      <c r="I142" s="42" t="s">
        <v>809</v>
      </c>
    </row>
    <row r="143" spans="1:9">
      <c r="A143" s="42" t="s">
        <v>759</v>
      </c>
      <c r="B143" s="42" t="s">
        <v>301</v>
      </c>
      <c r="C143" s="42" t="s">
        <v>788</v>
      </c>
      <c r="D143" s="42" t="s">
        <v>815</v>
      </c>
      <c r="E143" s="42" t="s">
        <v>808</v>
      </c>
      <c r="F143" s="45">
        <v>2854148191.549641</v>
      </c>
      <c r="G143" s="42" t="s">
        <v>763</v>
      </c>
      <c r="H143" s="42" t="s">
        <v>88</v>
      </c>
      <c r="I143" s="42" t="s">
        <v>809</v>
      </c>
    </row>
    <row r="144" spans="1:9">
      <c r="A144" s="42" t="s">
        <v>759</v>
      </c>
      <c r="B144" s="42" t="s">
        <v>303</v>
      </c>
      <c r="C144" s="42" t="s">
        <v>789</v>
      </c>
      <c r="D144" s="42" t="s">
        <v>815</v>
      </c>
      <c r="E144" s="42" t="s">
        <v>808</v>
      </c>
      <c r="F144" s="45">
        <v>1963028623.358173</v>
      </c>
      <c r="G144" s="42" t="s">
        <v>763</v>
      </c>
      <c r="H144" s="42" t="s">
        <v>88</v>
      </c>
      <c r="I144" s="42" t="s">
        <v>809</v>
      </c>
    </row>
    <row r="145" spans="1:9">
      <c r="A145" s="42" t="s">
        <v>759</v>
      </c>
      <c r="B145" s="42" t="s">
        <v>302</v>
      </c>
      <c r="C145" s="42" t="s">
        <v>814</v>
      </c>
      <c r="D145" s="42" t="s">
        <v>815</v>
      </c>
      <c r="E145" s="42" t="s">
        <v>808</v>
      </c>
      <c r="F145" s="45">
        <v>76654325.3111041</v>
      </c>
      <c r="G145" s="42" t="s">
        <v>763</v>
      </c>
      <c r="H145" s="42" t="s">
        <v>88</v>
      </c>
      <c r="I145" s="42" t="s">
        <v>809</v>
      </c>
    </row>
    <row r="146" spans="1:9">
      <c r="A146" s="42" t="s">
        <v>759</v>
      </c>
      <c r="B146" s="42" t="s">
        <v>305</v>
      </c>
      <c r="C146" s="42" t="s">
        <v>790</v>
      </c>
      <c r="D146" s="42" t="s">
        <v>815</v>
      </c>
      <c r="E146" s="42" t="s">
        <v>808</v>
      </c>
      <c r="F146" s="45">
        <v>11472075.89689993</v>
      </c>
      <c r="G146" s="42" t="s">
        <v>763</v>
      </c>
      <c r="H146" s="42" t="s">
        <v>88</v>
      </c>
      <c r="I146" s="42" t="s">
        <v>809</v>
      </c>
    </row>
    <row r="147" spans="1:9">
      <c r="A147" s="42" t="s">
        <v>759</v>
      </c>
      <c r="B147" s="42" t="s">
        <v>308</v>
      </c>
      <c r="C147" s="42" t="s">
        <v>791</v>
      </c>
      <c r="D147" s="42" t="s">
        <v>815</v>
      </c>
      <c r="E147" s="42" t="s">
        <v>808</v>
      </c>
      <c r="F147" s="45">
        <v>7911925725.495166</v>
      </c>
      <c r="G147" s="42" t="s">
        <v>763</v>
      </c>
      <c r="H147" s="42" t="s">
        <v>88</v>
      </c>
      <c r="I147" s="42" t="s">
        <v>809</v>
      </c>
    </row>
    <row r="148" spans="1:9">
      <c r="A148" s="42" t="s">
        <v>759</v>
      </c>
      <c r="B148" s="42" t="s">
        <v>309</v>
      </c>
      <c r="C148" s="42" t="s">
        <v>792</v>
      </c>
      <c r="D148" s="42" t="s">
        <v>815</v>
      </c>
      <c r="E148" s="42" t="s">
        <v>808</v>
      </c>
      <c r="F148" s="45">
        <v>14444386.47018765</v>
      </c>
      <c r="G148" s="42" t="s">
        <v>763</v>
      </c>
      <c r="H148" s="42" t="s">
        <v>88</v>
      </c>
      <c r="I148" s="42" t="s">
        <v>809</v>
      </c>
    </row>
    <row r="149" spans="1:9">
      <c r="A149" s="42" t="s">
        <v>759</v>
      </c>
      <c r="B149" s="42" t="s">
        <v>310</v>
      </c>
      <c r="C149" s="42" t="s">
        <v>793</v>
      </c>
      <c r="D149" s="42" t="s">
        <v>815</v>
      </c>
      <c r="E149" s="42" t="s">
        <v>808</v>
      </c>
      <c r="F149" s="45">
        <v>9646972.913302219</v>
      </c>
      <c r="G149" s="42" t="s">
        <v>763</v>
      </c>
      <c r="H149" s="42" t="s">
        <v>88</v>
      </c>
      <c r="I149" s="42" t="s">
        <v>809</v>
      </c>
    </row>
    <row r="150" spans="1:9">
      <c r="A150" s="42" t="s">
        <v>759</v>
      </c>
      <c r="B150" s="42" t="s">
        <v>311</v>
      </c>
      <c r="C150" s="42" t="s">
        <v>794</v>
      </c>
      <c r="D150" s="42" t="s">
        <v>815</v>
      </c>
      <c r="E150" s="42" t="s">
        <v>808</v>
      </c>
      <c r="F150" s="45">
        <v>13059967638.42948</v>
      </c>
      <c r="G150" s="42" t="s">
        <v>763</v>
      </c>
      <c r="H150" s="42" t="s">
        <v>88</v>
      </c>
      <c r="I150" s="42" t="s">
        <v>809</v>
      </c>
    </row>
    <row r="151" spans="1:9">
      <c r="A151" s="42" t="s">
        <v>759</v>
      </c>
      <c r="B151" s="42" t="s">
        <v>301</v>
      </c>
      <c r="C151" s="42" t="s">
        <v>795</v>
      </c>
      <c r="D151" s="42" t="s">
        <v>815</v>
      </c>
      <c r="E151" s="42" t="s">
        <v>808</v>
      </c>
      <c r="F151" s="45">
        <v>127340042.4555893</v>
      </c>
      <c r="G151" s="42" t="s">
        <v>763</v>
      </c>
      <c r="H151" s="42" t="s">
        <v>88</v>
      </c>
      <c r="I151" s="42" t="s">
        <v>809</v>
      </c>
    </row>
    <row r="152" spans="1:9">
      <c r="A152" s="42" t="s">
        <v>759</v>
      </c>
      <c r="B152" s="42" t="s">
        <v>302</v>
      </c>
      <c r="C152" s="42" t="s">
        <v>797</v>
      </c>
      <c r="D152" s="42" t="s">
        <v>815</v>
      </c>
      <c r="E152" s="42" t="s">
        <v>808</v>
      </c>
      <c r="F152" s="45">
        <v>76132867.31579047</v>
      </c>
      <c r="G152" s="42" t="s">
        <v>763</v>
      </c>
      <c r="H152" s="42" t="s">
        <v>88</v>
      </c>
      <c r="I152" s="42" t="s">
        <v>809</v>
      </c>
    </row>
    <row r="153" spans="1:9">
      <c r="A153" s="42" t="s">
        <v>759</v>
      </c>
      <c r="B153" s="42" t="s">
        <v>304</v>
      </c>
      <c r="C153" s="42" t="s">
        <v>796</v>
      </c>
      <c r="D153" s="42" t="s">
        <v>815</v>
      </c>
      <c r="E153" s="42" t="s">
        <v>808</v>
      </c>
      <c r="F153" s="45">
        <v>9959847.710490396</v>
      </c>
      <c r="G153" s="42" t="s">
        <v>763</v>
      </c>
      <c r="H153" s="42" t="s">
        <v>88</v>
      </c>
      <c r="I153" s="42" t="s">
        <v>809</v>
      </c>
    </row>
    <row r="154" spans="1:9">
      <c r="A154" s="42" t="s">
        <v>759</v>
      </c>
      <c r="B154" s="42" t="s">
        <v>305</v>
      </c>
      <c r="C154" s="42" t="s">
        <v>798</v>
      </c>
      <c r="D154" s="42" t="s">
        <v>815</v>
      </c>
      <c r="E154" s="42" t="s">
        <v>808</v>
      </c>
      <c r="F154" s="45">
        <v>358710954.9762484</v>
      </c>
      <c r="G154" s="42" t="s">
        <v>763</v>
      </c>
      <c r="H154" s="42" t="s">
        <v>88</v>
      </c>
      <c r="I154" s="42" t="s">
        <v>809</v>
      </c>
    </row>
    <row r="155" spans="1:9">
      <c r="A155" s="42" t="s">
        <v>759</v>
      </c>
      <c r="B155" s="42" t="s">
        <v>306</v>
      </c>
      <c r="C155" s="42" t="s">
        <v>799</v>
      </c>
      <c r="D155" s="42" t="s">
        <v>815</v>
      </c>
      <c r="E155" s="42" t="s">
        <v>808</v>
      </c>
      <c r="F155" s="45">
        <v>215466443.6635933</v>
      </c>
      <c r="G155" s="42" t="s">
        <v>763</v>
      </c>
      <c r="H155" s="42" t="s">
        <v>88</v>
      </c>
      <c r="I155" s="42" t="s">
        <v>809</v>
      </c>
    </row>
    <row r="156" spans="1:9">
      <c r="A156" s="42" t="s">
        <v>759</v>
      </c>
      <c r="B156" s="42" t="s">
        <v>308</v>
      </c>
      <c r="C156" s="42" t="s">
        <v>800</v>
      </c>
      <c r="D156" s="42" t="s">
        <v>815</v>
      </c>
      <c r="E156" s="42" t="s">
        <v>808</v>
      </c>
      <c r="F156" s="45">
        <v>2051207170.365708</v>
      </c>
      <c r="G156" s="42" t="s">
        <v>763</v>
      </c>
      <c r="H156" s="42" t="s">
        <v>88</v>
      </c>
      <c r="I156" s="42" t="s">
        <v>809</v>
      </c>
    </row>
    <row r="157" spans="1:9">
      <c r="A157" s="42" t="s">
        <v>759</v>
      </c>
      <c r="B157" s="42" t="s">
        <v>309</v>
      </c>
      <c r="C157" s="42" t="s">
        <v>801</v>
      </c>
      <c r="D157" s="42" t="s">
        <v>815</v>
      </c>
      <c r="E157" s="42" t="s">
        <v>808</v>
      </c>
      <c r="F157" s="45">
        <v>124263440.2832388</v>
      </c>
      <c r="G157" s="42" t="s">
        <v>763</v>
      </c>
      <c r="H157" s="42" t="s">
        <v>88</v>
      </c>
      <c r="I157" s="42" t="s">
        <v>809</v>
      </c>
    </row>
    <row r="158" spans="1:9">
      <c r="A158" s="42" t="s">
        <v>759</v>
      </c>
      <c r="B158" s="42" t="s">
        <v>310</v>
      </c>
      <c r="C158" s="42" t="s">
        <v>802</v>
      </c>
      <c r="D158" s="42" t="s">
        <v>815</v>
      </c>
      <c r="E158" s="42" t="s">
        <v>808</v>
      </c>
      <c r="F158" s="45">
        <v>2394065802.284422</v>
      </c>
      <c r="G158" s="42" t="s">
        <v>763</v>
      </c>
      <c r="H158" s="42" t="s">
        <v>88</v>
      </c>
      <c r="I158" s="42" t="s">
        <v>809</v>
      </c>
    </row>
    <row r="159" spans="1:9">
      <c r="A159" s="42" t="s">
        <v>759</v>
      </c>
      <c r="B159" s="42" t="s">
        <v>284</v>
      </c>
      <c r="C159" s="42" t="s">
        <v>803</v>
      </c>
      <c r="D159" s="42" t="s">
        <v>815</v>
      </c>
      <c r="E159" s="42" t="s">
        <v>808</v>
      </c>
      <c r="F159" s="45">
        <v>5357146569.055081</v>
      </c>
      <c r="G159" s="42" t="s">
        <v>763</v>
      </c>
      <c r="H159" s="42" t="s">
        <v>88</v>
      </c>
      <c r="I159" s="42" t="s">
        <v>809</v>
      </c>
    </row>
    <row r="160" spans="1:9">
      <c r="A160" s="42" t="s">
        <v>759</v>
      </c>
      <c r="B160" s="42" t="s">
        <v>285</v>
      </c>
      <c r="C160" s="42" t="s">
        <v>804</v>
      </c>
      <c r="D160" s="42" t="s">
        <v>815</v>
      </c>
      <c r="E160" s="42" t="s">
        <v>808</v>
      </c>
      <c r="F160" s="45">
        <v>18417114207.48456</v>
      </c>
      <c r="G160" s="42" t="s">
        <v>763</v>
      </c>
      <c r="H160" s="42" t="s">
        <v>88</v>
      </c>
      <c r="I160" s="42" t="s">
        <v>809</v>
      </c>
    </row>
    <row r="161" spans="1:9">
      <c r="A161" s="42" t="s">
        <v>759</v>
      </c>
      <c r="B161" s="42" t="s">
        <v>805</v>
      </c>
      <c r="C161" s="42" t="s">
        <v>806</v>
      </c>
      <c r="D161" s="42" t="s">
        <v>815</v>
      </c>
      <c r="E161" s="42" t="s">
        <v>808</v>
      </c>
      <c r="F161" s="45">
        <v>26371069447.402</v>
      </c>
      <c r="G161" s="42" t="s">
        <v>763</v>
      </c>
      <c r="H161" s="42" t="s">
        <v>88</v>
      </c>
      <c r="I161" s="42" t="s">
        <v>809</v>
      </c>
    </row>
    <row r="162" spans="1:9">
      <c r="A162" s="42" t="s">
        <v>759</v>
      </c>
      <c r="B162" s="42" t="s">
        <v>287</v>
      </c>
      <c r="C162" s="42" t="s">
        <v>760</v>
      </c>
      <c r="D162" s="42" t="s">
        <v>816</v>
      </c>
      <c r="E162" s="42" t="s">
        <v>762</v>
      </c>
      <c r="F162" s="45">
        <v>541296303.5159259</v>
      </c>
      <c r="G162" s="42" t="s">
        <v>763</v>
      </c>
      <c r="H162" s="42" t="s">
        <v>98</v>
      </c>
      <c r="I162" s="42" t="s">
        <v>817</v>
      </c>
    </row>
    <row r="163" spans="1:9">
      <c r="A163" s="42" t="s">
        <v>759</v>
      </c>
      <c r="B163" s="42" t="s">
        <v>288</v>
      </c>
      <c r="C163" s="42" t="s">
        <v>765</v>
      </c>
      <c r="D163" s="42" t="s">
        <v>816</v>
      </c>
      <c r="E163" s="42" t="s">
        <v>762</v>
      </c>
      <c r="F163" s="45">
        <v>18547848688.16969</v>
      </c>
      <c r="G163" s="42" t="s">
        <v>763</v>
      </c>
      <c r="H163" s="42" t="s">
        <v>98</v>
      </c>
      <c r="I163" s="42" t="s">
        <v>817</v>
      </c>
    </row>
    <row r="164" spans="1:9">
      <c r="A164" s="42" t="s">
        <v>759</v>
      </c>
      <c r="B164" s="42" t="s">
        <v>290</v>
      </c>
      <c r="C164" s="42" t="s">
        <v>766</v>
      </c>
      <c r="D164" s="42" t="s">
        <v>816</v>
      </c>
      <c r="E164" s="42" t="s">
        <v>762</v>
      </c>
      <c r="F164" s="45">
        <v>867209635.1691772</v>
      </c>
      <c r="G164" s="42" t="s">
        <v>763</v>
      </c>
      <c r="H164" s="42" t="s">
        <v>98</v>
      </c>
      <c r="I164" s="42" t="s">
        <v>817</v>
      </c>
    </row>
    <row r="165" spans="1:9">
      <c r="A165" s="42" t="s">
        <v>759</v>
      </c>
      <c r="B165" s="42" t="s">
        <v>291</v>
      </c>
      <c r="C165" s="42" t="s">
        <v>767</v>
      </c>
      <c r="D165" s="42" t="s">
        <v>816</v>
      </c>
      <c r="E165" s="42" t="s">
        <v>762</v>
      </c>
      <c r="F165" s="45">
        <v>7985990.949823237</v>
      </c>
      <c r="G165" s="42" t="s">
        <v>763</v>
      </c>
      <c r="H165" s="42" t="s">
        <v>98</v>
      </c>
      <c r="I165" s="42" t="s">
        <v>817</v>
      </c>
    </row>
    <row r="166" spans="1:9">
      <c r="A166" s="42" t="s">
        <v>759</v>
      </c>
      <c r="B166" s="42" t="s">
        <v>292</v>
      </c>
      <c r="C166" s="42" t="s">
        <v>768</v>
      </c>
      <c r="D166" s="42" t="s">
        <v>816</v>
      </c>
      <c r="E166" s="42" t="s">
        <v>762</v>
      </c>
      <c r="F166" s="45">
        <v>255153737.4234222</v>
      </c>
      <c r="G166" s="42" t="s">
        <v>763</v>
      </c>
      <c r="H166" s="42" t="s">
        <v>98</v>
      </c>
      <c r="I166" s="42" t="s">
        <v>817</v>
      </c>
    </row>
    <row r="167" spans="1:9">
      <c r="A167" s="42" t="s">
        <v>759</v>
      </c>
      <c r="B167" s="42" t="s">
        <v>293</v>
      </c>
      <c r="C167" s="42" t="s">
        <v>769</v>
      </c>
      <c r="D167" s="42" t="s">
        <v>816</v>
      </c>
      <c r="E167" s="42" t="s">
        <v>762</v>
      </c>
      <c r="F167" s="45">
        <v>623703240.0280553</v>
      </c>
      <c r="G167" s="42" t="s">
        <v>763</v>
      </c>
      <c r="H167" s="42" t="s">
        <v>98</v>
      </c>
      <c r="I167" s="42" t="s">
        <v>817</v>
      </c>
    </row>
    <row r="168" spans="1:9">
      <c r="A168" s="42" t="s">
        <v>759</v>
      </c>
      <c r="B168" s="42" t="s">
        <v>296</v>
      </c>
      <c r="C168" s="42" t="s">
        <v>771</v>
      </c>
      <c r="D168" s="42" t="s">
        <v>816</v>
      </c>
      <c r="E168" s="42" t="s">
        <v>762</v>
      </c>
      <c r="F168" s="45">
        <v>20843197595.2561</v>
      </c>
      <c r="G168" s="42" t="s">
        <v>763</v>
      </c>
      <c r="H168" s="42" t="s">
        <v>98</v>
      </c>
      <c r="I168" s="42" t="s">
        <v>817</v>
      </c>
    </row>
    <row r="169" spans="1:9">
      <c r="A169" s="42" t="s">
        <v>759</v>
      </c>
      <c r="B169" s="42" t="s">
        <v>810</v>
      </c>
      <c r="C169" s="42" t="s">
        <v>818</v>
      </c>
      <c r="D169" s="42" t="s">
        <v>816</v>
      </c>
      <c r="E169" s="42" t="s">
        <v>762</v>
      </c>
      <c r="F169" s="45">
        <v>84609053.61789471</v>
      </c>
      <c r="G169" s="42" t="s">
        <v>763</v>
      </c>
      <c r="H169" s="42" t="s">
        <v>98</v>
      </c>
      <c r="I169" s="42" t="s">
        <v>817</v>
      </c>
    </row>
    <row r="170" spans="1:9">
      <c r="A170" s="42" t="s">
        <v>759</v>
      </c>
      <c r="B170" s="42" t="s">
        <v>241</v>
      </c>
      <c r="C170" s="42" t="s">
        <v>772</v>
      </c>
      <c r="D170" s="42" t="s">
        <v>816</v>
      </c>
      <c r="E170" s="42" t="s">
        <v>762</v>
      </c>
      <c r="F170" s="45">
        <v>1414767380.094267</v>
      </c>
      <c r="G170" s="42" t="s">
        <v>763</v>
      </c>
      <c r="H170" s="42" t="s">
        <v>98</v>
      </c>
      <c r="I170" s="42" t="s">
        <v>817</v>
      </c>
    </row>
    <row r="171" spans="1:9">
      <c r="A171" s="42" t="s">
        <v>759</v>
      </c>
      <c r="B171" s="42" t="s">
        <v>242</v>
      </c>
      <c r="C171" s="42" t="s">
        <v>773</v>
      </c>
      <c r="D171" s="42" t="s">
        <v>816</v>
      </c>
      <c r="E171" s="42" t="s">
        <v>762</v>
      </c>
      <c r="F171" s="45">
        <v>11143243.18579987</v>
      </c>
      <c r="G171" s="42" t="s">
        <v>763</v>
      </c>
      <c r="H171" s="42" t="s">
        <v>98</v>
      </c>
      <c r="I171" s="42" t="s">
        <v>817</v>
      </c>
    </row>
    <row r="172" spans="1:9">
      <c r="A172" s="42" t="s">
        <v>759</v>
      </c>
      <c r="B172" s="42" t="s">
        <v>292</v>
      </c>
      <c r="C172" s="42" t="s">
        <v>774</v>
      </c>
      <c r="D172" s="42" t="s">
        <v>816</v>
      </c>
      <c r="E172" s="42" t="s">
        <v>762</v>
      </c>
      <c r="F172" s="45">
        <v>580164997.0092516</v>
      </c>
      <c r="G172" s="42" t="s">
        <v>763</v>
      </c>
      <c r="H172" s="42" t="s">
        <v>98</v>
      </c>
      <c r="I172" s="42" t="s">
        <v>817</v>
      </c>
    </row>
    <row r="173" spans="1:9">
      <c r="A173" s="42" t="s">
        <v>759</v>
      </c>
      <c r="B173" s="42" t="s">
        <v>293</v>
      </c>
      <c r="C173" s="42" t="s">
        <v>775</v>
      </c>
      <c r="D173" s="42" t="s">
        <v>816</v>
      </c>
      <c r="E173" s="42" t="s">
        <v>762</v>
      </c>
      <c r="F173" s="45">
        <v>1927409629.70385</v>
      </c>
      <c r="G173" s="42" t="s">
        <v>763</v>
      </c>
      <c r="H173" s="42" t="s">
        <v>98</v>
      </c>
      <c r="I173" s="42" t="s">
        <v>817</v>
      </c>
    </row>
    <row r="174" spans="1:9">
      <c r="A174" s="42" t="s">
        <v>759</v>
      </c>
      <c r="B174" s="42" t="s">
        <v>295</v>
      </c>
      <c r="C174" s="42" t="s">
        <v>776</v>
      </c>
      <c r="D174" s="42" t="s">
        <v>816</v>
      </c>
      <c r="E174" s="42" t="s">
        <v>762</v>
      </c>
      <c r="F174" s="45">
        <v>290281484.9900865</v>
      </c>
      <c r="G174" s="42" t="s">
        <v>763</v>
      </c>
      <c r="H174" s="42" t="s">
        <v>98</v>
      </c>
      <c r="I174" s="42" t="s">
        <v>817</v>
      </c>
    </row>
    <row r="175" spans="1:9">
      <c r="A175" s="42" t="s">
        <v>759</v>
      </c>
      <c r="B175" s="42" t="s">
        <v>246</v>
      </c>
      <c r="C175" s="42" t="s">
        <v>777</v>
      </c>
      <c r="D175" s="42" t="s">
        <v>816</v>
      </c>
      <c r="E175" s="42" t="s">
        <v>762</v>
      </c>
      <c r="F175" s="45">
        <v>1221193327.038086</v>
      </c>
      <c r="G175" s="42" t="s">
        <v>763</v>
      </c>
      <c r="H175" s="42" t="s">
        <v>98</v>
      </c>
      <c r="I175" s="42" t="s">
        <v>817</v>
      </c>
    </row>
    <row r="176" spans="1:9">
      <c r="A176" s="42" t="s">
        <v>759</v>
      </c>
      <c r="B176" s="42" t="s">
        <v>247</v>
      </c>
      <c r="C176" s="42" t="s">
        <v>778</v>
      </c>
      <c r="D176" s="42" t="s">
        <v>816</v>
      </c>
      <c r="E176" s="42" t="s">
        <v>762</v>
      </c>
      <c r="F176" s="45">
        <v>5529569115.639235</v>
      </c>
      <c r="G176" s="42" t="s">
        <v>763</v>
      </c>
      <c r="H176" s="42" t="s">
        <v>98</v>
      </c>
      <c r="I176" s="42" t="s">
        <v>817</v>
      </c>
    </row>
    <row r="177" spans="1:9">
      <c r="A177" s="42" t="s">
        <v>759</v>
      </c>
      <c r="B177" s="42" t="s">
        <v>248</v>
      </c>
      <c r="C177" s="42" t="s">
        <v>779</v>
      </c>
      <c r="D177" s="42" t="s">
        <v>816</v>
      </c>
      <c r="E177" s="42" t="s">
        <v>762</v>
      </c>
      <c r="F177" s="45">
        <v>26372766710.89533</v>
      </c>
      <c r="G177" s="42" t="s">
        <v>763</v>
      </c>
      <c r="H177" s="42" t="s">
        <v>98</v>
      </c>
      <c r="I177" s="42" t="s">
        <v>817</v>
      </c>
    </row>
    <row r="178" spans="1:9">
      <c r="A178" s="42" t="s">
        <v>759</v>
      </c>
      <c r="B178" s="42" t="s">
        <v>780</v>
      </c>
      <c r="C178" s="42" t="s">
        <v>781</v>
      </c>
      <c r="D178" s="42" t="s">
        <v>816</v>
      </c>
      <c r="E178" s="42" t="s">
        <v>762</v>
      </c>
      <c r="F178" s="45">
        <v>279058647.2101024</v>
      </c>
      <c r="G178" s="42" t="s">
        <v>763</v>
      </c>
      <c r="H178" s="42" t="s">
        <v>98</v>
      </c>
      <c r="I178" s="42" t="s">
        <v>817</v>
      </c>
    </row>
    <row r="179" spans="1:9">
      <c r="A179" s="42" t="s">
        <v>759</v>
      </c>
      <c r="B179" s="42" t="s">
        <v>299</v>
      </c>
      <c r="C179" s="42" t="s">
        <v>782</v>
      </c>
      <c r="D179" s="42" t="s">
        <v>816</v>
      </c>
      <c r="E179" s="42" t="s">
        <v>762</v>
      </c>
      <c r="F179" s="45">
        <v>9251067429.78826</v>
      </c>
      <c r="G179" s="42" t="s">
        <v>763</v>
      </c>
      <c r="H179" s="42" t="s">
        <v>98</v>
      </c>
      <c r="I179" s="42" t="s">
        <v>817</v>
      </c>
    </row>
    <row r="180" spans="1:9">
      <c r="A180" s="42" t="s">
        <v>759</v>
      </c>
      <c r="B180" s="42" t="s">
        <v>783</v>
      </c>
      <c r="C180" s="42" t="s">
        <v>784</v>
      </c>
      <c r="D180" s="42" t="s">
        <v>816</v>
      </c>
      <c r="E180" s="42" t="s">
        <v>762</v>
      </c>
      <c r="F180" s="45">
        <v>9530126076.998362</v>
      </c>
      <c r="G180" s="42" t="s">
        <v>763</v>
      </c>
      <c r="H180" s="42" t="s">
        <v>98</v>
      </c>
      <c r="I180" s="42" t="s">
        <v>817</v>
      </c>
    </row>
    <row r="181" spans="1:9">
      <c r="A181" s="42" t="s">
        <v>759</v>
      </c>
      <c r="B181" s="42" t="s">
        <v>261</v>
      </c>
      <c r="C181" s="42" t="s">
        <v>785</v>
      </c>
      <c r="D181" s="42" t="s">
        <v>816</v>
      </c>
      <c r="E181" s="42" t="s">
        <v>762</v>
      </c>
      <c r="F181" s="45">
        <v>83760044.61326233</v>
      </c>
      <c r="G181" s="42" t="s">
        <v>763</v>
      </c>
      <c r="H181" s="42" t="s">
        <v>98</v>
      </c>
      <c r="I181" s="42" t="s">
        <v>817</v>
      </c>
    </row>
    <row r="182" spans="1:9">
      <c r="A182" s="42" t="s">
        <v>759</v>
      </c>
      <c r="B182" s="42" t="s">
        <v>786</v>
      </c>
      <c r="C182" s="42" t="s">
        <v>787</v>
      </c>
      <c r="D182" s="42" t="s">
        <v>816</v>
      </c>
      <c r="E182" s="42" t="s">
        <v>762</v>
      </c>
      <c r="F182" s="45">
        <v>9613886121.611624</v>
      </c>
      <c r="G182" s="42" t="s">
        <v>763</v>
      </c>
      <c r="H182" s="42" t="s">
        <v>98</v>
      </c>
      <c r="I182" s="42" t="s">
        <v>817</v>
      </c>
    </row>
    <row r="183" spans="1:9">
      <c r="A183" s="42" t="s">
        <v>759</v>
      </c>
      <c r="B183" s="42" t="s">
        <v>301</v>
      </c>
      <c r="C183" s="42" t="s">
        <v>788</v>
      </c>
      <c r="D183" s="42" t="s">
        <v>816</v>
      </c>
      <c r="E183" s="42" t="s">
        <v>762</v>
      </c>
      <c r="F183" s="45">
        <v>2212411339.946379</v>
      </c>
      <c r="G183" s="42" t="s">
        <v>763</v>
      </c>
      <c r="H183" s="42" t="s">
        <v>98</v>
      </c>
      <c r="I183" s="42" t="s">
        <v>817</v>
      </c>
    </row>
    <row r="184" spans="1:9">
      <c r="A184" s="42" t="s">
        <v>759</v>
      </c>
      <c r="B184" s="42" t="s">
        <v>303</v>
      </c>
      <c r="C184" s="42" t="s">
        <v>789</v>
      </c>
      <c r="D184" s="42" t="s">
        <v>816</v>
      </c>
      <c r="E184" s="42" t="s">
        <v>762</v>
      </c>
      <c r="F184" s="45">
        <v>2417685798.347649</v>
      </c>
      <c r="G184" s="42" t="s">
        <v>763</v>
      </c>
      <c r="H184" s="42" t="s">
        <v>98</v>
      </c>
      <c r="I184" s="42" t="s">
        <v>817</v>
      </c>
    </row>
    <row r="185" spans="1:9">
      <c r="A185" s="42" t="s">
        <v>759</v>
      </c>
      <c r="B185" s="42" t="s">
        <v>302</v>
      </c>
      <c r="C185" s="42" t="s">
        <v>814</v>
      </c>
      <c r="D185" s="42" t="s">
        <v>816</v>
      </c>
      <c r="E185" s="42" t="s">
        <v>762</v>
      </c>
      <c r="F185" s="45">
        <v>48499639.38962418</v>
      </c>
      <c r="G185" s="42" t="s">
        <v>763</v>
      </c>
      <c r="H185" s="42" t="s">
        <v>98</v>
      </c>
      <c r="I185" s="42" t="s">
        <v>817</v>
      </c>
    </row>
    <row r="186" spans="1:9">
      <c r="A186" s="42" t="s">
        <v>759</v>
      </c>
      <c r="B186" s="42" t="s">
        <v>305</v>
      </c>
      <c r="C186" s="42" t="s">
        <v>790</v>
      </c>
      <c r="D186" s="42" t="s">
        <v>816</v>
      </c>
      <c r="E186" s="42" t="s">
        <v>762</v>
      </c>
      <c r="F186" s="45">
        <v>57706080.78360645</v>
      </c>
      <c r="G186" s="42" t="s">
        <v>763</v>
      </c>
      <c r="H186" s="42" t="s">
        <v>98</v>
      </c>
      <c r="I186" s="42" t="s">
        <v>817</v>
      </c>
    </row>
    <row r="187" spans="1:9">
      <c r="A187" s="42" t="s">
        <v>759</v>
      </c>
      <c r="B187" s="42" t="s">
        <v>308</v>
      </c>
      <c r="C187" s="42" t="s">
        <v>791</v>
      </c>
      <c r="D187" s="42" t="s">
        <v>816</v>
      </c>
      <c r="E187" s="42" t="s">
        <v>762</v>
      </c>
      <c r="F187" s="45">
        <v>7170199422.497108</v>
      </c>
      <c r="G187" s="42" t="s">
        <v>763</v>
      </c>
      <c r="H187" s="42" t="s">
        <v>98</v>
      </c>
      <c r="I187" s="42" t="s">
        <v>817</v>
      </c>
    </row>
    <row r="188" spans="1:9">
      <c r="A188" s="42" t="s">
        <v>759</v>
      </c>
      <c r="B188" s="42" t="s">
        <v>309</v>
      </c>
      <c r="C188" s="42" t="s">
        <v>792</v>
      </c>
      <c r="D188" s="42" t="s">
        <v>816</v>
      </c>
      <c r="E188" s="42" t="s">
        <v>762</v>
      </c>
      <c r="F188" s="45">
        <v>14565810.73572411</v>
      </c>
      <c r="G188" s="42" t="s">
        <v>763</v>
      </c>
      <c r="H188" s="42" t="s">
        <v>98</v>
      </c>
      <c r="I188" s="42" t="s">
        <v>817</v>
      </c>
    </row>
    <row r="189" spans="1:9">
      <c r="A189" s="42" t="s">
        <v>759</v>
      </c>
      <c r="B189" s="42" t="s">
        <v>310</v>
      </c>
      <c r="C189" s="42" t="s">
        <v>793</v>
      </c>
      <c r="D189" s="42" t="s">
        <v>816</v>
      </c>
      <c r="E189" s="42" t="s">
        <v>762</v>
      </c>
      <c r="F189" s="45">
        <v>89490855.39453083</v>
      </c>
      <c r="G189" s="42" t="s">
        <v>763</v>
      </c>
      <c r="H189" s="42" t="s">
        <v>98</v>
      </c>
      <c r="I189" s="42" t="s">
        <v>817</v>
      </c>
    </row>
    <row r="190" spans="1:9">
      <c r="A190" s="42" t="s">
        <v>759</v>
      </c>
      <c r="B190" s="42" t="s">
        <v>311</v>
      </c>
      <c r="C190" s="42" t="s">
        <v>794</v>
      </c>
      <c r="D190" s="42" t="s">
        <v>816</v>
      </c>
      <c r="E190" s="42" t="s">
        <v>762</v>
      </c>
      <c r="F190" s="45">
        <v>12010558947.09462</v>
      </c>
      <c r="G190" s="42" t="s">
        <v>763</v>
      </c>
      <c r="H190" s="42" t="s">
        <v>98</v>
      </c>
      <c r="I190" s="42" t="s">
        <v>817</v>
      </c>
    </row>
    <row r="191" spans="1:9">
      <c r="A191" s="42" t="s">
        <v>759</v>
      </c>
      <c r="B191" s="42" t="s">
        <v>812</v>
      </c>
      <c r="C191" s="42" t="s">
        <v>819</v>
      </c>
      <c r="D191" s="42" t="s">
        <v>816</v>
      </c>
      <c r="E191" s="42" t="s">
        <v>762</v>
      </c>
      <c r="F191" s="45">
        <v>83123287.85978805</v>
      </c>
      <c r="G191" s="42" t="s">
        <v>763</v>
      </c>
      <c r="H191" s="42" t="s">
        <v>98</v>
      </c>
      <c r="I191" s="42" t="s">
        <v>817</v>
      </c>
    </row>
    <row r="192" spans="1:9">
      <c r="A192" s="42" t="s">
        <v>759</v>
      </c>
      <c r="B192" s="42" t="s">
        <v>301</v>
      </c>
      <c r="C192" s="42" t="s">
        <v>795</v>
      </c>
      <c r="D192" s="42" t="s">
        <v>816</v>
      </c>
      <c r="E192" s="42" t="s">
        <v>762</v>
      </c>
      <c r="F192" s="45">
        <v>120161305.6868752</v>
      </c>
      <c r="G192" s="42" t="s">
        <v>763</v>
      </c>
      <c r="H192" s="42" t="s">
        <v>98</v>
      </c>
      <c r="I192" s="42" t="s">
        <v>817</v>
      </c>
    </row>
    <row r="193" spans="1:9">
      <c r="A193" s="42" t="s">
        <v>759</v>
      </c>
      <c r="B193" s="42" t="s">
        <v>302</v>
      </c>
      <c r="C193" s="42" t="s">
        <v>797</v>
      </c>
      <c r="D193" s="42" t="s">
        <v>816</v>
      </c>
      <c r="E193" s="42" t="s">
        <v>762</v>
      </c>
      <c r="F193" s="45">
        <v>132551530.8482289</v>
      </c>
      <c r="G193" s="42" t="s">
        <v>763</v>
      </c>
      <c r="H193" s="42" t="s">
        <v>98</v>
      </c>
      <c r="I193" s="42" t="s">
        <v>817</v>
      </c>
    </row>
    <row r="194" spans="1:9">
      <c r="A194" s="42" t="s">
        <v>759</v>
      </c>
      <c r="B194" s="42" t="s">
        <v>304</v>
      </c>
      <c r="C194" s="42" t="s">
        <v>796</v>
      </c>
      <c r="D194" s="42" t="s">
        <v>816</v>
      </c>
      <c r="E194" s="42" t="s">
        <v>762</v>
      </c>
      <c r="F194" s="45">
        <v>9471756.707929887</v>
      </c>
      <c r="G194" s="42" t="s">
        <v>763</v>
      </c>
      <c r="H194" s="42" t="s">
        <v>98</v>
      </c>
      <c r="I194" s="42" t="s">
        <v>817</v>
      </c>
    </row>
    <row r="195" spans="1:9">
      <c r="A195" s="42" t="s">
        <v>759</v>
      </c>
      <c r="B195" s="42" t="s">
        <v>305</v>
      </c>
      <c r="C195" s="42" t="s">
        <v>798</v>
      </c>
      <c r="D195" s="42" t="s">
        <v>816</v>
      </c>
      <c r="E195" s="42" t="s">
        <v>762</v>
      </c>
      <c r="F195" s="45">
        <v>266031665.2952744</v>
      </c>
      <c r="G195" s="42" t="s">
        <v>763</v>
      </c>
      <c r="H195" s="42" t="s">
        <v>98</v>
      </c>
      <c r="I195" s="42" t="s">
        <v>817</v>
      </c>
    </row>
    <row r="196" spans="1:9">
      <c r="A196" s="42" t="s">
        <v>759</v>
      </c>
      <c r="B196" s="42" t="s">
        <v>306</v>
      </c>
      <c r="C196" s="42" t="s">
        <v>799</v>
      </c>
      <c r="D196" s="42" t="s">
        <v>816</v>
      </c>
      <c r="E196" s="42" t="s">
        <v>762</v>
      </c>
      <c r="F196" s="45">
        <v>163275044.2033628</v>
      </c>
      <c r="G196" s="42" t="s">
        <v>763</v>
      </c>
      <c r="H196" s="42" t="s">
        <v>98</v>
      </c>
      <c r="I196" s="42" t="s">
        <v>817</v>
      </c>
    </row>
    <row r="197" spans="1:9">
      <c r="A197" s="42" t="s">
        <v>759</v>
      </c>
      <c r="B197" s="42" t="s">
        <v>308</v>
      </c>
      <c r="C197" s="42" t="s">
        <v>800</v>
      </c>
      <c r="D197" s="42" t="s">
        <v>816</v>
      </c>
      <c r="E197" s="42" t="s">
        <v>762</v>
      </c>
      <c r="F197" s="45">
        <v>1719933054.196815</v>
      </c>
      <c r="G197" s="42" t="s">
        <v>763</v>
      </c>
      <c r="H197" s="42" t="s">
        <v>98</v>
      </c>
      <c r="I197" s="42" t="s">
        <v>817</v>
      </c>
    </row>
    <row r="198" spans="1:9">
      <c r="A198" s="42" t="s">
        <v>759</v>
      </c>
      <c r="B198" s="42" t="s">
        <v>309</v>
      </c>
      <c r="C198" s="42" t="s">
        <v>801</v>
      </c>
      <c r="D198" s="42" t="s">
        <v>816</v>
      </c>
      <c r="E198" s="42" t="s">
        <v>762</v>
      </c>
      <c r="F198" s="45">
        <v>19155765.66701786</v>
      </c>
      <c r="G198" s="42" t="s">
        <v>763</v>
      </c>
      <c r="H198" s="42" t="s">
        <v>98</v>
      </c>
      <c r="I198" s="42" t="s">
        <v>817</v>
      </c>
    </row>
    <row r="199" spans="1:9">
      <c r="A199" s="42" t="s">
        <v>759</v>
      </c>
      <c r="B199" s="42" t="s">
        <v>310</v>
      </c>
      <c r="C199" s="42" t="s">
        <v>802</v>
      </c>
      <c r="D199" s="42" t="s">
        <v>816</v>
      </c>
      <c r="E199" s="42" t="s">
        <v>762</v>
      </c>
      <c r="F199" s="45">
        <v>2234618231.723794</v>
      </c>
      <c r="G199" s="42" t="s">
        <v>763</v>
      </c>
      <c r="H199" s="42" t="s">
        <v>98</v>
      </c>
      <c r="I199" s="42" t="s">
        <v>817</v>
      </c>
    </row>
    <row r="200" spans="1:9">
      <c r="A200" s="42" t="s">
        <v>759</v>
      </c>
      <c r="B200" s="42" t="s">
        <v>284</v>
      </c>
      <c r="C200" s="42" t="s">
        <v>803</v>
      </c>
      <c r="D200" s="42" t="s">
        <v>816</v>
      </c>
      <c r="E200" s="42" t="s">
        <v>762</v>
      </c>
      <c r="F200" s="45">
        <v>4748321642.189087</v>
      </c>
      <c r="G200" s="42" t="s">
        <v>763</v>
      </c>
      <c r="H200" s="42" t="s">
        <v>98</v>
      </c>
      <c r="I200" s="42" t="s">
        <v>817</v>
      </c>
    </row>
    <row r="201" spans="1:9">
      <c r="A201" s="42" t="s">
        <v>759</v>
      </c>
      <c r="B201" s="42" t="s">
        <v>285</v>
      </c>
      <c r="C201" s="42" t="s">
        <v>804</v>
      </c>
      <c r="D201" s="42" t="s">
        <v>816</v>
      </c>
      <c r="E201" s="42" t="s">
        <v>762</v>
      </c>
      <c r="F201" s="45">
        <v>16758880589.28371</v>
      </c>
      <c r="G201" s="42" t="s">
        <v>763</v>
      </c>
      <c r="H201" s="42" t="s">
        <v>98</v>
      </c>
      <c r="I201" s="42" t="s">
        <v>817</v>
      </c>
    </row>
    <row r="202" spans="1:9">
      <c r="A202" s="42" t="s">
        <v>759</v>
      </c>
      <c r="B202" s="42" t="s">
        <v>805</v>
      </c>
      <c r="C202" s="42" t="s">
        <v>806</v>
      </c>
      <c r="D202" s="42" t="s">
        <v>816</v>
      </c>
      <c r="E202" s="42" t="s">
        <v>762</v>
      </c>
      <c r="F202" s="45">
        <v>26372766710.89533</v>
      </c>
      <c r="G202" s="42" t="s">
        <v>763</v>
      </c>
      <c r="H202" s="42" t="s">
        <v>98</v>
      </c>
      <c r="I202" s="42" t="s">
        <v>817</v>
      </c>
    </row>
    <row r="203" spans="1:9">
      <c r="A203" s="42" t="s">
        <v>759</v>
      </c>
      <c r="B203" s="42" t="s">
        <v>287</v>
      </c>
      <c r="C203" s="42" t="s">
        <v>760</v>
      </c>
      <c r="D203" s="42" t="s">
        <v>820</v>
      </c>
      <c r="E203" s="42" t="s">
        <v>808</v>
      </c>
      <c r="F203" s="45">
        <v>541296303.5159259</v>
      </c>
      <c r="G203" s="42" t="s">
        <v>763</v>
      </c>
      <c r="H203" s="42" t="s">
        <v>98</v>
      </c>
      <c r="I203" s="42" t="s">
        <v>817</v>
      </c>
    </row>
    <row r="204" spans="1:9">
      <c r="A204" s="42" t="s">
        <v>759</v>
      </c>
      <c r="B204" s="42" t="s">
        <v>288</v>
      </c>
      <c r="C204" s="42" t="s">
        <v>765</v>
      </c>
      <c r="D204" s="42" t="s">
        <v>820</v>
      </c>
      <c r="E204" s="42" t="s">
        <v>808</v>
      </c>
      <c r="F204" s="45">
        <v>18547848688.16969</v>
      </c>
      <c r="G204" s="42" t="s">
        <v>763</v>
      </c>
      <c r="H204" s="42" t="s">
        <v>98</v>
      </c>
      <c r="I204" s="42" t="s">
        <v>817</v>
      </c>
    </row>
    <row r="205" spans="1:9">
      <c r="A205" s="42" t="s">
        <v>759</v>
      </c>
      <c r="B205" s="42" t="s">
        <v>290</v>
      </c>
      <c r="C205" s="42" t="s">
        <v>766</v>
      </c>
      <c r="D205" s="42" t="s">
        <v>820</v>
      </c>
      <c r="E205" s="42" t="s">
        <v>808</v>
      </c>
      <c r="F205" s="45">
        <v>867209635.1691772</v>
      </c>
      <c r="G205" s="42" t="s">
        <v>763</v>
      </c>
      <c r="H205" s="42" t="s">
        <v>98</v>
      </c>
      <c r="I205" s="42" t="s">
        <v>817</v>
      </c>
    </row>
    <row r="206" spans="1:9">
      <c r="A206" s="42" t="s">
        <v>759</v>
      </c>
      <c r="B206" s="42" t="s">
        <v>291</v>
      </c>
      <c r="C206" s="42" t="s">
        <v>767</v>
      </c>
      <c r="D206" s="42" t="s">
        <v>820</v>
      </c>
      <c r="E206" s="42" t="s">
        <v>808</v>
      </c>
      <c r="F206" s="45">
        <v>7985990.949823237</v>
      </c>
      <c r="G206" s="42" t="s">
        <v>763</v>
      </c>
      <c r="H206" s="42" t="s">
        <v>98</v>
      </c>
      <c r="I206" s="42" t="s">
        <v>817</v>
      </c>
    </row>
    <row r="207" spans="1:9">
      <c r="A207" s="42" t="s">
        <v>759</v>
      </c>
      <c r="B207" s="42" t="s">
        <v>292</v>
      </c>
      <c r="C207" s="42" t="s">
        <v>768</v>
      </c>
      <c r="D207" s="42" t="s">
        <v>820</v>
      </c>
      <c r="E207" s="42" t="s">
        <v>808</v>
      </c>
      <c r="F207" s="45">
        <v>255153737.4234222</v>
      </c>
      <c r="G207" s="42" t="s">
        <v>763</v>
      </c>
      <c r="H207" s="42" t="s">
        <v>98</v>
      </c>
      <c r="I207" s="42" t="s">
        <v>817</v>
      </c>
    </row>
    <row r="208" spans="1:9">
      <c r="A208" s="42" t="s">
        <v>759</v>
      </c>
      <c r="B208" s="42" t="s">
        <v>293</v>
      </c>
      <c r="C208" s="42" t="s">
        <v>769</v>
      </c>
      <c r="D208" s="42" t="s">
        <v>820</v>
      </c>
      <c r="E208" s="42" t="s">
        <v>808</v>
      </c>
      <c r="F208" s="45">
        <v>623703240.0280553</v>
      </c>
      <c r="G208" s="42" t="s">
        <v>763</v>
      </c>
      <c r="H208" s="42" t="s">
        <v>98</v>
      </c>
      <c r="I208" s="42" t="s">
        <v>817</v>
      </c>
    </row>
    <row r="209" spans="1:9">
      <c r="A209" s="42" t="s">
        <v>759</v>
      </c>
      <c r="B209" s="42" t="s">
        <v>296</v>
      </c>
      <c r="C209" s="42" t="s">
        <v>771</v>
      </c>
      <c r="D209" s="42" t="s">
        <v>820</v>
      </c>
      <c r="E209" s="42" t="s">
        <v>808</v>
      </c>
      <c r="F209" s="45">
        <v>20843197595.2561</v>
      </c>
      <c r="G209" s="42" t="s">
        <v>763</v>
      </c>
      <c r="H209" s="42" t="s">
        <v>98</v>
      </c>
      <c r="I209" s="42" t="s">
        <v>817</v>
      </c>
    </row>
    <row r="210" spans="1:9">
      <c r="A210" s="42" t="s">
        <v>759</v>
      </c>
      <c r="B210" s="42" t="s">
        <v>810</v>
      </c>
      <c r="C210" s="42" t="s">
        <v>818</v>
      </c>
      <c r="D210" s="42" t="s">
        <v>820</v>
      </c>
      <c r="E210" s="42" t="s">
        <v>808</v>
      </c>
      <c r="F210" s="45">
        <v>84609053.61789471</v>
      </c>
      <c r="G210" s="42" t="s">
        <v>763</v>
      </c>
      <c r="H210" s="42" t="s">
        <v>98</v>
      </c>
      <c r="I210" s="42" t="s">
        <v>817</v>
      </c>
    </row>
    <row r="211" spans="1:9">
      <c r="A211" s="42" t="s">
        <v>759</v>
      </c>
      <c r="B211" s="42" t="s">
        <v>241</v>
      </c>
      <c r="C211" s="42" t="s">
        <v>772</v>
      </c>
      <c r="D211" s="42" t="s">
        <v>820</v>
      </c>
      <c r="E211" s="42" t="s">
        <v>808</v>
      </c>
      <c r="F211" s="45">
        <v>1414767380.094267</v>
      </c>
      <c r="G211" s="42" t="s">
        <v>763</v>
      </c>
      <c r="H211" s="42" t="s">
        <v>98</v>
      </c>
      <c r="I211" s="42" t="s">
        <v>817</v>
      </c>
    </row>
    <row r="212" spans="1:9">
      <c r="A212" s="42" t="s">
        <v>759</v>
      </c>
      <c r="B212" s="42" t="s">
        <v>242</v>
      </c>
      <c r="C212" s="42" t="s">
        <v>773</v>
      </c>
      <c r="D212" s="42" t="s">
        <v>820</v>
      </c>
      <c r="E212" s="42" t="s">
        <v>808</v>
      </c>
      <c r="F212" s="45">
        <v>11143243.18579987</v>
      </c>
      <c r="G212" s="42" t="s">
        <v>763</v>
      </c>
      <c r="H212" s="42" t="s">
        <v>98</v>
      </c>
      <c r="I212" s="42" t="s">
        <v>817</v>
      </c>
    </row>
    <row r="213" spans="1:9">
      <c r="A213" s="42" t="s">
        <v>759</v>
      </c>
      <c r="B213" s="42" t="s">
        <v>292</v>
      </c>
      <c r="C213" s="42" t="s">
        <v>774</v>
      </c>
      <c r="D213" s="42" t="s">
        <v>820</v>
      </c>
      <c r="E213" s="42" t="s">
        <v>808</v>
      </c>
      <c r="F213" s="45">
        <v>580164997.0092516</v>
      </c>
      <c r="G213" s="42" t="s">
        <v>763</v>
      </c>
      <c r="H213" s="42" t="s">
        <v>98</v>
      </c>
      <c r="I213" s="42" t="s">
        <v>817</v>
      </c>
    </row>
    <row r="214" spans="1:9">
      <c r="A214" s="42" t="s">
        <v>759</v>
      </c>
      <c r="B214" s="42" t="s">
        <v>293</v>
      </c>
      <c r="C214" s="42" t="s">
        <v>775</v>
      </c>
      <c r="D214" s="42" t="s">
        <v>820</v>
      </c>
      <c r="E214" s="42" t="s">
        <v>808</v>
      </c>
      <c r="F214" s="45">
        <v>1927409629.70385</v>
      </c>
      <c r="G214" s="42" t="s">
        <v>763</v>
      </c>
      <c r="H214" s="42" t="s">
        <v>98</v>
      </c>
      <c r="I214" s="42" t="s">
        <v>817</v>
      </c>
    </row>
    <row r="215" spans="1:9">
      <c r="A215" s="42" t="s">
        <v>759</v>
      </c>
      <c r="B215" s="42" t="s">
        <v>295</v>
      </c>
      <c r="C215" s="42" t="s">
        <v>776</v>
      </c>
      <c r="D215" s="42" t="s">
        <v>820</v>
      </c>
      <c r="E215" s="42" t="s">
        <v>808</v>
      </c>
      <c r="F215" s="45">
        <v>290281484.9900865</v>
      </c>
      <c r="G215" s="42" t="s">
        <v>763</v>
      </c>
      <c r="H215" s="42" t="s">
        <v>98</v>
      </c>
      <c r="I215" s="42" t="s">
        <v>817</v>
      </c>
    </row>
    <row r="216" spans="1:9">
      <c r="A216" s="42" t="s">
        <v>759</v>
      </c>
      <c r="B216" s="42" t="s">
        <v>246</v>
      </c>
      <c r="C216" s="42" t="s">
        <v>777</v>
      </c>
      <c r="D216" s="42" t="s">
        <v>820</v>
      </c>
      <c r="E216" s="42" t="s">
        <v>808</v>
      </c>
      <c r="F216" s="45">
        <v>1221193327.038086</v>
      </c>
      <c r="G216" s="42" t="s">
        <v>763</v>
      </c>
      <c r="H216" s="42" t="s">
        <v>98</v>
      </c>
      <c r="I216" s="42" t="s">
        <v>817</v>
      </c>
    </row>
    <row r="217" spans="1:9">
      <c r="A217" s="42" t="s">
        <v>759</v>
      </c>
      <c r="B217" s="42" t="s">
        <v>247</v>
      </c>
      <c r="C217" s="42" t="s">
        <v>778</v>
      </c>
      <c r="D217" s="42" t="s">
        <v>820</v>
      </c>
      <c r="E217" s="42" t="s">
        <v>808</v>
      </c>
      <c r="F217" s="45">
        <v>5529569115.639235</v>
      </c>
      <c r="G217" s="42" t="s">
        <v>763</v>
      </c>
      <c r="H217" s="42" t="s">
        <v>98</v>
      </c>
      <c r="I217" s="42" t="s">
        <v>817</v>
      </c>
    </row>
    <row r="218" spans="1:9">
      <c r="A218" s="42" t="s">
        <v>759</v>
      </c>
      <c r="B218" s="42" t="s">
        <v>248</v>
      </c>
      <c r="C218" s="42" t="s">
        <v>779</v>
      </c>
      <c r="D218" s="42" t="s">
        <v>820</v>
      </c>
      <c r="E218" s="42" t="s">
        <v>808</v>
      </c>
      <c r="F218" s="45">
        <v>26372766710.89533</v>
      </c>
      <c r="G218" s="42" t="s">
        <v>763</v>
      </c>
      <c r="H218" s="42" t="s">
        <v>98</v>
      </c>
      <c r="I218" s="42" t="s">
        <v>817</v>
      </c>
    </row>
    <row r="219" spans="1:9">
      <c r="A219" s="42" t="s">
        <v>759</v>
      </c>
      <c r="B219" s="42" t="s">
        <v>780</v>
      </c>
      <c r="C219" s="42" t="s">
        <v>781</v>
      </c>
      <c r="D219" s="42" t="s">
        <v>820</v>
      </c>
      <c r="E219" s="42" t="s">
        <v>808</v>
      </c>
      <c r="F219" s="45">
        <v>279058647.2101024</v>
      </c>
      <c r="G219" s="42" t="s">
        <v>763</v>
      </c>
      <c r="H219" s="42" t="s">
        <v>98</v>
      </c>
      <c r="I219" s="42" t="s">
        <v>817</v>
      </c>
    </row>
    <row r="220" spans="1:9">
      <c r="A220" s="42" t="s">
        <v>759</v>
      </c>
      <c r="B220" s="42" t="s">
        <v>299</v>
      </c>
      <c r="C220" s="42" t="s">
        <v>782</v>
      </c>
      <c r="D220" s="42" t="s">
        <v>820</v>
      </c>
      <c r="E220" s="42" t="s">
        <v>808</v>
      </c>
      <c r="F220" s="45">
        <v>9251067429.78826</v>
      </c>
      <c r="G220" s="42" t="s">
        <v>763</v>
      </c>
      <c r="H220" s="42" t="s">
        <v>98</v>
      </c>
      <c r="I220" s="42" t="s">
        <v>817</v>
      </c>
    </row>
    <row r="221" spans="1:9">
      <c r="A221" s="42" t="s">
        <v>759</v>
      </c>
      <c r="B221" s="42" t="s">
        <v>783</v>
      </c>
      <c r="C221" s="42" t="s">
        <v>784</v>
      </c>
      <c r="D221" s="42" t="s">
        <v>820</v>
      </c>
      <c r="E221" s="42" t="s">
        <v>808</v>
      </c>
      <c r="F221" s="45">
        <v>9530126076.998362</v>
      </c>
      <c r="G221" s="42" t="s">
        <v>763</v>
      </c>
      <c r="H221" s="42" t="s">
        <v>98</v>
      </c>
      <c r="I221" s="42" t="s">
        <v>817</v>
      </c>
    </row>
    <row r="222" spans="1:9">
      <c r="A222" s="42" t="s">
        <v>759</v>
      </c>
      <c r="B222" s="42" t="s">
        <v>261</v>
      </c>
      <c r="C222" s="42" t="s">
        <v>785</v>
      </c>
      <c r="D222" s="42" t="s">
        <v>820</v>
      </c>
      <c r="E222" s="42" t="s">
        <v>808</v>
      </c>
      <c r="F222" s="45">
        <v>83760044.61326233</v>
      </c>
      <c r="G222" s="42" t="s">
        <v>763</v>
      </c>
      <c r="H222" s="42" t="s">
        <v>98</v>
      </c>
      <c r="I222" s="42" t="s">
        <v>817</v>
      </c>
    </row>
    <row r="223" spans="1:9">
      <c r="A223" s="42" t="s">
        <v>759</v>
      </c>
      <c r="B223" s="42" t="s">
        <v>786</v>
      </c>
      <c r="C223" s="42" t="s">
        <v>787</v>
      </c>
      <c r="D223" s="42" t="s">
        <v>820</v>
      </c>
      <c r="E223" s="42" t="s">
        <v>808</v>
      </c>
      <c r="F223" s="45">
        <v>9613886121.611624</v>
      </c>
      <c r="G223" s="42" t="s">
        <v>763</v>
      </c>
      <c r="H223" s="42" t="s">
        <v>98</v>
      </c>
      <c r="I223" s="42" t="s">
        <v>817</v>
      </c>
    </row>
    <row r="224" spans="1:9">
      <c r="A224" s="42" t="s">
        <v>759</v>
      </c>
      <c r="B224" s="42" t="s">
        <v>301</v>
      </c>
      <c r="C224" s="42" t="s">
        <v>788</v>
      </c>
      <c r="D224" s="42" t="s">
        <v>820</v>
      </c>
      <c r="E224" s="42" t="s">
        <v>808</v>
      </c>
      <c r="F224" s="45">
        <v>2212411339.946379</v>
      </c>
      <c r="G224" s="42" t="s">
        <v>763</v>
      </c>
      <c r="H224" s="42" t="s">
        <v>98</v>
      </c>
      <c r="I224" s="42" t="s">
        <v>817</v>
      </c>
    </row>
    <row r="225" spans="1:9">
      <c r="A225" s="42" t="s">
        <v>759</v>
      </c>
      <c r="B225" s="42" t="s">
        <v>303</v>
      </c>
      <c r="C225" s="42" t="s">
        <v>789</v>
      </c>
      <c r="D225" s="42" t="s">
        <v>820</v>
      </c>
      <c r="E225" s="42" t="s">
        <v>808</v>
      </c>
      <c r="F225" s="45">
        <v>2417685798.347649</v>
      </c>
      <c r="G225" s="42" t="s">
        <v>763</v>
      </c>
      <c r="H225" s="42" t="s">
        <v>98</v>
      </c>
      <c r="I225" s="42" t="s">
        <v>817</v>
      </c>
    </row>
    <row r="226" spans="1:9">
      <c r="A226" s="42" t="s">
        <v>759</v>
      </c>
      <c r="B226" s="42" t="s">
        <v>302</v>
      </c>
      <c r="C226" s="42" t="s">
        <v>814</v>
      </c>
      <c r="D226" s="42" t="s">
        <v>820</v>
      </c>
      <c r="E226" s="42" t="s">
        <v>808</v>
      </c>
      <c r="F226" s="45">
        <v>48499639.38962418</v>
      </c>
      <c r="G226" s="42" t="s">
        <v>763</v>
      </c>
      <c r="H226" s="42" t="s">
        <v>98</v>
      </c>
      <c r="I226" s="42" t="s">
        <v>817</v>
      </c>
    </row>
    <row r="227" spans="1:9">
      <c r="A227" s="42" t="s">
        <v>759</v>
      </c>
      <c r="B227" s="42" t="s">
        <v>305</v>
      </c>
      <c r="C227" s="42" t="s">
        <v>790</v>
      </c>
      <c r="D227" s="42" t="s">
        <v>820</v>
      </c>
      <c r="E227" s="42" t="s">
        <v>808</v>
      </c>
      <c r="F227" s="45">
        <v>57706080.78360645</v>
      </c>
      <c r="G227" s="42" t="s">
        <v>763</v>
      </c>
      <c r="H227" s="42" t="s">
        <v>98</v>
      </c>
      <c r="I227" s="42" t="s">
        <v>817</v>
      </c>
    </row>
    <row r="228" spans="1:9">
      <c r="A228" s="42" t="s">
        <v>759</v>
      </c>
      <c r="B228" s="42" t="s">
        <v>308</v>
      </c>
      <c r="C228" s="42" t="s">
        <v>791</v>
      </c>
      <c r="D228" s="42" t="s">
        <v>820</v>
      </c>
      <c r="E228" s="42" t="s">
        <v>808</v>
      </c>
      <c r="F228" s="45">
        <v>7170199422.497108</v>
      </c>
      <c r="G228" s="42" t="s">
        <v>763</v>
      </c>
      <c r="H228" s="42" t="s">
        <v>98</v>
      </c>
      <c r="I228" s="42" t="s">
        <v>817</v>
      </c>
    </row>
    <row r="229" spans="1:9">
      <c r="A229" s="42" t="s">
        <v>759</v>
      </c>
      <c r="B229" s="42" t="s">
        <v>309</v>
      </c>
      <c r="C229" s="42" t="s">
        <v>792</v>
      </c>
      <c r="D229" s="42" t="s">
        <v>820</v>
      </c>
      <c r="E229" s="42" t="s">
        <v>808</v>
      </c>
      <c r="F229" s="45">
        <v>14565810.73572411</v>
      </c>
      <c r="G229" s="42" t="s">
        <v>763</v>
      </c>
      <c r="H229" s="42" t="s">
        <v>98</v>
      </c>
      <c r="I229" s="42" t="s">
        <v>817</v>
      </c>
    </row>
    <row r="230" spans="1:9">
      <c r="A230" s="42" t="s">
        <v>759</v>
      </c>
      <c r="B230" s="42" t="s">
        <v>310</v>
      </c>
      <c r="C230" s="42" t="s">
        <v>793</v>
      </c>
      <c r="D230" s="42" t="s">
        <v>820</v>
      </c>
      <c r="E230" s="42" t="s">
        <v>808</v>
      </c>
      <c r="F230" s="45">
        <v>89490855.39453083</v>
      </c>
      <c r="G230" s="42" t="s">
        <v>763</v>
      </c>
      <c r="H230" s="42" t="s">
        <v>98</v>
      </c>
      <c r="I230" s="42" t="s">
        <v>817</v>
      </c>
    </row>
    <row r="231" spans="1:9">
      <c r="A231" s="42" t="s">
        <v>759</v>
      </c>
      <c r="B231" s="42" t="s">
        <v>311</v>
      </c>
      <c r="C231" s="42" t="s">
        <v>794</v>
      </c>
      <c r="D231" s="42" t="s">
        <v>820</v>
      </c>
      <c r="E231" s="42" t="s">
        <v>808</v>
      </c>
      <c r="F231" s="45">
        <v>12010558947.09462</v>
      </c>
      <c r="G231" s="42" t="s">
        <v>763</v>
      </c>
      <c r="H231" s="42" t="s">
        <v>98</v>
      </c>
      <c r="I231" s="42" t="s">
        <v>817</v>
      </c>
    </row>
    <row r="232" spans="1:9">
      <c r="A232" s="42" t="s">
        <v>759</v>
      </c>
      <c r="B232" s="42" t="s">
        <v>812</v>
      </c>
      <c r="C232" s="42" t="s">
        <v>819</v>
      </c>
      <c r="D232" s="42" t="s">
        <v>820</v>
      </c>
      <c r="E232" s="42" t="s">
        <v>808</v>
      </c>
      <c r="F232" s="45">
        <v>83123287.85978805</v>
      </c>
      <c r="G232" s="42" t="s">
        <v>763</v>
      </c>
      <c r="H232" s="42" t="s">
        <v>98</v>
      </c>
      <c r="I232" s="42" t="s">
        <v>817</v>
      </c>
    </row>
    <row r="233" spans="1:9">
      <c r="A233" s="42" t="s">
        <v>759</v>
      </c>
      <c r="B233" s="42" t="s">
        <v>301</v>
      </c>
      <c r="C233" s="42" t="s">
        <v>795</v>
      </c>
      <c r="D233" s="42" t="s">
        <v>820</v>
      </c>
      <c r="E233" s="42" t="s">
        <v>808</v>
      </c>
      <c r="F233" s="45">
        <v>120161305.6868752</v>
      </c>
      <c r="G233" s="42" t="s">
        <v>763</v>
      </c>
      <c r="H233" s="42" t="s">
        <v>98</v>
      </c>
      <c r="I233" s="42" t="s">
        <v>817</v>
      </c>
    </row>
    <row r="234" spans="1:9">
      <c r="A234" s="42" t="s">
        <v>759</v>
      </c>
      <c r="B234" s="42" t="s">
        <v>302</v>
      </c>
      <c r="C234" s="42" t="s">
        <v>797</v>
      </c>
      <c r="D234" s="42" t="s">
        <v>820</v>
      </c>
      <c r="E234" s="42" t="s">
        <v>808</v>
      </c>
      <c r="F234" s="45">
        <v>132551530.8482289</v>
      </c>
      <c r="G234" s="42" t="s">
        <v>763</v>
      </c>
      <c r="H234" s="42" t="s">
        <v>98</v>
      </c>
      <c r="I234" s="42" t="s">
        <v>817</v>
      </c>
    </row>
    <row r="235" spans="1:9">
      <c r="A235" s="42" t="s">
        <v>759</v>
      </c>
      <c r="B235" s="42" t="s">
        <v>304</v>
      </c>
      <c r="C235" s="42" t="s">
        <v>796</v>
      </c>
      <c r="D235" s="42" t="s">
        <v>820</v>
      </c>
      <c r="E235" s="42" t="s">
        <v>808</v>
      </c>
      <c r="F235" s="45">
        <v>9471756.707929887</v>
      </c>
      <c r="G235" s="42" t="s">
        <v>763</v>
      </c>
      <c r="H235" s="42" t="s">
        <v>98</v>
      </c>
      <c r="I235" s="42" t="s">
        <v>817</v>
      </c>
    </row>
    <row r="236" spans="1:9">
      <c r="A236" s="42" t="s">
        <v>759</v>
      </c>
      <c r="B236" s="42" t="s">
        <v>305</v>
      </c>
      <c r="C236" s="42" t="s">
        <v>798</v>
      </c>
      <c r="D236" s="42" t="s">
        <v>820</v>
      </c>
      <c r="E236" s="42" t="s">
        <v>808</v>
      </c>
      <c r="F236" s="45">
        <v>266031665.2952744</v>
      </c>
      <c r="G236" s="42" t="s">
        <v>763</v>
      </c>
      <c r="H236" s="42" t="s">
        <v>98</v>
      </c>
      <c r="I236" s="42" t="s">
        <v>817</v>
      </c>
    </row>
    <row r="237" spans="1:9">
      <c r="A237" s="42" t="s">
        <v>759</v>
      </c>
      <c r="B237" s="42" t="s">
        <v>306</v>
      </c>
      <c r="C237" s="42" t="s">
        <v>799</v>
      </c>
      <c r="D237" s="42" t="s">
        <v>820</v>
      </c>
      <c r="E237" s="42" t="s">
        <v>808</v>
      </c>
      <c r="F237" s="45">
        <v>163275044.2033628</v>
      </c>
      <c r="G237" s="42" t="s">
        <v>763</v>
      </c>
      <c r="H237" s="42" t="s">
        <v>98</v>
      </c>
      <c r="I237" s="42" t="s">
        <v>817</v>
      </c>
    </row>
    <row r="238" spans="1:9">
      <c r="A238" s="42" t="s">
        <v>759</v>
      </c>
      <c r="B238" s="42" t="s">
        <v>308</v>
      </c>
      <c r="C238" s="42" t="s">
        <v>800</v>
      </c>
      <c r="D238" s="42" t="s">
        <v>820</v>
      </c>
      <c r="E238" s="42" t="s">
        <v>808</v>
      </c>
      <c r="F238" s="45">
        <v>1719933054.196815</v>
      </c>
      <c r="G238" s="42" t="s">
        <v>763</v>
      </c>
      <c r="H238" s="42" t="s">
        <v>98</v>
      </c>
      <c r="I238" s="42" t="s">
        <v>817</v>
      </c>
    </row>
    <row r="239" spans="1:9">
      <c r="A239" s="42" t="s">
        <v>759</v>
      </c>
      <c r="B239" s="42" t="s">
        <v>309</v>
      </c>
      <c r="C239" s="42" t="s">
        <v>801</v>
      </c>
      <c r="D239" s="42" t="s">
        <v>820</v>
      </c>
      <c r="E239" s="42" t="s">
        <v>808</v>
      </c>
      <c r="F239" s="45">
        <v>19155765.66701786</v>
      </c>
      <c r="G239" s="42" t="s">
        <v>763</v>
      </c>
      <c r="H239" s="42" t="s">
        <v>98</v>
      </c>
      <c r="I239" s="42" t="s">
        <v>817</v>
      </c>
    </row>
    <row r="240" spans="1:9">
      <c r="A240" s="42" t="s">
        <v>759</v>
      </c>
      <c r="B240" s="42" t="s">
        <v>310</v>
      </c>
      <c r="C240" s="42" t="s">
        <v>802</v>
      </c>
      <c r="D240" s="42" t="s">
        <v>820</v>
      </c>
      <c r="E240" s="42" t="s">
        <v>808</v>
      </c>
      <c r="F240" s="45">
        <v>2234618231.723794</v>
      </c>
      <c r="G240" s="42" t="s">
        <v>763</v>
      </c>
      <c r="H240" s="42" t="s">
        <v>98</v>
      </c>
      <c r="I240" s="42" t="s">
        <v>817</v>
      </c>
    </row>
    <row r="241" spans="1:9">
      <c r="A241" s="42" t="s">
        <v>759</v>
      </c>
      <c r="B241" s="42" t="s">
        <v>284</v>
      </c>
      <c r="C241" s="42" t="s">
        <v>803</v>
      </c>
      <c r="D241" s="42" t="s">
        <v>820</v>
      </c>
      <c r="E241" s="42" t="s">
        <v>808</v>
      </c>
      <c r="F241" s="45">
        <v>4748321642.189087</v>
      </c>
      <c r="G241" s="42" t="s">
        <v>763</v>
      </c>
      <c r="H241" s="42" t="s">
        <v>98</v>
      </c>
      <c r="I241" s="42" t="s">
        <v>817</v>
      </c>
    </row>
    <row r="242" spans="1:9">
      <c r="A242" s="42" t="s">
        <v>759</v>
      </c>
      <c r="B242" s="42" t="s">
        <v>285</v>
      </c>
      <c r="C242" s="42" t="s">
        <v>804</v>
      </c>
      <c r="D242" s="42" t="s">
        <v>820</v>
      </c>
      <c r="E242" s="42" t="s">
        <v>808</v>
      </c>
      <c r="F242" s="45">
        <v>16758880589.28371</v>
      </c>
      <c r="G242" s="42" t="s">
        <v>763</v>
      </c>
      <c r="H242" s="42" t="s">
        <v>98</v>
      </c>
      <c r="I242" s="42" t="s">
        <v>817</v>
      </c>
    </row>
    <row r="243" spans="1:9">
      <c r="A243" s="42" t="s">
        <v>759</v>
      </c>
      <c r="B243" s="42" t="s">
        <v>805</v>
      </c>
      <c r="C243" s="42" t="s">
        <v>806</v>
      </c>
      <c r="D243" s="42" t="s">
        <v>820</v>
      </c>
      <c r="E243" s="42" t="s">
        <v>808</v>
      </c>
      <c r="F243" s="45">
        <v>26372766710.89533</v>
      </c>
      <c r="G243" s="42" t="s">
        <v>763</v>
      </c>
      <c r="H243" s="42" t="s">
        <v>98</v>
      </c>
      <c r="I243" s="42" t="s">
        <v>817</v>
      </c>
    </row>
    <row r="244" spans="1:9">
      <c r="A244" s="42" t="s">
        <v>759</v>
      </c>
      <c r="B244" s="42" t="s">
        <v>287</v>
      </c>
      <c r="C244" s="42" t="s">
        <v>821</v>
      </c>
      <c r="D244" s="42" t="s">
        <v>695</v>
      </c>
      <c r="E244" s="42" t="s">
        <v>762</v>
      </c>
      <c r="F244" s="45">
        <v>620833712.1450754</v>
      </c>
      <c r="G244" s="42" t="s">
        <v>763</v>
      </c>
      <c r="H244" s="42" t="s">
        <v>108</v>
      </c>
      <c r="I244" s="42" t="s">
        <v>822</v>
      </c>
    </row>
    <row r="245" spans="1:9">
      <c r="A245" s="42" t="s">
        <v>759</v>
      </c>
      <c r="B245" s="42" t="s">
        <v>287</v>
      </c>
      <c r="C245" s="42" t="s">
        <v>760</v>
      </c>
      <c r="D245" s="42" t="s">
        <v>695</v>
      </c>
      <c r="E245" s="42" t="s">
        <v>762</v>
      </c>
      <c r="F245" s="45">
        <v>620833712.1450754</v>
      </c>
      <c r="G245" s="42" t="s">
        <v>763</v>
      </c>
      <c r="H245" s="42" t="s">
        <v>98</v>
      </c>
      <c r="I245" s="42" t="s">
        <v>817</v>
      </c>
    </row>
    <row r="246" spans="1:9">
      <c r="A246" s="42" t="s">
        <v>759</v>
      </c>
      <c r="B246" s="42" t="s">
        <v>288</v>
      </c>
      <c r="C246" s="42" t="s">
        <v>823</v>
      </c>
      <c r="D246" s="42" t="s">
        <v>695</v>
      </c>
      <c r="E246" s="42" t="s">
        <v>762</v>
      </c>
      <c r="F246" s="45">
        <v>17850885377.60346</v>
      </c>
      <c r="G246" s="42" t="s">
        <v>763</v>
      </c>
      <c r="H246" s="42" t="s">
        <v>108</v>
      </c>
      <c r="I246" s="42" t="s">
        <v>822</v>
      </c>
    </row>
    <row r="247" spans="1:9">
      <c r="A247" s="42" t="s">
        <v>759</v>
      </c>
      <c r="B247" s="42" t="s">
        <v>288</v>
      </c>
      <c r="C247" s="42" t="s">
        <v>765</v>
      </c>
      <c r="D247" s="42" t="s">
        <v>695</v>
      </c>
      <c r="E247" s="42" t="s">
        <v>762</v>
      </c>
      <c r="F247" s="45">
        <v>17850885377.60346</v>
      </c>
      <c r="G247" s="42" t="s">
        <v>763</v>
      </c>
      <c r="H247" s="42" t="s">
        <v>98</v>
      </c>
      <c r="I247" s="42" t="s">
        <v>817</v>
      </c>
    </row>
    <row r="248" spans="1:9">
      <c r="A248" s="42" t="s">
        <v>759</v>
      </c>
      <c r="B248" s="42" t="s">
        <v>289</v>
      </c>
      <c r="C248" s="42" t="s">
        <v>824</v>
      </c>
      <c r="D248" s="42" t="s">
        <v>695</v>
      </c>
      <c r="E248" s="42" t="s">
        <v>762</v>
      </c>
      <c r="F248" s="45">
        <v>1025137911.786178</v>
      </c>
      <c r="G248" s="42" t="s">
        <v>763</v>
      </c>
      <c r="H248" s="42" t="s">
        <v>98</v>
      </c>
      <c r="I248" s="42" t="s">
        <v>817</v>
      </c>
    </row>
    <row r="249" spans="1:9">
      <c r="A249" s="42" t="s">
        <v>759</v>
      </c>
      <c r="B249" s="42" t="s">
        <v>289</v>
      </c>
      <c r="C249" s="42" t="s">
        <v>825</v>
      </c>
      <c r="D249" s="42" t="s">
        <v>695</v>
      </c>
      <c r="E249" s="42" t="s">
        <v>762</v>
      </c>
      <c r="F249" s="45">
        <v>1025137911.786178</v>
      </c>
      <c r="G249" s="42" t="s">
        <v>763</v>
      </c>
      <c r="H249" s="42" t="s">
        <v>108</v>
      </c>
      <c r="I249" s="42" t="s">
        <v>822</v>
      </c>
    </row>
    <row r="250" spans="1:9">
      <c r="A250" s="42" t="s">
        <v>759</v>
      </c>
      <c r="B250" s="42" t="s">
        <v>290</v>
      </c>
      <c r="C250" s="42" t="s">
        <v>826</v>
      </c>
      <c r="D250" s="42" t="s">
        <v>695</v>
      </c>
      <c r="E250" s="42" t="s">
        <v>762</v>
      </c>
      <c r="F250" s="45">
        <v>1128651943.405838</v>
      </c>
      <c r="G250" s="42" t="s">
        <v>763</v>
      </c>
      <c r="H250" s="42" t="s">
        <v>108</v>
      </c>
      <c r="I250" s="42" t="s">
        <v>822</v>
      </c>
    </row>
    <row r="251" spans="1:9">
      <c r="A251" s="42" t="s">
        <v>759</v>
      </c>
      <c r="B251" s="42" t="s">
        <v>290</v>
      </c>
      <c r="C251" s="42" t="s">
        <v>766</v>
      </c>
      <c r="D251" s="42" t="s">
        <v>695</v>
      </c>
      <c r="E251" s="42" t="s">
        <v>762</v>
      </c>
      <c r="F251" s="45">
        <v>1128651943.405838</v>
      </c>
      <c r="G251" s="42" t="s">
        <v>763</v>
      </c>
      <c r="H251" s="42" t="s">
        <v>98</v>
      </c>
      <c r="I251" s="42" t="s">
        <v>817</v>
      </c>
    </row>
    <row r="252" spans="1:9">
      <c r="A252" s="42" t="s">
        <v>759</v>
      </c>
      <c r="B252" s="42" t="s">
        <v>291</v>
      </c>
      <c r="C252" s="42" t="s">
        <v>827</v>
      </c>
      <c r="D252" s="42" t="s">
        <v>695</v>
      </c>
      <c r="E252" s="42" t="s">
        <v>762</v>
      </c>
      <c r="F252" s="45">
        <v>26433733.19146976</v>
      </c>
      <c r="G252" s="42" t="s">
        <v>763</v>
      </c>
      <c r="H252" s="42" t="s">
        <v>108</v>
      </c>
      <c r="I252" s="42" t="s">
        <v>822</v>
      </c>
    </row>
    <row r="253" spans="1:9">
      <c r="A253" s="42" t="s">
        <v>759</v>
      </c>
      <c r="B253" s="42" t="s">
        <v>291</v>
      </c>
      <c r="C253" s="42" t="s">
        <v>767</v>
      </c>
      <c r="D253" s="42" t="s">
        <v>695</v>
      </c>
      <c r="E253" s="42" t="s">
        <v>762</v>
      </c>
      <c r="F253" s="45">
        <v>26433733.19146976</v>
      </c>
      <c r="G253" s="42" t="s">
        <v>763</v>
      </c>
      <c r="H253" s="42" t="s">
        <v>98</v>
      </c>
      <c r="I253" s="42" t="s">
        <v>817</v>
      </c>
    </row>
    <row r="254" spans="1:9">
      <c r="A254" s="42" t="s">
        <v>759</v>
      </c>
      <c r="B254" s="42" t="s">
        <v>292</v>
      </c>
      <c r="C254" s="42" t="s">
        <v>828</v>
      </c>
      <c r="D254" s="42" t="s">
        <v>695</v>
      </c>
      <c r="E254" s="42" t="s">
        <v>762</v>
      </c>
      <c r="F254" s="45">
        <v>196858673.780314</v>
      </c>
      <c r="G254" s="42" t="s">
        <v>763</v>
      </c>
      <c r="H254" s="42" t="s">
        <v>108</v>
      </c>
      <c r="I254" s="42" t="s">
        <v>822</v>
      </c>
    </row>
    <row r="255" spans="1:9">
      <c r="A255" s="42" t="s">
        <v>759</v>
      </c>
      <c r="B255" s="42" t="s">
        <v>292</v>
      </c>
      <c r="C255" s="42" t="s">
        <v>768</v>
      </c>
      <c r="D255" s="42" t="s">
        <v>695</v>
      </c>
      <c r="E255" s="42" t="s">
        <v>762</v>
      </c>
      <c r="F255" s="45">
        <v>196858673.780314</v>
      </c>
      <c r="G255" s="42" t="s">
        <v>763</v>
      </c>
      <c r="H255" s="42" t="s">
        <v>98</v>
      </c>
      <c r="I255" s="42" t="s">
        <v>817</v>
      </c>
    </row>
    <row r="256" spans="1:9">
      <c r="A256" s="42" t="s">
        <v>759</v>
      </c>
      <c r="B256" s="42" t="s">
        <v>293</v>
      </c>
      <c r="C256" s="42" t="s">
        <v>769</v>
      </c>
      <c r="D256" s="42" t="s">
        <v>695</v>
      </c>
      <c r="E256" s="42" t="s">
        <v>762</v>
      </c>
      <c r="F256" s="45">
        <v>255904586.961007</v>
      </c>
      <c r="G256" s="42" t="s">
        <v>763</v>
      </c>
      <c r="H256" s="42" t="s">
        <v>98</v>
      </c>
      <c r="I256" s="42" t="s">
        <v>817</v>
      </c>
    </row>
    <row r="257" spans="1:9">
      <c r="A257" s="42" t="s">
        <v>759</v>
      </c>
      <c r="B257" s="42" t="s">
        <v>293</v>
      </c>
      <c r="C257" s="42" t="s">
        <v>829</v>
      </c>
      <c r="D257" s="42" t="s">
        <v>695</v>
      </c>
      <c r="E257" s="42" t="s">
        <v>762</v>
      </c>
      <c r="F257" s="45">
        <v>255904586.961007</v>
      </c>
      <c r="G257" s="42" t="s">
        <v>763</v>
      </c>
      <c r="H257" s="42" t="s">
        <v>108</v>
      </c>
      <c r="I257" s="42" t="s">
        <v>822</v>
      </c>
    </row>
    <row r="258" spans="1:9">
      <c r="A258" s="42" t="s">
        <v>759</v>
      </c>
      <c r="B258" s="42" t="s">
        <v>296</v>
      </c>
      <c r="C258" s="42" t="s">
        <v>771</v>
      </c>
      <c r="D258" s="42" t="s">
        <v>695</v>
      </c>
      <c r="E258" s="42" t="s">
        <v>762</v>
      </c>
      <c r="F258" s="45">
        <v>21104705938.87335</v>
      </c>
      <c r="G258" s="42" t="s">
        <v>763</v>
      </c>
      <c r="H258" s="42" t="s">
        <v>98</v>
      </c>
      <c r="I258" s="42" t="s">
        <v>817</v>
      </c>
    </row>
    <row r="259" spans="1:9">
      <c r="A259" s="42" t="s">
        <v>759</v>
      </c>
      <c r="B259" s="42" t="s">
        <v>239</v>
      </c>
      <c r="C259" s="42" t="s">
        <v>830</v>
      </c>
      <c r="D259" s="42" t="s">
        <v>695</v>
      </c>
      <c r="E259" s="42" t="s">
        <v>762</v>
      </c>
      <c r="F259" s="45">
        <v>21104705938.87335</v>
      </c>
      <c r="G259" s="42" t="s">
        <v>763</v>
      </c>
      <c r="H259" s="42" t="s">
        <v>108</v>
      </c>
      <c r="I259" s="42" t="s">
        <v>822</v>
      </c>
    </row>
    <row r="260" spans="1:9">
      <c r="A260" s="42" t="s">
        <v>759</v>
      </c>
      <c r="B260" s="42" t="s">
        <v>241</v>
      </c>
      <c r="C260" s="42" t="s">
        <v>772</v>
      </c>
      <c r="D260" s="42" t="s">
        <v>695</v>
      </c>
      <c r="E260" s="42" t="s">
        <v>762</v>
      </c>
      <c r="F260" s="45">
        <v>1343878972.530824</v>
      </c>
      <c r="G260" s="42" t="s">
        <v>763</v>
      </c>
      <c r="H260" s="42" t="s">
        <v>108</v>
      </c>
      <c r="I260" s="42" t="s">
        <v>822</v>
      </c>
    </row>
    <row r="261" spans="1:9">
      <c r="A261" s="42" t="s">
        <v>759</v>
      </c>
      <c r="B261" s="42" t="s">
        <v>242</v>
      </c>
      <c r="C261" s="42" t="s">
        <v>773</v>
      </c>
      <c r="D261" s="42" t="s">
        <v>695</v>
      </c>
      <c r="E261" s="42" t="s">
        <v>762</v>
      </c>
      <c r="F261" s="45">
        <v>3389796.486335036</v>
      </c>
      <c r="G261" s="42" t="s">
        <v>763</v>
      </c>
      <c r="H261" s="42" t="s">
        <v>108</v>
      </c>
      <c r="I261" s="42" t="s">
        <v>822</v>
      </c>
    </row>
    <row r="262" spans="1:9">
      <c r="A262" s="42" t="s">
        <v>759</v>
      </c>
      <c r="B262" s="42" t="s">
        <v>292</v>
      </c>
      <c r="C262" s="42" t="s">
        <v>774</v>
      </c>
      <c r="D262" s="42" t="s">
        <v>695</v>
      </c>
      <c r="E262" s="42" t="s">
        <v>762</v>
      </c>
      <c r="F262" s="45">
        <v>604352287.8494464</v>
      </c>
      <c r="G262" s="42" t="s">
        <v>763</v>
      </c>
      <c r="H262" s="42" t="s">
        <v>108</v>
      </c>
      <c r="I262" s="42" t="s">
        <v>822</v>
      </c>
    </row>
    <row r="263" spans="1:9">
      <c r="A263" s="42" t="s">
        <v>759</v>
      </c>
      <c r="B263" s="42" t="s">
        <v>293</v>
      </c>
      <c r="C263" s="42" t="s">
        <v>775</v>
      </c>
      <c r="D263" s="42" t="s">
        <v>695</v>
      </c>
      <c r="E263" s="42" t="s">
        <v>762</v>
      </c>
      <c r="F263" s="45">
        <v>1971709358.211734</v>
      </c>
      <c r="G263" s="42" t="s">
        <v>763</v>
      </c>
      <c r="H263" s="42" t="s">
        <v>108</v>
      </c>
      <c r="I263" s="42" t="s">
        <v>822</v>
      </c>
    </row>
    <row r="264" spans="1:9">
      <c r="A264" s="42" t="s">
        <v>759</v>
      </c>
      <c r="B264" s="42" t="s">
        <v>295</v>
      </c>
      <c r="C264" s="42" t="s">
        <v>776</v>
      </c>
      <c r="D264" s="42" t="s">
        <v>695</v>
      </c>
      <c r="E264" s="42" t="s">
        <v>762</v>
      </c>
      <c r="F264" s="45">
        <v>139766485.6680998</v>
      </c>
      <c r="G264" s="42" t="s">
        <v>763</v>
      </c>
      <c r="H264" s="42" t="s">
        <v>108</v>
      </c>
      <c r="I264" s="42" t="s">
        <v>822</v>
      </c>
    </row>
    <row r="265" spans="1:9">
      <c r="A265" s="42" t="s">
        <v>759</v>
      </c>
      <c r="B265" s="42" t="s">
        <v>246</v>
      </c>
      <c r="C265" s="42" t="s">
        <v>777</v>
      </c>
      <c r="D265" s="42" t="s">
        <v>695</v>
      </c>
      <c r="E265" s="42" t="s">
        <v>762</v>
      </c>
      <c r="F265" s="45">
        <v>1103771171.166236</v>
      </c>
      <c r="G265" s="42" t="s">
        <v>763</v>
      </c>
      <c r="H265" s="42" t="s">
        <v>108</v>
      </c>
      <c r="I265" s="42" t="s">
        <v>822</v>
      </c>
    </row>
    <row r="266" spans="1:9">
      <c r="A266" s="42" t="s">
        <v>759</v>
      </c>
      <c r="B266" s="42" t="s">
        <v>247</v>
      </c>
      <c r="C266" s="42" t="s">
        <v>778</v>
      </c>
      <c r="D266" s="42" t="s">
        <v>695</v>
      </c>
      <c r="E266" s="42" t="s">
        <v>762</v>
      </c>
      <c r="F266" s="45">
        <v>5166868071.912676</v>
      </c>
      <c r="G266" s="42" t="s">
        <v>763</v>
      </c>
      <c r="H266" s="42" t="s">
        <v>108</v>
      </c>
      <c r="I266" s="42" t="s">
        <v>822</v>
      </c>
    </row>
    <row r="267" spans="1:9">
      <c r="A267" s="42" t="s">
        <v>759</v>
      </c>
      <c r="B267" s="42" t="s">
        <v>248</v>
      </c>
      <c r="C267" s="42" t="s">
        <v>779</v>
      </c>
      <c r="D267" s="42" t="s">
        <v>695</v>
      </c>
      <c r="E267" s="42" t="s">
        <v>762</v>
      </c>
      <c r="F267" s="45">
        <v>26271574010.78602</v>
      </c>
      <c r="G267" s="42" t="s">
        <v>763</v>
      </c>
      <c r="H267" s="42" t="s">
        <v>108</v>
      </c>
      <c r="I267" s="42" t="s">
        <v>822</v>
      </c>
    </row>
    <row r="268" spans="1:9">
      <c r="A268" s="42" t="s">
        <v>759</v>
      </c>
      <c r="B268" s="42" t="s">
        <v>297</v>
      </c>
      <c r="C268" s="42" t="s">
        <v>781</v>
      </c>
      <c r="D268" s="42" t="s">
        <v>695</v>
      </c>
      <c r="E268" s="42" t="s">
        <v>762</v>
      </c>
      <c r="F268" s="45">
        <v>176536593.3671626</v>
      </c>
      <c r="G268" s="42" t="s">
        <v>763</v>
      </c>
      <c r="H268" s="42" t="s">
        <v>108</v>
      </c>
      <c r="I268" s="42" t="s">
        <v>822</v>
      </c>
    </row>
    <row r="269" spans="1:9">
      <c r="A269" s="42" t="s">
        <v>759</v>
      </c>
      <c r="B269" s="42" t="s">
        <v>299</v>
      </c>
      <c r="C269" s="42" t="s">
        <v>782</v>
      </c>
      <c r="D269" s="42" t="s">
        <v>695</v>
      </c>
      <c r="E269" s="42" t="s">
        <v>762</v>
      </c>
      <c r="F269" s="45">
        <v>8883220519.266273</v>
      </c>
      <c r="G269" s="42" t="s">
        <v>763</v>
      </c>
      <c r="H269" s="42" t="s">
        <v>108</v>
      </c>
      <c r="I269" s="42" t="s">
        <v>822</v>
      </c>
    </row>
    <row r="270" spans="1:9">
      <c r="A270" s="42" t="s">
        <v>759</v>
      </c>
      <c r="B270" s="42" t="s">
        <v>260</v>
      </c>
      <c r="C270" s="42" t="s">
        <v>784</v>
      </c>
      <c r="D270" s="42" t="s">
        <v>695</v>
      </c>
      <c r="E270" s="42" t="s">
        <v>762</v>
      </c>
      <c r="F270" s="45">
        <v>9059757112.633434</v>
      </c>
      <c r="G270" s="42" t="s">
        <v>763</v>
      </c>
      <c r="H270" s="42" t="s">
        <v>108</v>
      </c>
      <c r="I270" s="42" t="s">
        <v>822</v>
      </c>
    </row>
    <row r="271" spans="1:9">
      <c r="A271" s="42" t="s">
        <v>759</v>
      </c>
      <c r="B271" s="42" t="s">
        <v>261</v>
      </c>
      <c r="C271" s="42" t="s">
        <v>785</v>
      </c>
      <c r="D271" s="42" t="s">
        <v>695</v>
      </c>
      <c r="E271" s="42" t="s">
        <v>762</v>
      </c>
      <c r="F271" s="45">
        <v>92676701.96630272</v>
      </c>
      <c r="G271" s="42" t="s">
        <v>763</v>
      </c>
      <c r="H271" s="42" t="s">
        <v>108</v>
      </c>
      <c r="I271" s="42" t="s">
        <v>822</v>
      </c>
    </row>
    <row r="272" spans="1:9">
      <c r="A272" s="42" t="s">
        <v>759</v>
      </c>
      <c r="B272" s="42" t="s">
        <v>262</v>
      </c>
      <c r="C272" s="42" t="s">
        <v>787</v>
      </c>
      <c r="D272" s="42" t="s">
        <v>695</v>
      </c>
      <c r="E272" s="42" t="s">
        <v>762</v>
      </c>
      <c r="F272" s="45">
        <v>9152433814.599739</v>
      </c>
      <c r="G272" s="42" t="s">
        <v>763</v>
      </c>
      <c r="H272" s="42" t="s">
        <v>108</v>
      </c>
      <c r="I272" s="42" t="s">
        <v>822</v>
      </c>
    </row>
    <row r="273" spans="1:9">
      <c r="A273" s="42" t="s">
        <v>759</v>
      </c>
      <c r="B273" s="42" t="s">
        <v>301</v>
      </c>
      <c r="C273" s="42" t="s">
        <v>788</v>
      </c>
      <c r="D273" s="42" t="s">
        <v>695</v>
      </c>
      <c r="E273" s="42" t="s">
        <v>762</v>
      </c>
      <c r="F273" s="45">
        <v>2417409151.397786</v>
      </c>
      <c r="G273" s="42" t="s">
        <v>763</v>
      </c>
      <c r="H273" s="42" t="s">
        <v>98</v>
      </c>
      <c r="I273" s="42" t="s">
        <v>817</v>
      </c>
    </row>
    <row r="274" spans="1:9">
      <c r="A274" s="42" t="s">
        <v>759</v>
      </c>
      <c r="B274" s="42" t="s">
        <v>303</v>
      </c>
      <c r="C274" s="42" t="s">
        <v>789</v>
      </c>
      <c r="D274" s="42" t="s">
        <v>695</v>
      </c>
      <c r="E274" s="42" t="s">
        <v>762</v>
      </c>
      <c r="F274" s="45">
        <v>1623612325.925329</v>
      </c>
      <c r="G274" s="42" t="s">
        <v>763</v>
      </c>
      <c r="H274" s="42" t="s">
        <v>98</v>
      </c>
      <c r="I274" s="42" t="s">
        <v>817</v>
      </c>
    </row>
    <row r="275" spans="1:9">
      <c r="A275" s="42" t="s">
        <v>759</v>
      </c>
      <c r="B275" s="42" t="s">
        <v>302</v>
      </c>
      <c r="C275" s="42" t="s">
        <v>814</v>
      </c>
      <c r="D275" s="42" t="s">
        <v>695</v>
      </c>
      <c r="E275" s="42" t="s">
        <v>762</v>
      </c>
      <c r="F275" s="45">
        <v>4909360.428485225</v>
      </c>
      <c r="G275" s="42" t="s">
        <v>763</v>
      </c>
      <c r="H275" s="42" t="s">
        <v>98</v>
      </c>
      <c r="I275" s="42" t="s">
        <v>817</v>
      </c>
    </row>
    <row r="276" spans="1:9">
      <c r="A276" s="42" t="s">
        <v>759</v>
      </c>
      <c r="B276" s="42" t="s">
        <v>304</v>
      </c>
      <c r="C276" s="42" t="s">
        <v>831</v>
      </c>
      <c r="D276" s="42" t="s">
        <v>695</v>
      </c>
      <c r="E276" s="42" t="s">
        <v>762</v>
      </c>
      <c r="F276" s="45">
        <v>56557835.95673285</v>
      </c>
      <c r="G276" s="42" t="s">
        <v>763</v>
      </c>
      <c r="H276" s="42" t="s">
        <v>98</v>
      </c>
      <c r="I276" s="42" t="s">
        <v>817</v>
      </c>
    </row>
    <row r="277" spans="1:9">
      <c r="A277" s="42" t="s">
        <v>759</v>
      </c>
      <c r="B277" s="42" t="s">
        <v>301</v>
      </c>
      <c r="C277" s="42" t="s">
        <v>832</v>
      </c>
      <c r="D277" s="42" t="s">
        <v>695</v>
      </c>
      <c r="E277" s="42" t="s">
        <v>762</v>
      </c>
      <c r="F277" s="45">
        <v>2417409151.397786</v>
      </c>
      <c r="G277" s="42" t="s">
        <v>763</v>
      </c>
      <c r="H277" s="42" t="s">
        <v>108</v>
      </c>
      <c r="I277" s="42" t="s">
        <v>822</v>
      </c>
    </row>
    <row r="278" spans="1:9">
      <c r="A278" s="42" t="s">
        <v>759</v>
      </c>
      <c r="B278" s="42" t="s">
        <v>303</v>
      </c>
      <c r="C278" s="42" t="s">
        <v>833</v>
      </c>
      <c r="D278" s="42" t="s">
        <v>695</v>
      </c>
      <c r="E278" s="42" t="s">
        <v>762</v>
      </c>
      <c r="F278" s="45">
        <v>1623612325.925329</v>
      </c>
      <c r="G278" s="42" t="s">
        <v>763</v>
      </c>
      <c r="H278" s="42" t="s">
        <v>108</v>
      </c>
      <c r="I278" s="42" t="s">
        <v>822</v>
      </c>
    </row>
    <row r="279" spans="1:9">
      <c r="A279" s="42" t="s">
        <v>759</v>
      </c>
      <c r="B279" s="42" t="s">
        <v>305</v>
      </c>
      <c r="C279" s="42" t="s">
        <v>790</v>
      </c>
      <c r="D279" s="42" t="s">
        <v>695</v>
      </c>
      <c r="E279" s="42" t="s">
        <v>762</v>
      </c>
      <c r="F279" s="45">
        <v>23845464.93835681</v>
      </c>
      <c r="G279" s="42" t="s">
        <v>763</v>
      </c>
      <c r="H279" s="42" t="s">
        <v>98</v>
      </c>
      <c r="I279" s="42" t="s">
        <v>817</v>
      </c>
    </row>
    <row r="280" spans="1:9">
      <c r="A280" s="42" t="s">
        <v>759</v>
      </c>
      <c r="B280" s="42" t="s">
        <v>302</v>
      </c>
      <c r="C280" s="42" t="s">
        <v>834</v>
      </c>
      <c r="D280" s="42" t="s">
        <v>695</v>
      </c>
      <c r="E280" s="42" t="s">
        <v>762</v>
      </c>
      <c r="F280" s="45">
        <v>4909360.428485225</v>
      </c>
      <c r="G280" s="42" t="s">
        <v>763</v>
      </c>
      <c r="H280" s="42" t="s">
        <v>108</v>
      </c>
      <c r="I280" s="42" t="s">
        <v>822</v>
      </c>
    </row>
    <row r="281" spans="1:9">
      <c r="A281" s="42" t="s">
        <v>759</v>
      </c>
      <c r="B281" s="42" t="s">
        <v>304</v>
      </c>
      <c r="C281" s="42" t="s">
        <v>835</v>
      </c>
      <c r="D281" s="42" t="s">
        <v>695</v>
      </c>
      <c r="E281" s="42" t="s">
        <v>762</v>
      </c>
      <c r="F281" s="45">
        <v>56557835.95673285</v>
      </c>
      <c r="G281" s="42" t="s">
        <v>763</v>
      </c>
      <c r="H281" s="42" t="s">
        <v>108</v>
      </c>
      <c r="I281" s="42" t="s">
        <v>822</v>
      </c>
    </row>
    <row r="282" spans="1:9">
      <c r="A282" s="42" t="s">
        <v>759</v>
      </c>
      <c r="B282" s="42" t="s">
        <v>307</v>
      </c>
      <c r="C282" s="42" t="s">
        <v>836</v>
      </c>
      <c r="D282" s="42" t="s">
        <v>695</v>
      </c>
      <c r="E282" s="42" t="s">
        <v>762</v>
      </c>
      <c r="F282" s="45">
        <v>674469309.7515194</v>
      </c>
      <c r="G282" s="42" t="s">
        <v>763</v>
      </c>
      <c r="H282" s="42" t="s">
        <v>98</v>
      </c>
      <c r="I282" s="42" t="s">
        <v>817</v>
      </c>
    </row>
    <row r="283" spans="1:9">
      <c r="A283" s="42" t="s">
        <v>759</v>
      </c>
      <c r="B283" s="42" t="s">
        <v>305</v>
      </c>
      <c r="C283" s="42" t="s">
        <v>837</v>
      </c>
      <c r="D283" s="42" t="s">
        <v>695</v>
      </c>
      <c r="E283" s="42" t="s">
        <v>762</v>
      </c>
      <c r="F283" s="45">
        <v>23845464.93835681</v>
      </c>
      <c r="G283" s="42" t="s">
        <v>763</v>
      </c>
      <c r="H283" s="42" t="s">
        <v>108</v>
      </c>
      <c r="I283" s="42" t="s">
        <v>822</v>
      </c>
    </row>
    <row r="284" spans="1:9">
      <c r="A284" s="42" t="s">
        <v>759</v>
      </c>
      <c r="B284" s="42" t="s">
        <v>308</v>
      </c>
      <c r="C284" s="42" t="s">
        <v>791</v>
      </c>
      <c r="D284" s="42" t="s">
        <v>695</v>
      </c>
      <c r="E284" s="42" t="s">
        <v>762</v>
      </c>
      <c r="F284" s="45">
        <v>7007544262.497459</v>
      </c>
      <c r="G284" s="42" t="s">
        <v>763</v>
      </c>
      <c r="H284" s="42" t="s">
        <v>98</v>
      </c>
      <c r="I284" s="42" t="s">
        <v>817</v>
      </c>
    </row>
    <row r="285" spans="1:9">
      <c r="A285" s="42" t="s">
        <v>759</v>
      </c>
      <c r="B285" s="42" t="s">
        <v>309</v>
      </c>
      <c r="C285" s="42" t="s">
        <v>792</v>
      </c>
      <c r="D285" s="42" t="s">
        <v>695</v>
      </c>
      <c r="E285" s="42" t="s">
        <v>762</v>
      </c>
      <c r="F285" s="45">
        <v>11739048.91573168</v>
      </c>
      <c r="G285" s="42" t="s">
        <v>763</v>
      </c>
      <c r="H285" s="42" t="s">
        <v>98</v>
      </c>
      <c r="I285" s="42" t="s">
        <v>817</v>
      </c>
    </row>
    <row r="286" spans="1:9">
      <c r="A286" s="42" t="s">
        <v>759</v>
      </c>
      <c r="B286" s="42" t="s">
        <v>310</v>
      </c>
      <c r="C286" s="42" t="s">
        <v>793</v>
      </c>
      <c r="D286" s="42" t="s">
        <v>695</v>
      </c>
      <c r="E286" s="42" t="s">
        <v>762</v>
      </c>
      <c r="F286" s="45">
        <v>41161814.47692543</v>
      </c>
      <c r="G286" s="42" t="s">
        <v>763</v>
      </c>
      <c r="H286" s="42" t="s">
        <v>98</v>
      </c>
      <c r="I286" s="42" t="s">
        <v>817</v>
      </c>
    </row>
    <row r="287" spans="1:9">
      <c r="A287" s="42" t="s">
        <v>759</v>
      </c>
      <c r="B287" s="42" t="s">
        <v>307</v>
      </c>
      <c r="C287" s="42" t="s">
        <v>838</v>
      </c>
      <c r="D287" s="42" t="s">
        <v>695</v>
      </c>
      <c r="E287" s="42" t="s">
        <v>762</v>
      </c>
      <c r="F287" s="45">
        <v>674469309.7515194</v>
      </c>
      <c r="G287" s="42" t="s">
        <v>763</v>
      </c>
      <c r="H287" s="42" t="s">
        <v>108</v>
      </c>
      <c r="I287" s="42" t="s">
        <v>822</v>
      </c>
    </row>
    <row r="288" spans="1:9">
      <c r="A288" s="42" t="s">
        <v>759</v>
      </c>
      <c r="B288" s="42" t="s">
        <v>308</v>
      </c>
      <c r="C288" s="42" t="s">
        <v>839</v>
      </c>
      <c r="D288" s="42" t="s">
        <v>695</v>
      </c>
      <c r="E288" s="42" t="s">
        <v>762</v>
      </c>
      <c r="F288" s="45">
        <v>7007544262.497459</v>
      </c>
      <c r="G288" s="42" t="s">
        <v>763</v>
      </c>
      <c r="H288" s="42" t="s">
        <v>108</v>
      </c>
      <c r="I288" s="42" t="s">
        <v>822</v>
      </c>
    </row>
    <row r="289" spans="1:9">
      <c r="A289" s="42" t="s">
        <v>759</v>
      </c>
      <c r="B289" s="42" t="s">
        <v>311</v>
      </c>
      <c r="C289" s="42" t="s">
        <v>794</v>
      </c>
      <c r="D289" s="42" t="s">
        <v>695</v>
      </c>
      <c r="E289" s="42" t="s">
        <v>762</v>
      </c>
      <c r="F289" s="45">
        <v>11861248574.28833</v>
      </c>
      <c r="G289" s="42" t="s">
        <v>763</v>
      </c>
      <c r="H289" s="42" t="s">
        <v>98</v>
      </c>
      <c r="I289" s="42" t="s">
        <v>817</v>
      </c>
    </row>
    <row r="290" spans="1:9">
      <c r="A290" s="42" t="s">
        <v>759</v>
      </c>
      <c r="B290" s="42" t="s">
        <v>309</v>
      </c>
      <c r="C290" s="42" t="s">
        <v>840</v>
      </c>
      <c r="D290" s="42" t="s">
        <v>695</v>
      </c>
      <c r="E290" s="42" t="s">
        <v>762</v>
      </c>
      <c r="F290" s="45">
        <v>11739048.91573168</v>
      </c>
      <c r="G290" s="42" t="s">
        <v>763</v>
      </c>
      <c r="H290" s="42" t="s">
        <v>108</v>
      </c>
      <c r="I290" s="42" t="s">
        <v>822</v>
      </c>
    </row>
    <row r="291" spans="1:9">
      <c r="A291" s="42" t="s">
        <v>759</v>
      </c>
      <c r="B291" s="42" t="s">
        <v>310</v>
      </c>
      <c r="C291" s="42" t="s">
        <v>841</v>
      </c>
      <c r="D291" s="42" t="s">
        <v>695</v>
      </c>
      <c r="E291" s="42" t="s">
        <v>762</v>
      </c>
      <c r="F291" s="45">
        <v>41161814.47692543</v>
      </c>
      <c r="G291" s="42" t="s">
        <v>763</v>
      </c>
      <c r="H291" s="42" t="s">
        <v>108</v>
      </c>
      <c r="I291" s="42" t="s">
        <v>822</v>
      </c>
    </row>
    <row r="292" spans="1:9">
      <c r="A292" s="42" t="s">
        <v>759</v>
      </c>
      <c r="B292" s="42" t="s">
        <v>273</v>
      </c>
      <c r="C292" s="42" t="s">
        <v>842</v>
      </c>
      <c r="D292" s="42" t="s">
        <v>695</v>
      </c>
      <c r="E292" s="42" t="s">
        <v>762</v>
      </c>
      <c r="F292" s="45">
        <v>11861248574.28833</v>
      </c>
      <c r="G292" s="42" t="s">
        <v>763</v>
      </c>
      <c r="H292" s="42" t="s">
        <v>108</v>
      </c>
      <c r="I292" s="42" t="s">
        <v>822</v>
      </c>
    </row>
    <row r="293" spans="1:9">
      <c r="A293" s="42" t="s">
        <v>759</v>
      </c>
      <c r="B293" s="42" t="s">
        <v>301</v>
      </c>
      <c r="C293" s="42" t="s">
        <v>795</v>
      </c>
      <c r="D293" s="42" t="s">
        <v>695</v>
      </c>
      <c r="E293" s="42" t="s">
        <v>762</v>
      </c>
      <c r="F293" s="45">
        <v>91173836.52901131</v>
      </c>
      <c r="G293" s="42" t="s">
        <v>763</v>
      </c>
      <c r="H293" s="42" t="s">
        <v>108</v>
      </c>
      <c r="I293" s="42" t="s">
        <v>822</v>
      </c>
    </row>
    <row r="294" spans="1:9">
      <c r="A294" s="42" t="s">
        <v>759</v>
      </c>
      <c r="B294" s="42" t="s">
        <v>302</v>
      </c>
      <c r="C294" s="42" t="s">
        <v>797</v>
      </c>
      <c r="D294" s="42" t="s">
        <v>695</v>
      </c>
      <c r="E294" s="42" t="s">
        <v>762</v>
      </c>
      <c r="F294" s="45">
        <v>123635729.9745055</v>
      </c>
      <c r="G294" s="42" t="s">
        <v>763</v>
      </c>
      <c r="H294" s="42" t="s">
        <v>108</v>
      </c>
      <c r="I294" s="42" t="s">
        <v>822</v>
      </c>
    </row>
    <row r="295" spans="1:9">
      <c r="A295" s="42" t="s">
        <v>759</v>
      </c>
      <c r="B295" s="42" t="s">
        <v>304</v>
      </c>
      <c r="C295" s="42" t="s">
        <v>796</v>
      </c>
      <c r="D295" s="42" t="s">
        <v>695</v>
      </c>
      <c r="E295" s="42" t="s">
        <v>762</v>
      </c>
      <c r="F295" s="45">
        <v>32795863.54267</v>
      </c>
      <c r="G295" s="42" t="s">
        <v>763</v>
      </c>
      <c r="H295" s="42" t="s">
        <v>108</v>
      </c>
      <c r="I295" s="42" t="s">
        <v>822</v>
      </c>
    </row>
    <row r="296" spans="1:9">
      <c r="A296" s="42" t="s">
        <v>759</v>
      </c>
      <c r="B296" s="42" t="s">
        <v>305</v>
      </c>
      <c r="C296" s="42" t="s">
        <v>798</v>
      </c>
      <c r="D296" s="42" t="s">
        <v>695</v>
      </c>
      <c r="E296" s="42" t="s">
        <v>762</v>
      </c>
      <c r="F296" s="45">
        <v>190980800.0700187</v>
      </c>
      <c r="G296" s="42" t="s">
        <v>763</v>
      </c>
      <c r="H296" s="42" t="s">
        <v>108</v>
      </c>
      <c r="I296" s="42" t="s">
        <v>822</v>
      </c>
    </row>
    <row r="297" spans="1:9">
      <c r="A297" s="42" t="s">
        <v>759</v>
      </c>
      <c r="B297" s="42" t="s">
        <v>306</v>
      </c>
      <c r="C297" s="42" t="s">
        <v>799</v>
      </c>
      <c r="D297" s="42" t="s">
        <v>695</v>
      </c>
      <c r="E297" s="42" t="s">
        <v>762</v>
      </c>
      <c r="F297" s="45">
        <v>170391543.5791267</v>
      </c>
      <c r="G297" s="42" t="s">
        <v>763</v>
      </c>
      <c r="H297" s="42" t="s">
        <v>108</v>
      </c>
      <c r="I297" s="42" t="s">
        <v>822</v>
      </c>
    </row>
    <row r="298" spans="1:9">
      <c r="A298" s="42" t="s">
        <v>759</v>
      </c>
      <c r="B298" s="42" t="s">
        <v>307</v>
      </c>
      <c r="C298" s="42" t="s">
        <v>843</v>
      </c>
      <c r="D298" s="42" t="s">
        <v>695</v>
      </c>
      <c r="E298" s="42" t="s">
        <v>762</v>
      </c>
      <c r="F298" s="45">
        <v>357164320.4247295</v>
      </c>
      <c r="G298" s="42" t="s">
        <v>763</v>
      </c>
      <c r="H298" s="42" t="s">
        <v>108</v>
      </c>
      <c r="I298" s="42" t="s">
        <v>822</v>
      </c>
    </row>
    <row r="299" spans="1:9">
      <c r="A299" s="42" t="s">
        <v>759</v>
      </c>
      <c r="B299" s="42" t="s">
        <v>308</v>
      </c>
      <c r="C299" s="42" t="s">
        <v>800</v>
      </c>
      <c r="D299" s="42" t="s">
        <v>695</v>
      </c>
      <c r="E299" s="42" t="s">
        <v>762</v>
      </c>
      <c r="F299" s="45">
        <v>1788560156.92049</v>
      </c>
      <c r="G299" s="42" t="s">
        <v>763</v>
      </c>
      <c r="H299" s="42" t="s">
        <v>108</v>
      </c>
      <c r="I299" s="42" t="s">
        <v>822</v>
      </c>
    </row>
    <row r="300" spans="1:9">
      <c r="A300" s="42" t="s">
        <v>759</v>
      </c>
      <c r="B300" s="42" t="s">
        <v>309</v>
      </c>
      <c r="C300" s="42" t="s">
        <v>801</v>
      </c>
      <c r="D300" s="42" t="s">
        <v>695</v>
      </c>
      <c r="E300" s="42" t="s">
        <v>762</v>
      </c>
      <c r="F300" s="45">
        <v>21875041.36501919</v>
      </c>
      <c r="G300" s="42" t="s">
        <v>763</v>
      </c>
      <c r="H300" s="42" t="s">
        <v>108</v>
      </c>
      <c r="I300" s="42" t="s">
        <v>822</v>
      </c>
    </row>
    <row r="301" spans="1:9">
      <c r="A301" s="42" t="s">
        <v>759</v>
      </c>
      <c r="B301" s="42" t="s">
        <v>310</v>
      </c>
      <c r="C301" s="42" t="s">
        <v>802</v>
      </c>
      <c r="D301" s="42" t="s">
        <v>695</v>
      </c>
      <c r="E301" s="42" t="s">
        <v>762</v>
      </c>
      <c r="F301" s="45">
        <v>2481314329.492387</v>
      </c>
      <c r="G301" s="42" t="s">
        <v>763</v>
      </c>
      <c r="H301" s="42" t="s">
        <v>108</v>
      </c>
      <c r="I301" s="42" t="s">
        <v>822</v>
      </c>
    </row>
    <row r="302" spans="1:9">
      <c r="A302" s="42" t="s">
        <v>759</v>
      </c>
      <c r="B302" s="42" t="s">
        <v>284</v>
      </c>
      <c r="C302" s="42" t="s">
        <v>803</v>
      </c>
      <c r="D302" s="42" t="s">
        <v>695</v>
      </c>
      <c r="E302" s="42" t="s">
        <v>762</v>
      </c>
      <c r="F302" s="45">
        <v>5257891621.897959</v>
      </c>
      <c r="G302" s="42" t="s">
        <v>763</v>
      </c>
      <c r="H302" s="42" t="s">
        <v>108</v>
      </c>
      <c r="I302" s="42" t="s">
        <v>822</v>
      </c>
    </row>
    <row r="303" spans="1:9">
      <c r="A303" s="42" t="s">
        <v>759</v>
      </c>
      <c r="B303" s="42" t="s">
        <v>285</v>
      </c>
      <c r="C303" s="42" t="s">
        <v>804</v>
      </c>
      <c r="D303" s="42" t="s">
        <v>695</v>
      </c>
      <c r="E303" s="42" t="s">
        <v>762</v>
      </c>
      <c r="F303" s="45">
        <v>17119140196.18628</v>
      </c>
      <c r="G303" s="42" t="s">
        <v>763</v>
      </c>
      <c r="H303" s="42" t="s">
        <v>108</v>
      </c>
      <c r="I303" s="42" t="s">
        <v>822</v>
      </c>
    </row>
    <row r="304" spans="1:9">
      <c r="A304" s="42" t="s">
        <v>759</v>
      </c>
      <c r="B304" s="42" t="s">
        <v>286</v>
      </c>
      <c r="C304" s="42" t="s">
        <v>806</v>
      </c>
      <c r="D304" s="42" t="s">
        <v>695</v>
      </c>
      <c r="E304" s="42" t="s">
        <v>762</v>
      </c>
      <c r="F304" s="45">
        <v>26271574010.78602</v>
      </c>
      <c r="G304" s="42" t="s">
        <v>763</v>
      </c>
      <c r="H304" s="42" t="s">
        <v>108</v>
      </c>
      <c r="I304" s="42" t="s">
        <v>822</v>
      </c>
    </row>
    <row r="305" spans="1:9">
      <c r="A305" s="42" t="s">
        <v>759</v>
      </c>
      <c r="B305" s="42" t="s">
        <v>287</v>
      </c>
      <c r="C305" s="42" t="s">
        <v>760</v>
      </c>
      <c r="D305" s="42" t="s">
        <v>844</v>
      </c>
      <c r="E305" s="42" t="s">
        <v>808</v>
      </c>
      <c r="F305" s="45">
        <v>538346245.7012309</v>
      </c>
      <c r="G305" s="42" t="s">
        <v>763</v>
      </c>
      <c r="H305" s="42" t="s">
        <v>82</v>
      </c>
      <c r="I305" s="42" t="s">
        <v>845</v>
      </c>
    </row>
    <row r="306" spans="1:9">
      <c r="A306" s="42" t="s">
        <v>759</v>
      </c>
      <c r="B306" s="42" t="s">
        <v>288</v>
      </c>
      <c r="C306" s="42" t="s">
        <v>765</v>
      </c>
      <c r="D306" s="42" t="s">
        <v>844</v>
      </c>
      <c r="E306" s="42" t="s">
        <v>808</v>
      </c>
      <c r="F306" s="45">
        <v>18444797994.76825</v>
      </c>
      <c r="G306" s="42" t="s">
        <v>763</v>
      </c>
      <c r="H306" s="42" t="s">
        <v>82</v>
      </c>
      <c r="I306" s="42" t="s">
        <v>845</v>
      </c>
    </row>
    <row r="307" spans="1:9">
      <c r="A307" s="42" t="s">
        <v>759</v>
      </c>
      <c r="B307" s="42" t="s">
        <v>289</v>
      </c>
      <c r="C307" s="42" t="s">
        <v>824</v>
      </c>
      <c r="D307" s="42" t="s">
        <v>844</v>
      </c>
      <c r="E307" s="42" t="s">
        <v>808</v>
      </c>
      <c r="F307" s="45">
        <v>610104223.883534</v>
      </c>
      <c r="G307" s="42" t="s">
        <v>763</v>
      </c>
      <c r="H307" s="42" t="s">
        <v>82</v>
      </c>
      <c r="I307" s="42" t="s">
        <v>845</v>
      </c>
    </row>
    <row r="308" spans="1:9">
      <c r="A308" s="42" t="s">
        <v>759</v>
      </c>
      <c r="B308" s="42" t="s">
        <v>290</v>
      </c>
      <c r="C308" s="42" t="s">
        <v>766</v>
      </c>
      <c r="D308" s="42" t="s">
        <v>844</v>
      </c>
      <c r="E308" s="42" t="s">
        <v>808</v>
      </c>
      <c r="F308" s="45">
        <v>908388673.0372205</v>
      </c>
      <c r="G308" s="42" t="s">
        <v>763</v>
      </c>
      <c r="H308" s="42" t="s">
        <v>82</v>
      </c>
      <c r="I308" s="42" t="s">
        <v>845</v>
      </c>
    </row>
    <row r="309" spans="1:9">
      <c r="A309" s="42" t="s">
        <v>759</v>
      </c>
      <c r="B309" s="42" t="s">
        <v>846</v>
      </c>
      <c r="C309" s="42" t="s">
        <v>767</v>
      </c>
      <c r="D309" s="42" t="s">
        <v>844</v>
      </c>
      <c r="E309" s="42" t="s">
        <v>808</v>
      </c>
      <c r="F309" s="45">
        <v>9984320.229092943</v>
      </c>
      <c r="G309" s="42" t="s">
        <v>763</v>
      </c>
      <c r="H309" s="42" t="s">
        <v>82</v>
      </c>
      <c r="I309" s="42" t="s">
        <v>845</v>
      </c>
    </row>
    <row r="310" spans="1:9">
      <c r="A310" s="42" t="s">
        <v>759</v>
      </c>
      <c r="B310" s="42" t="s">
        <v>292</v>
      </c>
      <c r="C310" s="42" t="s">
        <v>768</v>
      </c>
      <c r="D310" s="42" t="s">
        <v>844</v>
      </c>
      <c r="E310" s="42" t="s">
        <v>808</v>
      </c>
      <c r="F310" s="45">
        <v>237456188.7279425</v>
      </c>
      <c r="G310" s="42" t="s">
        <v>763</v>
      </c>
      <c r="H310" s="42" t="s">
        <v>82</v>
      </c>
      <c r="I310" s="42" t="s">
        <v>845</v>
      </c>
    </row>
    <row r="311" spans="1:9">
      <c r="A311" s="42" t="s">
        <v>759</v>
      </c>
      <c r="B311" s="42" t="s">
        <v>293</v>
      </c>
      <c r="C311" s="42" t="s">
        <v>769</v>
      </c>
      <c r="D311" s="42" t="s">
        <v>844</v>
      </c>
      <c r="E311" s="42" t="s">
        <v>808</v>
      </c>
      <c r="F311" s="45">
        <v>520683452.8710109</v>
      </c>
      <c r="G311" s="42" t="s">
        <v>763</v>
      </c>
      <c r="H311" s="42" t="s">
        <v>82</v>
      </c>
      <c r="I311" s="42" t="s">
        <v>845</v>
      </c>
    </row>
    <row r="312" spans="1:9">
      <c r="A312" s="42" t="s">
        <v>759</v>
      </c>
      <c r="B312" s="42" t="s">
        <v>296</v>
      </c>
      <c r="C312" s="42" t="s">
        <v>771</v>
      </c>
      <c r="D312" s="42" t="s">
        <v>844</v>
      </c>
      <c r="E312" s="42" t="s">
        <v>808</v>
      </c>
      <c r="F312" s="45">
        <v>21269761099.21828</v>
      </c>
      <c r="G312" s="42" t="s">
        <v>763</v>
      </c>
      <c r="H312" s="42" t="s">
        <v>82</v>
      </c>
      <c r="I312" s="42" t="s">
        <v>845</v>
      </c>
    </row>
    <row r="313" spans="1:9">
      <c r="A313" s="42" t="s">
        <v>759</v>
      </c>
      <c r="B313" s="42" t="s">
        <v>810</v>
      </c>
      <c r="C313" s="42" t="s">
        <v>818</v>
      </c>
      <c r="D313" s="42" t="s">
        <v>844</v>
      </c>
      <c r="E313" s="42" t="s">
        <v>808</v>
      </c>
      <c r="F313" s="45">
        <v>54694705.73535441</v>
      </c>
      <c r="G313" s="42" t="s">
        <v>763</v>
      </c>
      <c r="H313" s="42" t="s">
        <v>82</v>
      </c>
      <c r="I313" s="42" t="s">
        <v>845</v>
      </c>
    </row>
    <row r="314" spans="1:9">
      <c r="A314" s="42" t="s">
        <v>759</v>
      </c>
      <c r="B314" s="42" t="s">
        <v>241</v>
      </c>
      <c r="C314" s="42" t="s">
        <v>772</v>
      </c>
      <c r="D314" s="42" t="s">
        <v>844</v>
      </c>
      <c r="E314" s="42" t="s">
        <v>808</v>
      </c>
      <c r="F314" s="45">
        <v>1518631247.778432</v>
      </c>
      <c r="G314" s="42" t="s">
        <v>763</v>
      </c>
      <c r="H314" s="42" t="s">
        <v>82</v>
      </c>
      <c r="I314" s="42" t="s">
        <v>845</v>
      </c>
    </row>
    <row r="315" spans="1:9">
      <c r="A315" s="42" t="s">
        <v>759</v>
      </c>
      <c r="B315" s="42" t="s">
        <v>242</v>
      </c>
      <c r="C315" s="42" t="s">
        <v>773</v>
      </c>
      <c r="D315" s="42" t="s">
        <v>844</v>
      </c>
      <c r="E315" s="42" t="s">
        <v>808</v>
      </c>
      <c r="F315" s="45">
        <v>12405460.23845728</v>
      </c>
      <c r="G315" s="42" t="s">
        <v>763</v>
      </c>
      <c r="H315" s="42" t="s">
        <v>82</v>
      </c>
      <c r="I315" s="42" t="s">
        <v>845</v>
      </c>
    </row>
    <row r="316" spans="1:9">
      <c r="A316" s="42" t="s">
        <v>759</v>
      </c>
      <c r="B316" s="42" t="s">
        <v>292</v>
      </c>
      <c r="C316" s="42" t="s">
        <v>774</v>
      </c>
      <c r="D316" s="42" t="s">
        <v>844</v>
      </c>
      <c r="E316" s="42" t="s">
        <v>808</v>
      </c>
      <c r="F316" s="45">
        <v>578560228.3329585</v>
      </c>
      <c r="G316" s="42" t="s">
        <v>763</v>
      </c>
      <c r="H316" s="42" t="s">
        <v>82</v>
      </c>
      <c r="I316" s="42" t="s">
        <v>845</v>
      </c>
    </row>
    <row r="317" spans="1:9">
      <c r="A317" s="42" t="s">
        <v>759</v>
      </c>
      <c r="B317" s="42" t="s">
        <v>293</v>
      </c>
      <c r="C317" s="42" t="s">
        <v>775</v>
      </c>
      <c r="D317" s="42" t="s">
        <v>844</v>
      </c>
      <c r="E317" s="42" t="s">
        <v>808</v>
      </c>
      <c r="F317" s="45">
        <v>1801120640.680552</v>
      </c>
      <c r="G317" s="42" t="s">
        <v>763</v>
      </c>
      <c r="H317" s="42" t="s">
        <v>82</v>
      </c>
      <c r="I317" s="42" t="s">
        <v>845</v>
      </c>
    </row>
    <row r="318" spans="1:9">
      <c r="A318" s="42" t="s">
        <v>759</v>
      </c>
      <c r="B318" s="42" t="s">
        <v>295</v>
      </c>
      <c r="C318" s="42" t="s">
        <v>776</v>
      </c>
      <c r="D318" s="42" t="s">
        <v>844</v>
      </c>
      <c r="E318" s="42" t="s">
        <v>808</v>
      </c>
      <c r="F318" s="45">
        <v>266648219.6979926</v>
      </c>
      <c r="G318" s="42" t="s">
        <v>763</v>
      </c>
      <c r="H318" s="42" t="s">
        <v>82</v>
      </c>
      <c r="I318" s="42" t="s">
        <v>845</v>
      </c>
    </row>
    <row r="319" spans="1:9">
      <c r="A319" s="42" t="s">
        <v>759</v>
      </c>
      <c r="B319" s="42" t="s">
        <v>246</v>
      </c>
      <c r="C319" s="42" t="s">
        <v>777</v>
      </c>
      <c r="D319" s="42" t="s">
        <v>844</v>
      </c>
      <c r="E319" s="42" t="s">
        <v>808</v>
      </c>
      <c r="F319" s="45">
        <v>1305086698.952497</v>
      </c>
      <c r="G319" s="42" t="s">
        <v>763</v>
      </c>
      <c r="H319" s="42" t="s">
        <v>82</v>
      </c>
      <c r="I319" s="42" t="s">
        <v>845</v>
      </c>
    </row>
    <row r="320" spans="1:9">
      <c r="A320" s="42" t="s">
        <v>759</v>
      </c>
      <c r="B320" s="42" t="s">
        <v>247</v>
      </c>
      <c r="C320" s="42" t="s">
        <v>778</v>
      </c>
      <c r="D320" s="42" t="s">
        <v>844</v>
      </c>
      <c r="E320" s="42" t="s">
        <v>808</v>
      </c>
      <c r="F320" s="45">
        <v>5537147201.416245</v>
      </c>
      <c r="G320" s="42" t="s">
        <v>763</v>
      </c>
      <c r="H320" s="42" t="s">
        <v>82</v>
      </c>
      <c r="I320" s="42" t="s">
        <v>845</v>
      </c>
    </row>
    <row r="321" spans="1:9">
      <c r="A321" s="42" t="s">
        <v>759</v>
      </c>
      <c r="B321" s="42" t="s">
        <v>248</v>
      </c>
      <c r="C321" s="42" t="s">
        <v>779</v>
      </c>
      <c r="D321" s="42" t="s">
        <v>844</v>
      </c>
      <c r="E321" s="42" t="s">
        <v>808</v>
      </c>
      <c r="F321" s="45">
        <v>26806908300.63453</v>
      </c>
      <c r="G321" s="42" t="s">
        <v>763</v>
      </c>
      <c r="H321" s="42" t="s">
        <v>82</v>
      </c>
      <c r="I321" s="42" t="s">
        <v>845</v>
      </c>
    </row>
    <row r="322" spans="1:9">
      <c r="A322" s="42" t="s">
        <v>759</v>
      </c>
      <c r="B322" s="42" t="s">
        <v>780</v>
      </c>
      <c r="C322" s="42" t="s">
        <v>781</v>
      </c>
      <c r="D322" s="42" t="s">
        <v>844</v>
      </c>
      <c r="E322" s="42" t="s">
        <v>808</v>
      </c>
      <c r="F322" s="45">
        <v>244881018.0899932</v>
      </c>
      <c r="G322" s="42" t="s">
        <v>763</v>
      </c>
      <c r="H322" s="42" t="s">
        <v>82</v>
      </c>
      <c r="I322" s="42" t="s">
        <v>845</v>
      </c>
    </row>
    <row r="323" spans="1:9">
      <c r="A323" s="42" t="s">
        <v>759</v>
      </c>
      <c r="B323" s="42" t="s">
        <v>299</v>
      </c>
      <c r="C323" s="42" t="s">
        <v>782</v>
      </c>
      <c r="D323" s="42" t="s">
        <v>844</v>
      </c>
      <c r="E323" s="42" t="s">
        <v>808</v>
      </c>
      <c r="F323" s="45">
        <v>9139434599.729906</v>
      </c>
      <c r="G323" s="42" t="s">
        <v>763</v>
      </c>
      <c r="H323" s="42" t="s">
        <v>82</v>
      </c>
      <c r="I323" s="42" t="s">
        <v>845</v>
      </c>
    </row>
    <row r="324" spans="1:9">
      <c r="A324" s="42" t="s">
        <v>759</v>
      </c>
      <c r="B324" s="42" t="s">
        <v>783</v>
      </c>
      <c r="C324" s="42" t="s">
        <v>784</v>
      </c>
      <c r="D324" s="42" t="s">
        <v>844</v>
      </c>
      <c r="E324" s="42" t="s">
        <v>808</v>
      </c>
      <c r="F324" s="45">
        <v>9384315617.819901</v>
      </c>
      <c r="G324" s="42" t="s">
        <v>763</v>
      </c>
      <c r="H324" s="42" t="s">
        <v>82</v>
      </c>
      <c r="I324" s="42" t="s">
        <v>845</v>
      </c>
    </row>
    <row r="325" spans="1:9">
      <c r="A325" s="42" t="s">
        <v>759</v>
      </c>
      <c r="B325" s="42" t="s">
        <v>261</v>
      </c>
      <c r="C325" s="42" t="s">
        <v>785</v>
      </c>
      <c r="D325" s="42" t="s">
        <v>844</v>
      </c>
      <c r="E325" s="42" t="s">
        <v>808</v>
      </c>
      <c r="F325" s="45">
        <v>84486257.08867562</v>
      </c>
      <c r="G325" s="42" t="s">
        <v>763</v>
      </c>
      <c r="H325" s="42" t="s">
        <v>82</v>
      </c>
      <c r="I325" s="42" t="s">
        <v>845</v>
      </c>
    </row>
    <row r="326" spans="1:9">
      <c r="A326" s="42" t="s">
        <v>759</v>
      </c>
      <c r="B326" s="42" t="s">
        <v>786</v>
      </c>
      <c r="C326" s="42" t="s">
        <v>787</v>
      </c>
      <c r="D326" s="42" t="s">
        <v>844</v>
      </c>
      <c r="E326" s="42" t="s">
        <v>808</v>
      </c>
      <c r="F326" s="45">
        <v>9468801874.908575</v>
      </c>
      <c r="G326" s="42" t="s">
        <v>763</v>
      </c>
      <c r="H326" s="42" t="s">
        <v>82</v>
      </c>
      <c r="I326" s="42" t="s">
        <v>845</v>
      </c>
    </row>
    <row r="327" spans="1:9">
      <c r="A327" s="42" t="s">
        <v>759</v>
      </c>
      <c r="B327" s="42" t="s">
        <v>301</v>
      </c>
      <c r="C327" s="42" t="s">
        <v>788</v>
      </c>
      <c r="D327" s="42" t="s">
        <v>844</v>
      </c>
      <c r="E327" s="42" t="s">
        <v>808</v>
      </c>
      <c r="F327" s="45">
        <v>2458102746.840635</v>
      </c>
      <c r="G327" s="42" t="s">
        <v>763</v>
      </c>
      <c r="H327" s="42" t="s">
        <v>82</v>
      </c>
      <c r="I327" s="42" t="s">
        <v>845</v>
      </c>
    </row>
    <row r="328" spans="1:9">
      <c r="A328" s="42" t="s">
        <v>759</v>
      </c>
      <c r="B328" s="42" t="s">
        <v>303</v>
      </c>
      <c r="C328" s="42" t="s">
        <v>789</v>
      </c>
      <c r="D328" s="42" t="s">
        <v>844</v>
      </c>
      <c r="E328" s="42" t="s">
        <v>808</v>
      </c>
      <c r="F328" s="45">
        <v>2275733257.944801</v>
      </c>
      <c r="G328" s="42" t="s">
        <v>763</v>
      </c>
      <c r="H328" s="42" t="s">
        <v>82</v>
      </c>
      <c r="I328" s="42" t="s">
        <v>845</v>
      </c>
    </row>
    <row r="329" spans="1:9">
      <c r="A329" s="42" t="s">
        <v>759</v>
      </c>
      <c r="B329" s="42" t="s">
        <v>302</v>
      </c>
      <c r="C329" s="42" t="s">
        <v>814</v>
      </c>
      <c r="D329" s="42" t="s">
        <v>844</v>
      </c>
      <c r="E329" s="42" t="s">
        <v>808</v>
      </c>
      <c r="F329" s="45">
        <v>40997970.82523614</v>
      </c>
      <c r="G329" s="42" t="s">
        <v>763</v>
      </c>
      <c r="H329" s="42" t="s">
        <v>82</v>
      </c>
      <c r="I329" s="42" t="s">
        <v>845</v>
      </c>
    </row>
    <row r="330" spans="1:9">
      <c r="A330" s="42" t="s">
        <v>759</v>
      </c>
      <c r="B330" s="42" t="s">
        <v>304</v>
      </c>
      <c r="C330" s="42" t="s">
        <v>831</v>
      </c>
      <c r="D330" s="42" t="s">
        <v>844</v>
      </c>
      <c r="E330" s="42" t="s">
        <v>808</v>
      </c>
      <c r="F330" s="45">
        <v>99151448.0025396</v>
      </c>
      <c r="G330" s="42" t="s">
        <v>763</v>
      </c>
      <c r="H330" s="42" t="s">
        <v>82</v>
      </c>
      <c r="I330" s="42" t="s">
        <v>845</v>
      </c>
    </row>
    <row r="331" spans="1:9">
      <c r="A331" s="42" t="s">
        <v>759</v>
      </c>
      <c r="B331" s="42" t="s">
        <v>305</v>
      </c>
      <c r="C331" s="42" t="s">
        <v>790</v>
      </c>
      <c r="D331" s="42" t="s">
        <v>844</v>
      </c>
      <c r="E331" s="42" t="s">
        <v>808</v>
      </c>
      <c r="F331" s="45">
        <v>48076923.04309188</v>
      </c>
      <c r="G331" s="42" t="s">
        <v>763</v>
      </c>
      <c r="H331" s="42" t="s">
        <v>82</v>
      </c>
      <c r="I331" s="42" t="s">
        <v>845</v>
      </c>
    </row>
    <row r="332" spans="1:9">
      <c r="A332" s="42" t="s">
        <v>759</v>
      </c>
      <c r="B332" s="42" t="s">
        <v>307</v>
      </c>
      <c r="C332" s="42" t="s">
        <v>836</v>
      </c>
      <c r="D332" s="42" t="s">
        <v>844</v>
      </c>
      <c r="E332" s="42" t="s">
        <v>808</v>
      </c>
      <c r="F332" s="45">
        <v>354431838.8946596</v>
      </c>
      <c r="G332" s="42" t="s">
        <v>763</v>
      </c>
      <c r="H332" s="42" t="s">
        <v>82</v>
      </c>
      <c r="I332" s="42" t="s">
        <v>845</v>
      </c>
    </row>
    <row r="333" spans="1:9">
      <c r="A333" s="42" t="s">
        <v>759</v>
      </c>
      <c r="B333" s="42" t="s">
        <v>308</v>
      </c>
      <c r="C333" s="42" t="s">
        <v>791</v>
      </c>
      <c r="D333" s="42" t="s">
        <v>844</v>
      </c>
      <c r="E333" s="42" t="s">
        <v>808</v>
      </c>
      <c r="F333" s="45">
        <v>7088498427.035515</v>
      </c>
      <c r="G333" s="42" t="s">
        <v>763</v>
      </c>
      <c r="H333" s="42" t="s">
        <v>82</v>
      </c>
      <c r="I333" s="42" t="s">
        <v>845</v>
      </c>
    </row>
    <row r="334" spans="1:9">
      <c r="A334" s="42" t="s">
        <v>759</v>
      </c>
      <c r="B334" s="42" t="s">
        <v>309</v>
      </c>
      <c r="C334" s="42" t="s">
        <v>792</v>
      </c>
      <c r="D334" s="42" t="s">
        <v>844</v>
      </c>
      <c r="E334" s="42" t="s">
        <v>808</v>
      </c>
      <c r="F334" s="45">
        <v>12912746.71660981</v>
      </c>
      <c r="G334" s="42" t="s">
        <v>763</v>
      </c>
      <c r="H334" s="42" t="s">
        <v>82</v>
      </c>
      <c r="I334" s="42" t="s">
        <v>845</v>
      </c>
    </row>
    <row r="335" spans="1:9">
      <c r="A335" s="42" t="s">
        <v>759</v>
      </c>
      <c r="B335" s="42" t="s">
        <v>310</v>
      </c>
      <c r="C335" s="42" t="s">
        <v>793</v>
      </c>
      <c r="D335" s="42" t="s">
        <v>844</v>
      </c>
      <c r="E335" s="42" t="s">
        <v>808</v>
      </c>
      <c r="F335" s="45">
        <v>76761667.53498939</v>
      </c>
      <c r="G335" s="42" t="s">
        <v>763</v>
      </c>
      <c r="H335" s="42" t="s">
        <v>82</v>
      </c>
      <c r="I335" s="42" t="s">
        <v>845</v>
      </c>
    </row>
    <row r="336" spans="1:9">
      <c r="A336" s="42" t="s">
        <v>759</v>
      </c>
      <c r="B336" s="42" t="s">
        <v>311</v>
      </c>
      <c r="C336" s="42" t="s">
        <v>794</v>
      </c>
      <c r="D336" s="42" t="s">
        <v>844</v>
      </c>
      <c r="E336" s="42" t="s">
        <v>808</v>
      </c>
      <c r="F336" s="45">
        <v>12454667026.83808</v>
      </c>
      <c r="G336" s="42" t="s">
        <v>763</v>
      </c>
      <c r="H336" s="42" t="s">
        <v>82</v>
      </c>
      <c r="I336" s="42" t="s">
        <v>845</v>
      </c>
    </row>
    <row r="337" spans="1:9">
      <c r="A337" s="42" t="s">
        <v>759</v>
      </c>
      <c r="B337" s="42" t="s">
        <v>812</v>
      </c>
      <c r="C337" s="42" t="s">
        <v>819</v>
      </c>
      <c r="D337" s="42" t="s">
        <v>844</v>
      </c>
      <c r="E337" s="42" t="s">
        <v>808</v>
      </c>
      <c r="F337" s="45">
        <v>42727356.54621067</v>
      </c>
      <c r="G337" s="42" t="s">
        <v>763</v>
      </c>
      <c r="H337" s="42" t="s">
        <v>82</v>
      </c>
      <c r="I337" s="42" t="s">
        <v>845</v>
      </c>
    </row>
    <row r="338" spans="1:9">
      <c r="A338" s="42" t="s">
        <v>759</v>
      </c>
      <c r="B338" s="42" t="s">
        <v>301</v>
      </c>
      <c r="C338" s="42" t="s">
        <v>795</v>
      </c>
      <c r="D338" s="42" t="s">
        <v>844</v>
      </c>
      <c r="E338" s="42" t="s">
        <v>808</v>
      </c>
      <c r="F338" s="45">
        <v>115315439.8745815</v>
      </c>
      <c r="G338" s="42" t="s">
        <v>763</v>
      </c>
      <c r="H338" s="42" t="s">
        <v>82</v>
      </c>
      <c r="I338" s="42" t="s">
        <v>845</v>
      </c>
    </row>
    <row r="339" spans="1:9">
      <c r="A339" s="42" t="s">
        <v>759</v>
      </c>
      <c r="B339" s="42" t="s">
        <v>302</v>
      </c>
      <c r="C339" s="42" t="s">
        <v>797</v>
      </c>
      <c r="D339" s="42" t="s">
        <v>844</v>
      </c>
      <c r="E339" s="42" t="s">
        <v>808</v>
      </c>
      <c r="F339" s="45">
        <v>90596753.30278562</v>
      </c>
      <c r="G339" s="42" t="s">
        <v>763</v>
      </c>
      <c r="H339" s="42" t="s">
        <v>82</v>
      </c>
      <c r="I339" s="42" t="s">
        <v>845</v>
      </c>
    </row>
    <row r="340" spans="1:9">
      <c r="A340" s="42" t="s">
        <v>759</v>
      </c>
      <c r="B340" s="42" t="s">
        <v>304</v>
      </c>
      <c r="C340" s="42" t="s">
        <v>796</v>
      </c>
      <c r="D340" s="42" t="s">
        <v>844</v>
      </c>
      <c r="E340" s="42" t="s">
        <v>808</v>
      </c>
      <c r="F340" s="45">
        <v>128458771.3539879</v>
      </c>
      <c r="G340" s="42" t="s">
        <v>763</v>
      </c>
      <c r="H340" s="42" t="s">
        <v>82</v>
      </c>
      <c r="I340" s="42" t="s">
        <v>845</v>
      </c>
    </row>
    <row r="341" spans="1:9">
      <c r="A341" s="42" t="s">
        <v>759</v>
      </c>
      <c r="B341" s="42" t="s">
        <v>305</v>
      </c>
      <c r="C341" s="42" t="s">
        <v>798</v>
      </c>
      <c r="D341" s="42" t="s">
        <v>844</v>
      </c>
      <c r="E341" s="42" t="s">
        <v>808</v>
      </c>
      <c r="F341" s="45">
        <v>292565947.0363308</v>
      </c>
      <c r="G341" s="42" t="s">
        <v>763</v>
      </c>
      <c r="H341" s="42" t="s">
        <v>82</v>
      </c>
      <c r="I341" s="42" t="s">
        <v>845</v>
      </c>
    </row>
    <row r="342" spans="1:9">
      <c r="A342" s="42" t="s">
        <v>759</v>
      </c>
      <c r="B342" s="42" t="s">
        <v>306</v>
      </c>
      <c r="C342" s="42" t="s">
        <v>799</v>
      </c>
      <c r="D342" s="42" t="s">
        <v>844</v>
      </c>
      <c r="E342" s="42" t="s">
        <v>808</v>
      </c>
      <c r="F342" s="45">
        <v>126521859.3464965</v>
      </c>
      <c r="G342" s="42" t="s">
        <v>763</v>
      </c>
      <c r="H342" s="42" t="s">
        <v>82</v>
      </c>
      <c r="I342" s="42" t="s">
        <v>845</v>
      </c>
    </row>
    <row r="343" spans="1:9">
      <c r="A343" s="42" t="s">
        <v>759</v>
      </c>
      <c r="B343" s="42" t="s">
        <v>307</v>
      </c>
      <c r="C343" s="42" t="s">
        <v>843</v>
      </c>
      <c r="D343" s="42" t="s">
        <v>844</v>
      </c>
      <c r="E343" s="42" t="s">
        <v>808</v>
      </c>
      <c r="F343" s="45">
        <v>260676074.3415605</v>
      </c>
      <c r="G343" s="42" t="s">
        <v>763</v>
      </c>
      <c r="H343" s="42" t="s">
        <v>82</v>
      </c>
      <c r="I343" s="42" t="s">
        <v>845</v>
      </c>
    </row>
    <row r="344" spans="1:9">
      <c r="A344" s="42" t="s">
        <v>759</v>
      </c>
      <c r="B344" s="42" t="s">
        <v>308</v>
      </c>
      <c r="C344" s="42" t="s">
        <v>800</v>
      </c>
      <c r="D344" s="42" t="s">
        <v>844</v>
      </c>
      <c r="E344" s="42" t="s">
        <v>808</v>
      </c>
      <c r="F344" s="45">
        <v>1749400478.385273</v>
      </c>
      <c r="G344" s="42" t="s">
        <v>763</v>
      </c>
      <c r="H344" s="42" t="s">
        <v>82</v>
      </c>
      <c r="I344" s="42" t="s">
        <v>845</v>
      </c>
    </row>
    <row r="345" spans="1:9">
      <c r="A345" s="42" t="s">
        <v>759</v>
      </c>
      <c r="B345" s="42" t="s">
        <v>309</v>
      </c>
      <c r="C345" s="42" t="s">
        <v>801</v>
      </c>
      <c r="D345" s="42" t="s">
        <v>844</v>
      </c>
      <c r="E345" s="42" t="s">
        <v>808</v>
      </c>
      <c r="F345" s="45">
        <v>20683453.22285536</v>
      </c>
      <c r="G345" s="42" t="s">
        <v>763</v>
      </c>
      <c r="H345" s="42" t="s">
        <v>82</v>
      </c>
      <c r="I345" s="42" t="s">
        <v>845</v>
      </c>
    </row>
    <row r="346" spans="1:9">
      <c r="A346" s="42" t="s">
        <v>759</v>
      </c>
      <c r="B346" s="42" t="s">
        <v>310</v>
      </c>
      <c r="C346" s="42" t="s">
        <v>802</v>
      </c>
      <c r="D346" s="42" t="s">
        <v>844</v>
      </c>
      <c r="E346" s="42" t="s">
        <v>808</v>
      </c>
      <c r="F346" s="45">
        <v>2056493265.47779</v>
      </c>
      <c r="G346" s="42" t="s">
        <v>763</v>
      </c>
      <c r="H346" s="42" t="s">
        <v>82</v>
      </c>
      <c r="I346" s="42" t="s">
        <v>845</v>
      </c>
    </row>
    <row r="347" spans="1:9">
      <c r="A347" s="42" t="s">
        <v>759</v>
      </c>
      <c r="B347" s="42" t="s">
        <v>284</v>
      </c>
      <c r="C347" s="42" t="s">
        <v>803</v>
      </c>
      <c r="D347" s="42" t="s">
        <v>844</v>
      </c>
      <c r="E347" s="42" t="s">
        <v>808</v>
      </c>
      <c r="F347" s="45">
        <v>4883439398.887873</v>
      </c>
      <c r="G347" s="42" t="s">
        <v>763</v>
      </c>
      <c r="H347" s="42" t="s">
        <v>82</v>
      </c>
      <c r="I347" s="42" t="s">
        <v>845</v>
      </c>
    </row>
    <row r="348" spans="1:9">
      <c r="A348" s="42" t="s">
        <v>759</v>
      </c>
      <c r="B348" s="42" t="s">
        <v>285</v>
      </c>
      <c r="C348" s="42" t="s">
        <v>804</v>
      </c>
      <c r="D348" s="42" t="s">
        <v>844</v>
      </c>
      <c r="E348" s="42" t="s">
        <v>808</v>
      </c>
      <c r="F348" s="45">
        <v>17338106425.72595</v>
      </c>
      <c r="G348" s="42" t="s">
        <v>763</v>
      </c>
      <c r="H348" s="42" t="s">
        <v>82</v>
      </c>
      <c r="I348" s="42" t="s">
        <v>845</v>
      </c>
    </row>
    <row r="349" spans="1:9">
      <c r="A349" s="42" t="s">
        <v>759</v>
      </c>
      <c r="B349" s="42" t="s">
        <v>805</v>
      </c>
      <c r="C349" s="42" t="s">
        <v>806</v>
      </c>
      <c r="D349" s="42" t="s">
        <v>844</v>
      </c>
      <c r="E349" s="42" t="s">
        <v>808</v>
      </c>
      <c r="F349" s="45">
        <v>26806908300.63453</v>
      </c>
      <c r="G349" s="42" t="s">
        <v>763</v>
      </c>
      <c r="H349" s="42" t="s">
        <v>82</v>
      </c>
      <c r="I349" s="42" t="s">
        <v>845</v>
      </c>
    </row>
    <row r="350" spans="1:9">
      <c r="A350" s="42" t="s">
        <v>759</v>
      </c>
      <c r="B350" s="42" t="s">
        <v>287</v>
      </c>
      <c r="C350" s="42" t="s">
        <v>760</v>
      </c>
      <c r="D350" s="42" t="s">
        <v>847</v>
      </c>
      <c r="E350" s="42" t="s">
        <v>808</v>
      </c>
      <c r="F350" s="45">
        <v>630628112.4085709</v>
      </c>
      <c r="G350" s="42" t="s">
        <v>763</v>
      </c>
      <c r="H350" s="42" t="s">
        <v>84</v>
      </c>
      <c r="I350" s="42" t="s">
        <v>848</v>
      </c>
    </row>
    <row r="351" spans="1:9">
      <c r="A351" s="42" t="s">
        <v>759</v>
      </c>
      <c r="B351" s="42" t="s">
        <v>288</v>
      </c>
      <c r="C351" s="42" t="s">
        <v>765</v>
      </c>
      <c r="D351" s="42" t="s">
        <v>847</v>
      </c>
      <c r="E351" s="42" t="s">
        <v>808</v>
      </c>
      <c r="F351" s="45">
        <v>18541920280.4516</v>
      </c>
      <c r="G351" s="42" t="s">
        <v>763</v>
      </c>
      <c r="H351" s="42" t="s">
        <v>84</v>
      </c>
      <c r="I351" s="42" t="s">
        <v>848</v>
      </c>
    </row>
    <row r="352" spans="1:9">
      <c r="A352" s="42" t="s">
        <v>759</v>
      </c>
      <c r="B352" s="42" t="s">
        <v>289</v>
      </c>
      <c r="C352" s="42" t="s">
        <v>824</v>
      </c>
      <c r="D352" s="42" t="s">
        <v>847</v>
      </c>
      <c r="E352" s="42" t="s">
        <v>808</v>
      </c>
      <c r="F352" s="45">
        <v>600211738.5894018</v>
      </c>
      <c r="G352" s="42" t="s">
        <v>763</v>
      </c>
      <c r="H352" s="42" t="s">
        <v>84</v>
      </c>
      <c r="I352" s="42" t="s">
        <v>848</v>
      </c>
    </row>
    <row r="353" spans="1:9">
      <c r="A353" s="42" t="s">
        <v>759</v>
      </c>
      <c r="B353" s="42" t="s">
        <v>290</v>
      </c>
      <c r="C353" s="42" t="s">
        <v>766</v>
      </c>
      <c r="D353" s="42" t="s">
        <v>847</v>
      </c>
      <c r="E353" s="42" t="s">
        <v>808</v>
      </c>
      <c r="F353" s="45">
        <v>1072241867.789282</v>
      </c>
      <c r="G353" s="42" t="s">
        <v>763</v>
      </c>
      <c r="H353" s="42" t="s">
        <v>84</v>
      </c>
      <c r="I353" s="42" t="s">
        <v>848</v>
      </c>
    </row>
    <row r="354" spans="1:9">
      <c r="A354" s="42" t="s">
        <v>759</v>
      </c>
      <c r="B354" s="42" t="s">
        <v>291</v>
      </c>
      <c r="C354" s="42" t="s">
        <v>767</v>
      </c>
      <c r="D354" s="42" t="s">
        <v>847</v>
      </c>
      <c r="E354" s="42" t="s">
        <v>808</v>
      </c>
      <c r="F354" s="45">
        <v>11950129.85316152</v>
      </c>
      <c r="G354" s="42" t="s">
        <v>763</v>
      </c>
      <c r="H354" s="42" t="s">
        <v>84</v>
      </c>
      <c r="I354" s="42" t="s">
        <v>848</v>
      </c>
    </row>
    <row r="355" spans="1:9">
      <c r="A355" s="42" t="s">
        <v>759</v>
      </c>
      <c r="B355" s="42" t="s">
        <v>292</v>
      </c>
      <c r="C355" s="42" t="s">
        <v>768</v>
      </c>
      <c r="D355" s="42" t="s">
        <v>847</v>
      </c>
      <c r="E355" s="42" t="s">
        <v>808</v>
      </c>
      <c r="F355" s="45">
        <v>270618688.6432483</v>
      </c>
      <c r="G355" s="42" t="s">
        <v>763</v>
      </c>
      <c r="H355" s="42" t="s">
        <v>84</v>
      </c>
      <c r="I355" s="42" t="s">
        <v>848</v>
      </c>
    </row>
    <row r="356" spans="1:9">
      <c r="A356" s="42" t="s">
        <v>759</v>
      </c>
      <c r="B356" s="42" t="s">
        <v>293</v>
      </c>
      <c r="C356" s="42" t="s">
        <v>769</v>
      </c>
      <c r="D356" s="42" t="s">
        <v>847</v>
      </c>
      <c r="E356" s="42" t="s">
        <v>808</v>
      </c>
      <c r="F356" s="45">
        <v>469960027.9654741</v>
      </c>
      <c r="G356" s="42" t="s">
        <v>763</v>
      </c>
      <c r="H356" s="42" t="s">
        <v>84</v>
      </c>
      <c r="I356" s="42" t="s">
        <v>848</v>
      </c>
    </row>
    <row r="357" spans="1:9">
      <c r="A357" s="42" t="s">
        <v>759</v>
      </c>
      <c r="B357" s="42" t="s">
        <v>296</v>
      </c>
      <c r="C357" s="42" t="s">
        <v>771</v>
      </c>
      <c r="D357" s="42" t="s">
        <v>847</v>
      </c>
      <c r="E357" s="42" t="s">
        <v>808</v>
      </c>
      <c r="F357" s="45">
        <v>21597530845.70074</v>
      </c>
      <c r="G357" s="42" t="s">
        <v>763</v>
      </c>
      <c r="H357" s="42" t="s">
        <v>84</v>
      </c>
      <c r="I357" s="42" t="s">
        <v>848</v>
      </c>
    </row>
    <row r="358" spans="1:9">
      <c r="A358" s="42" t="s">
        <v>759</v>
      </c>
      <c r="B358" s="42" t="s">
        <v>810</v>
      </c>
      <c r="C358" s="42" t="s">
        <v>818</v>
      </c>
      <c r="D358" s="42" t="s">
        <v>847</v>
      </c>
      <c r="E358" s="42" t="s">
        <v>808</v>
      </c>
      <c r="F358" s="45">
        <v>54645967.81278387</v>
      </c>
      <c r="G358" s="42" t="s">
        <v>763</v>
      </c>
      <c r="H358" s="42" t="s">
        <v>84</v>
      </c>
      <c r="I358" s="42" t="s">
        <v>848</v>
      </c>
    </row>
    <row r="359" spans="1:9">
      <c r="A359" s="42" t="s">
        <v>759</v>
      </c>
      <c r="B359" s="42" t="s">
        <v>241</v>
      </c>
      <c r="C359" s="42" t="s">
        <v>772</v>
      </c>
      <c r="D359" s="42" t="s">
        <v>847</v>
      </c>
      <c r="E359" s="42" t="s">
        <v>808</v>
      </c>
      <c r="F359" s="45">
        <v>1636203310.898916</v>
      </c>
      <c r="G359" s="42" t="s">
        <v>763</v>
      </c>
      <c r="H359" s="42" t="s">
        <v>84</v>
      </c>
      <c r="I359" s="42" t="s">
        <v>848</v>
      </c>
    </row>
    <row r="360" spans="1:9">
      <c r="A360" s="42" t="s">
        <v>759</v>
      </c>
      <c r="B360" s="42" t="s">
        <v>242</v>
      </c>
      <c r="C360" s="42" t="s">
        <v>773</v>
      </c>
      <c r="D360" s="42" t="s">
        <v>847</v>
      </c>
      <c r="E360" s="42" t="s">
        <v>808</v>
      </c>
      <c r="F360" s="45">
        <v>14349565.37485931</v>
      </c>
      <c r="G360" s="42" t="s">
        <v>763</v>
      </c>
      <c r="H360" s="42" t="s">
        <v>84</v>
      </c>
      <c r="I360" s="42" t="s">
        <v>848</v>
      </c>
    </row>
    <row r="361" spans="1:9">
      <c r="A361" s="42" t="s">
        <v>759</v>
      </c>
      <c r="B361" s="42" t="s">
        <v>292</v>
      </c>
      <c r="C361" s="42" t="s">
        <v>774</v>
      </c>
      <c r="D361" s="42" t="s">
        <v>847</v>
      </c>
      <c r="E361" s="42" t="s">
        <v>808</v>
      </c>
      <c r="F361" s="45">
        <v>544107290.3614683</v>
      </c>
      <c r="G361" s="42" t="s">
        <v>763</v>
      </c>
      <c r="H361" s="42" t="s">
        <v>84</v>
      </c>
      <c r="I361" s="42" t="s">
        <v>848</v>
      </c>
    </row>
    <row r="362" spans="1:9">
      <c r="A362" s="42" t="s">
        <v>759</v>
      </c>
      <c r="B362" s="42" t="s">
        <v>293</v>
      </c>
      <c r="C362" s="42" t="s">
        <v>775</v>
      </c>
      <c r="D362" s="42" t="s">
        <v>847</v>
      </c>
      <c r="E362" s="42" t="s">
        <v>808</v>
      </c>
      <c r="F362" s="45">
        <v>2177228973.28644</v>
      </c>
      <c r="G362" s="42" t="s">
        <v>763</v>
      </c>
      <c r="H362" s="42" t="s">
        <v>84</v>
      </c>
      <c r="I362" s="42" t="s">
        <v>848</v>
      </c>
    </row>
    <row r="363" spans="1:9">
      <c r="A363" s="42" t="s">
        <v>759</v>
      </c>
      <c r="B363" s="42" t="s">
        <v>849</v>
      </c>
      <c r="C363" s="42" t="s">
        <v>850</v>
      </c>
      <c r="D363" s="42" t="s">
        <v>847</v>
      </c>
      <c r="E363" s="42" t="s">
        <v>808</v>
      </c>
      <c r="F363" s="45">
        <v>5739826.149943722</v>
      </c>
      <c r="G363" s="42" t="s">
        <v>763</v>
      </c>
      <c r="H363" s="42" t="s">
        <v>84</v>
      </c>
      <c r="I363" s="42" t="s">
        <v>848</v>
      </c>
    </row>
    <row r="364" spans="1:9">
      <c r="A364" s="42" t="s">
        <v>759</v>
      </c>
      <c r="B364" s="42" t="s">
        <v>295</v>
      </c>
      <c r="C364" s="42" t="s">
        <v>776</v>
      </c>
      <c r="D364" s="42" t="s">
        <v>847</v>
      </c>
      <c r="E364" s="42" t="s">
        <v>808</v>
      </c>
      <c r="F364" s="45">
        <v>255539883.0608141</v>
      </c>
      <c r="G364" s="42" t="s">
        <v>763</v>
      </c>
      <c r="H364" s="42" t="s">
        <v>84</v>
      </c>
      <c r="I364" s="42" t="s">
        <v>848</v>
      </c>
    </row>
    <row r="365" spans="1:9">
      <c r="A365" s="42" t="s">
        <v>759</v>
      </c>
      <c r="B365" s="42" t="s">
        <v>246</v>
      </c>
      <c r="C365" s="42" t="s">
        <v>777</v>
      </c>
      <c r="D365" s="42" t="s">
        <v>847</v>
      </c>
      <c r="E365" s="42" t="s">
        <v>808</v>
      </c>
      <c r="F365" s="45">
        <v>1326158603.291301</v>
      </c>
      <c r="G365" s="42" t="s">
        <v>763</v>
      </c>
      <c r="H365" s="42" t="s">
        <v>84</v>
      </c>
      <c r="I365" s="42" t="s">
        <v>848</v>
      </c>
    </row>
    <row r="366" spans="1:9">
      <c r="A366" s="42" t="s">
        <v>759</v>
      </c>
      <c r="B366" s="42" t="s">
        <v>247</v>
      </c>
      <c r="C366" s="42" t="s">
        <v>778</v>
      </c>
      <c r="D366" s="42" t="s">
        <v>847</v>
      </c>
      <c r="E366" s="42" t="s">
        <v>808</v>
      </c>
      <c r="F366" s="45">
        <v>6013973420.236526</v>
      </c>
      <c r="G366" s="42" t="s">
        <v>763</v>
      </c>
      <c r="H366" s="42" t="s">
        <v>84</v>
      </c>
      <c r="I366" s="42" t="s">
        <v>848</v>
      </c>
    </row>
    <row r="367" spans="1:9">
      <c r="A367" s="42" t="s">
        <v>759</v>
      </c>
      <c r="B367" s="42" t="s">
        <v>248</v>
      </c>
      <c r="C367" s="42" t="s">
        <v>779</v>
      </c>
      <c r="D367" s="42" t="s">
        <v>847</v>
      </c>
      <c r="E367" s="42" t="s">
        <v>808</v>
      </c>
      <c r="F367" s="45">
        <v>27611504265.93726</v>
      </c>
      <c r="G367" s="42" t="s">
        <v>763</v>
      </c>
      <c r="H367" s="42" t="s">
        <v>84</v>
      </c>
      <c r="I367" s="42" t="s">
        <v>848</v>
      </c>
    </row>
    <row r="368" spans="1:9">
      <c r="A368" s="42" t="s">
        <v>759</v>
      </c>
      <c r="B368" s="42" t="s">
        <v>780</v>
      </c>
      <c r="C368" s="42" t="s">
        <v>781</v>
      </c>
      <c r="D368" s="42" t="s">
        <v>847</v>
      </c>
      <c r="E368" s="42" t="s">
        <v>808</v>
      </c>
      <c r="F368" s="45">
        <v>245871569.3410319</v>
      </c>
      <c r="G368" s="42" t="s">
        <v>763</v>
      </c>
      <c r="H368" s="42" t="s">
        <v>84</v>
      </c>
      <c r="I368" s="42" t="s">
        <v>848</v>
      </c>
    </row>
    <row r="369" spans="1:9">
      <c r="A369" s="42" t="s">
        <v>759</v>
      </c>
      <c r="B369" s="42" t="s">
        <v>299</v>
      </c>
      <c r="C369" s="42" t="s">
        <v>782</v>
      </c>
      <c r="D369" s="42" t="s">
        <v>847</v>
      </c>
      <c r="E369" s="42" t="s">
        <v>808</v>
      </c>
      <c r="F369" s="45">
        <v>9070336749.570902</v>
      </c>
      <c r="G369" s="42" t="s">
        <v>763</v>
      </c>
      <c r="H369" s="42" t="s">
        <v>84</v>
      </c>
      <c r="I369" s="42" t="s">
        <v>848</v>
      </c>
    </row>
    <row r="370" spans="1:9">
      <c r="A370" s="42" t="s">
        <v>759</v>
      </c>
      <c r="B370" s="42" t="s">
        <v>783</v>
      </c>
      <c r="C370" s="42" t="s">
        <v>784</v>
      </c>
      <c r="D370" s="42" t="s">
        <v>847</v>
      </c>
      <c r="E370" s="42" t="s">
        <v>808</v>
      </c>
      <c r="F370" s="45">
        <v>9316208318.911934</v>
      </c>
      <c r="G370" s="42" t="s">
        <v>763</v>
      </c>
      <c r="H370" s="42" t="s">
        <v>84</v>
      </c>
      <c r="I370" s="42" t="s">
        <v>848</v>
      </c>
    </row>
    <row r="371" spans="1:9">
      <c r="A371" s="42" t="s">
        <v>759</v>
      </c>
      <c r="B371" s="42" t="s">
        <v>261</v>
      </c>
      <c r="C371" s="42" t="s">
        <v>785</v>
      </c>
      <c r="D371" s="42" t="s">
        <v>847</v>
      </c>
      <c r="E371" s="42" t="s">
        <v>808</v>
      </c>
      <c r="F371" s="45">
        <v>103246299.0659959</v>
      </c>
      <c r="G371" s="42" t="s">
        <v>763</v>
      </c>
      <c r="H371" s="42" t="s">
        <v>84</v>
      </c>
      <c r="I371" s="42" t="s">
        <v>848</v>
      </c>
    </row>
    <row r="372" spans="1:9">
      <c r="A372" s="42" t="s">
        <v>759</v>
      </c>
      <c r="B372" s="42" t="s">
        <v>786</v>
      </c>
      <c r="C372" s="42" t="s">
        <v>787</v>
      </c>
      <c r="D372" s="42" t="s">
        <v>847</v>
      </c>
      <c r="E372" s="42" t="s">
        <v>808</v>
      </c>
      <c r="F372" s="45">
        <v>9419454617.97793</v>
      </c>
      <c r="G372" s="42" t="s">
        <v>763</v>
      </c>
      <c r="H372" s="42" t="s">
        <v>84</v>
      </c>
      <c r="I372" s="42" t="s">
        <v>848</v>
      </c>
    </row>
    <row r="373" spans="1:9">
      <c r="A373" s="42" t="s">
        <v>759</v>
      </c>
      <c r="B373" s="42" t="s">
        <v>301</v>
      </c>
      <c r="C373" s="42" t="s">
        <v>788</v>
      </c>
      <c r="D373" s="42" t="s">
        <v>847</v>
      </c>
      <c r="E373" s="42" t="s">
        <v>808</v>
      </c>
      <c r="F373" s="45">
        <v>2529287326.40143</v>
      </c>
      <c r="G373" s="42" t="s">
        <v>763</v>
      </c>
      <c r="H373" s="42" t="s">
        <v>84</v>
      </c>
      <c r="I373" s="42" t="s">
        <v>848</v>
      </c>
    </row>
    <row r="374" spans="1:9">
      <c r="A374" s="42" t="s">
        <v>759</v>
      </c>
      <c r="B374" s="42" t="s">
        <v>303</v>
      </c>
      <c r="C374" s="42" t="s">
        <v>789</v>
      </c>
      <c r="D374" s="42" t="s">
        <v>847</v>
      </c>
      <c r="E374" s="42" t="s">
        <v>808</v>
      </c>
      <c r="F374" s="45">
        <v>2250717567.10785</v>
      </c>
      <c r="G374" s="42" t="s">
        <v>763</v>
      </c>
      <c r="H374" s="42" t="s">
        <v>84</v>
      </c>
      <c r="I374" s="42" t="s">
        <v>848</v>
      </c>
    </row>
    <row r="375" spans="1:9">
      <c r="A375" s="42" t="s">
        <v>759</v>
      </c>
      <c r="B375" s="42" t="s">
        <v>302</v>
      </c>
      <c r="C375" s="42" t="s">
        <v>814</v>
      </c>
      <c r="D375" s="42" t="s">
        <v>847</v>
      </c>
      <c r="E375" s="42" t="s">
        <v>808</v>
      </c>
      <c r="F375" s="45">
        <v>31004470.76076158</v>
      </c>
      <c r="G375" s="42" t="s">
        <v>763</v>
      </c>
      <c r="H375" s="42" t="s">
        <v>84</v>
      </c>
      <c r="I375" s="42" t="s">
        <v>848</v>
      </c>
    </row>
    <row r="376" spans="1:9">
      <c r="A376" s="42" t="s">
        <v>759</v>
      </c>
      <c r="B376" s="42" t="s">
        <v>304</v>
      </c>
      <c r="C376" s="42" t="s">
        <v>831</v>
      </c>
      <c r="D376" s="42" t="s">
        <v>847</v>
      </c>
      <c r="E376" s="42" t="s">
        <v>808</v>
      </c>
      <c r="F376" s="45">
        <v>90708072.27124175</v>
      </c>
      <c r="G376" s="42" t="s">
        <v>763</v>
      </c>
      <c r="H376" s="42" t="s">
        <v>84</v>
      </c>
      <c r="I376" s="42" t="s">
        <v>848</v>
      </c>
    </row>
    <row r="377" spans="1:9">
      <c r="A377" s="42" t="s">
        <v>759</v>
      </c>
      <c r="B377" s="42" t="s">
        <v>305</v>
      </c>
      <c r="C377" s="42" t="s">
        <v>790</v>
      </c>
      <c r="D377" s="42" t="s">
        <v>847</v>
      </c>
      <c r="E377" s="42" t="s">
        <v>808</v>
      </c>
      <c r="F377" s="45">
        <v>38273348.95884604</v>
      </c>
      <c r="G377" s="42" t="s">
        <v>763</v>
      </c>
      <c r="H377" s="42" t="s">
        <v>84</v>
      </c>
      <c r="I377" s="42" t="s">
        <v>848</v>
      </c>
    </row>
    <row r="378" spans="1:9">
      <c r="A378" s="42" t="s">
        <v>759</v>
      </c>
      <c r="B378" s="42" t="s">
        <v>307</v>
      </c>
      <c r="C378" s="42" t="s">
        <v>836</v>
      </c>
      <c r="D378" s="42" t="s">
        <v>847</v>
      </c>
      <c r="E378" s="42" t="s">
        <v>808</v>
      </c>
      <c r="F378" s="45">
        <v>347118338.8056129</v>
      </c>
      <c r="G378" s="42" t="s">
        <v>763</v>
      </c>
      <c r="H378" s="42" t="s">
        <v>84</v>
      </c>
      <c r="I378" s="42" t="s">
        <v>848</v>
      </c>
    </row>
    <row r="379" spans="1:9">
      <c r="A379" s="42" t="s">
        <v>759</v>
      </c>
      <c r="B379" s="42" t="s">
        <v>308</v>
      </c>
      <c r="C379" s="42" t="s">
        <v>791</v>
      </c>
      <c r="D379" s="42" t="s">
        <v>847</v>
      </c>
      <c r="E379" s="42" t="s">
        <v>808</v>
      </c>
      <c r="F379" s="45">
        <v>7444907374.641963</v>
      </c>
      <c r="G379" s="42" t="s">
        <v>763</v>
      </c>
      <c r="H379" s="42" t="s">
        <v>84</v>
      </c>
      <c r="I379" s="42" t="s">
        <v>848</v>
      </c>
    </row>
    <row r="380" spans="1:9">
      <c r="A380" s="42" t="s">
        <v>759</v>
      </c>
      <c r="B380" s="42" t="s">
        <v>309</v>
      </c>
      <c r="C380" s="42" t="s">
        <v>792</v>
      </c>
      <c r="D380" s="42" t="s">
        <v>847</v>
      </c>
      <c r="E380" s="42" t="s">
        <v>808</v>
      </c>
      <c r="F380" s="45">
        <v>12914608.83737337</v>
      </c>
      <c r="G380" s="42" t="s">
        <v>763</v>
      </c>
      <c r="H380" s="42" t="s">
        <v>84</v>
      </c>
      <c r="I380" s="42" t="s">
        <v>848</v>
      </c>
    </row>
    <row r="381" spans="1:9">
      <c r="A381" s="42" t="s">
        <v>759</v>
      </c>
      <c r="B381" s="42" t="s">
        <v>310</v>
      </c>
      <c r="C381" s="42" t="s">
        <v>793</v>
      </c>
      <c r="D381" s="42" t="s">
        <v>847</v>
      </c>
      <c r="E381" s="42" t="s">
        <v>808</v>
      </c>
      <c r="F381" s="45">
        <v>93460365.9578951</v>
      </c>
      <c r="G381" s="42" t="s">
        <v>763</v>
      </c>
      <c r="H381" s="42" t="s">
        <v>84</v>
      </c>
      <c r="I381" s="42" t="s">
        <v>848</v>
      </c>
    </row>
    <row r="382" spans="1:9">
      <c r="A382" s="42" t="s">
        <v>759</v>
      </c>
      <c r="B382" s="42" t="s">
        <v>311</v>
      </c>
      <c r="C382" s="42" t="s">
        <v>794</v>
      </c>
      <c r="D382" s="42" t="s">
        <v>847</v>
      </c>
      <c r="E382" s="42" t="s">
        <v>808</v>
      </c>
      <c r="F382" s="45">
        <v>12838391473.74297</v>
      </c>
      <c r="G382" s="42" t="s">
        <v>763</v>
      </c>
      <c r="H382" s="42" t="s">
        <v>84</v>
      </c>
      <c r="I382" s="42" t="s">
        <v>848</v>
      </c>
    </row>
    <row r="383" spans="1:9">
      <c r="A383" s="42" t="s">
        <v>759</v>
      </c>
      <c r="B383" s="42" t="s">
        <v>812</v>
      </c>
      <c r="C383" s="42" t="s">
        <v>819</v>
      </c>
      <c r="D383" s="42" t="s">
        <v>847</v>
      </c>
      <c r="E383" s="42" t="s">
        <v>808</v>
      </c>
      <c r="F383" s="45">
        <v>42695837.95962236</v>
      </c>
      <c r="G383" s="42" t="s">
        <v>763</v>
      </c>
      <c r="H383" s="42" t="s">
        <v>84</v>
      </c>
      <c r="I383" s="42" t="s">
        <v>848</v>
      </c>
    </row>
    <row r="384" spans="1:9">
      <c r="A384" s="42" t="s">
        <v>759</v>
      </c>
      <c r="B384" s="42" t="s">
        <v>301</v>
      </c>
      <c r="C384" s="42" t="s">
        <v>795</v>
      </c>
      <c r="D384" s="42" t="s">
        <v>847</v>
      </c>
      <c r="E384" s="42" t="s">
        <v>808</v>
      </c>
      <c r="F384" s="45">
        <v>115408143.8181307</v>
      </c>
      <c r="G384" s="42" t="s">
        <v>763</v>
      </c>
      <c r="H384" s="42" t="s">
        <v>84</v>
      </c>
      <c r="I384" s="42" t="s">
        <v>848</v>
      </c>
    </row>
    <row r="385" spans="1:9">
      <c r="A385" s="42" t="s">
        <v>759</v>
      </c>
      <c r="B385" s="42" t="s">
        <v>302</v>
      </c>
      <c r="C385" s="42" t="s">
        <v>797</v>
      </c>
      <c r="D385" s="42" t="s">
        <v>847</v>
      </c>
      <c r="E385" s="42" t="s">
        <v>808</v>
      </c>
      <c r="F385" s="45">
        <v>137567636.5773397</v>
      </c>
      <c r="G385" s="42" t="s">
        <v>763</v>
      </c>
      <c r="H385" s="42" t="s">
        <v>84</v>
      </c>
      <c r="I385" s="42" t="s">
        <v>848</v>
      </c>
    </row>
    <row r="386" spans="1:9">
      <c r="A386" s="42" t="s">
        <v>759</v>
      </c>
      <c r="B386" s="42" t="s">
        <v>304</v>
      </c>
      <c r="C386" s="42" t="s">
        <v>796</v>
      </c>
      <c r="D386" s="42" t="s">
        <v>847</v>
      </c>
      <c r="E386" s="42" t="s">
        <v>808</v>
      </c>
      <c r="F386" s="45">
        <v>52575866.57837794</v>
      </c>
      <c r="G386" s="42" t="s">
        <v>763</v>
      </c>
      <c r="H386" s="42" t="s">
        <v>84</v>
      </c>
      <c r="I386" s="42" t="s">
        <v>848</v>
      </c>
    </row>
    <row r="387" spans="1:9">
      <c r="A387" s="42" t="s">
        <v>759</v>
      </c>
      <c r="B387" s="42" t="s">
        <v>305</v>
      </c>
      <c r="C387" s="42" t="s">
        <v>798</v>
      </c>
      <c r="D387" s="42" t="s">
        <v>847</v>
      </c>
      <c r="E387" s="42" t="s">
        <v>808</v>
      </c>
      <c r="F387" s="45">
        <v>266313819.0307904</v>
      </c>
      <c r="G387" s="42" t="s">
        <v>763</v>
      </c>
      <c r="H387" s="42" t="s">
        <v>84</v>
      </c>
      <c r="I387" s="42" t="s">
        <v>848</v>
      </c>
    </row>
    <row r="388" spans="1:9">
      <c r="A388" s="42" t="s">
        <v>759</v>
      </c>
      <c r="B388" s="42" t="s">
        <v>306</v>
      </c>
      <c r="C388" s="42" t="s">
        <v>799</v>
      </c>
      <c r="D388" s="42" t="s">
        <v>847</v>
      </c>
      <c r="E388" s="42" t="s">
        <v>808</v>
      </c>
      <c r="F388" s="45">
        <v>156716072.9955946</v>
      </c>
      <c r="G388" s="42" t="s">
        <v>763</v>
      </c>
      <c r="H388" s="42" t="s">
        <v>84</v>
      </c>
      <c r="I388" s="42" t="s">
        <v>848</v>
      </c>
    </row>
    <row r="389" spans="1:9">
      <c r="A389" s="42" t="s">
        <v>759</v>
      </c>
      <c r="B389" s="42" t="s">
        <v>307</v>
      </c>
      <c r="C389" s="42" t="s">
        <v>843</v>
      </c>
      <c r="D389" s="42" t="s">
        <v>847</v>
      </c>
      <c r="E389" s="42" t="s">
        <v>808</v>
      </c>
      <c r="F389" s="45">
        <v>262549998.6045979</v>
      </c>
      <c r="G389" s="42" t="s">
        <v>763</v>
      </c>
      <c r="H389" s="42" t="s">
        <v>84</v>
      </c>
      <c r="I389" s="42" t="s">
        <v>848</v>
      </c>
    </row>
    <row r="390" spans="1:9">
      <c r="A390" s="42" t="s">
        <v>759</v>
      </c>
      <c r="B390" s="42" t="s">
        <v>308</v>
      </c>
      <c r="C390" s="42" t="s">
        <v>800</v>
      </c>
      <c r="D390" s="42" t="s">
        <v>847</v>
      </c>
      <c r="E390" s="42" t="s">
        <v>808</v>
      </c>
      <c r="F390" s="45">
        <v>1873300473.871387</v>
      </c>
      <c r="G390" s="42" t="s">
        <v>763</v>
      </c>
      <c r="H390" s="42" t="s">
        <v>84</v>
      </c>
      <c r="I390" s="42" t="s">
        <v>848</v>
      </c>
    </row>
    <row r="391" spans="1:9">
      <c r="A391" s="42" t="s">
        <v>759</v>
      </c>
      <c r="B391" s="42" t="s">
        <v>309</v>
      </c>
      <c r="C391" s="42" t="s">
        <v>801</v>
      </c>
      <c r="D391" s="42" t="s">
        <v>847</v>
      </c>
      <c r="E391" s="42" t="s">
        <v>808</v>
      </c>
      <c r="F391" s="45">
        <v>77181842.61461209</v>
      </c>
      <c r="G391" s="42" t="s">
        <v>763</v>
      </c>
      <c r="H391" s="42" t="s">
        <v>84</v>
      </c>
      <c r="I391" s="42" t="s">
        <v>848</v>
      </c>
    </row>
    <row r="392" spans="1:9">
      <c r="A392" s="42" t="s">
        <v>759</v>
      </c>
      <c r="B392" s="42" t="s">
        <v>310</v>
      </c>
      <c r="C392" s="42" t="s">
        <v>802</v>
      </c>
      <c r="D392" s="42" t="s">
        <v>847</v>
      </c>
      <c r="E392" s="42" t="s">
        <v>808</v>
      </c>
      <c r="F392" s="45">
        <v>2369348482.165908</v>
      </c>
      <c r="G392" s="42" t="s">
        <v>763</v>
      </c>
      <c r="H392" s="42" t="s">
        <v>84</v>
      </c>
      <c r="I392" s="42" t="s">
        <v>848</v>
      </c>
    </row>
    <row r="393" spans="1:9">
      <c r="A393" s="42" t="s">
        <v>759</v>
      </c>
      <c r="B393" s="42" t="s">
        <v>284</v>
      </c>
      <c r="C393" s="42" t="s">
        <v>803</v>
      </c>
      <c r="D393" s="42" t="s">
        <v>847</v>
      </c>
      <c r="E393" s="42" t="s">
        <v>808</v>
      </c>
      <c r="F393" s="45">
        <v>5353658174.216361</v>
      </c>
      <c r="G393" s="42" t="s">
        <v>763</v>
      </c>
      <c r="H393" s="42" t="s">
        <v>84</v>
      </c>
      <c r="I393" s="42" t="s">
        <v>848</v>
      </c>
    </row>
    <row r="394" spans="1:9">
      <c r="A394" s="42" t="s">
        <v>759</v>
      </c>
      <c r="B394" s="42" t="s">
        <v>285</v>
      </c>
      <c r="C394" s="42" t="s">
        <v>804</v>
      </c>
      <c r="D394" s="42" t="s">
        <v>847</v>
      </c>
      <c r="E394" s="42" t="s">
        <v>808</v>
      </c>
      <c r="F394" s="45">
        <v>18192049647.95934</v>
      </c>
      <c r="G394" s="42" t="s">
        <v>763</v>
      </c>
      <c r="H394" s="42" t="s">
        <v>84</v>
      </c>
      <c r="I394" s="42" t="s">
        <v>848</v>
      </c>
    </row>
    <row r="395" spans="1:9">
      <c r="A395" s="42" t="s">
        <v>759</v>
      </c>
      <c r="B395" s="42" t="s">
        <v>805</v>
      </c>
      <c r="C395" s="42" t="s">
        <v>806</v>
      </c>
      <c r="D395" s="42" t="s">
        <v>847</v>
      </c>
      <c r="E395" s="42" t="s">
        <v>808</v>
      </c>
      <c r="F395" s="45">
        <v>27611504265.93726</v>
      </c>
      <c r="G395" s="42" t="s">
        <v>763</v>
      </c>
      <c r="H395" s="42" t="s">
        <v>84</v>
      </c>
      <c r="I395" s="42" t="s">
        <v>848</v>
      </c>
    </row>
    <row r="396" spans="1:9">
      <c r="A396" s="42" t="s">
        <v>759</v>
      </c>
      <c r="B396" s="42" t="s">
        <v>287</v>
      </c>
      <c r="C396" s="42" t="s">
        <v>821</v>
      </c>
      <c r="D396" s="42" t="s">
        <v>851</v>
      </c>
      <c r="E396" s="42" t="s">
        <v>808</v>
      </c>
      <c r="F396" s="45">
        <v>620833712.1450754</v>
      </c>
      <c r="G396" s="42" t="s">
        <v>763</v>
      </c>
      <c r="H396" s="42" t="s">
        <v>108</v>
      </c>
      <c r="I396" s="42" t="s">
        <v>822</v>
      </c>
    </row>
    <row r="397" spans="1:9">
      <c r="A397" s="42" t="s">
        <v>759</v>
      </c>
      <c r="B397" s="42" t="s">
        <v>287</v>
      </c>
      <c r="C397" s="42" t="s">
        <v>760</v>
      </c>
      <c r="D397" s="42" t="s">
        <v>851</v>
      </c>
      <c r="E397" s="42" t="s">
        <v>808</v>
      </c>
      <c r="F397" s="45">
        <v>620833712.1450754</v>
      </c>
      <c r="G397" s="42" t="s">
        <v>763</v>
      </c>
      <c r="H397" s="42" t="s">
        <v>98</v>
      </c>
      <c r="I397" s="42" t="s">
        <v>817</v>
      </c>
    </row>
    <row r="398" spans="1:9">
      <c r="A398" s="42" t="s">
        <v>759</v>
      </c>
      <c r="B398" s="42" t="s">
        <v>288</v>
      </c>
      <c r="C398" s="42" t="s">
        <v>823</v>
      </c>
      <c r="D398" s="42" t="s">
        <v>851</v>
      </c>
      <c r="E398" s="42" t="s">
        <v>808</v>
      </c>
      <c r="F398" s="45">
        <v>17850885377.60346</v>
      </c>
      <c r="G398" s="42" t="s">
        <v>763</v>
      </c>
      <c r="H398" s="42" t="s">
        <v>108</v>
      </c>
      <c r="I398" s="42" t="s">
        <v>822</v>
      </c>
    </row>
    <row r="399" spans="1:9">
      <c r="A399" s="42" t="s">
        <v>759</v>
      </c>
      <c r="B399" s="42" t="s">
        <v>288</v>
      </c>
      <c r="C399" s="42" t="s">
        <v>765</v>
      </c>
      <c r="D399" s="42" t="s">
        <v>851</v>
      </c>
      <c r="E399" s="42" t="s">
        <v>808</v>
      </c>
      <c r="F399" s="45">
        <v>17850885377.60346</v>
      </c>
      <c r="G399" s="42" t="s">
        <v>763</v>
      </c>
      <c r="H399" s="42" t="s">
        <v>98</v>
      </c>
      <c r="I399" s="42" t="s">
        <v>817</v>
      </c>
    </row>
    <row r="400" spans="1:9">
      <c r="A400" s="42" t="s">
        <v>759</v>
      </c>
      <c r="B400" s="42" t="s">
        <v>289</v>
      </c>
      <c r="C400" s="42" t="s">
        <v>824</v>
      </c>
      <c r="D400" s="42" t="s">
        <v>851</v>
      </c>
      <c r="E400" s="42" t="s">
        <v>808</v>
      </c>
      <c r="F400" s="45">
        <v>1025137911.786178</v>
      </c>
      <c r="G400" s="42" t="s">
        <v>763</v>
      </c>
      <c r="H400" s="42" t="s">
        <v>98</v>
      </c>
      <c r="I400" s="42" t="s">
        <v>817</v>
      </c>
    </row>
    <row r="401" spans="1:9">
      <c r="A401" s="42" t="s">
        <v>759</v>
      </c>
      <c r="B401" s="42" t="s">
        <v>289</v>
      </c>
      <c r="C401" s="42" t="s">
        <v>825</v>
      </c>
      <c r="D401" s="42" t="s">
        <v>851</v>
      </c>
      <c r="E401" s="42" t="s">
        <v>808</v>
      </c>
      <c r="F401" s="45">
        <v>1025137911.786178</v>
      </c>
      <c r="G401" s="42" t="s">
        <v>763</v>
      </c>
      <c r="H401" s="42" t="s">
        <v>108</v>
      </c>
      <c r="I401" s="42" t="s">
        <v>822</v>
      </c>
    </row>
    <row r="402" spans="1:9">
      <c r="A402" s="42" t="s">
        <v>759</v>
      </c>
      <c r="B402" s="42" t="s">
        <v>290</v>
      </c>
      <c r="C402" s="42" t="s">
        <v>826</v>
      </c>
      <c r="D402" s="42" t="s">
        <v>851</v>
      </c>
      <c r="E402" s="42" t="s">
        <v>808</v>
      </c>
      <c r="F402" s="45">
        <v>1128651943.405838</v>
      </c>
      <c r="G402" s="42" t="s">
        <v>763</v>
      </c>
      <c r="H402" s="42" t="s">
        <v>108</v>
      </c>
      <c r="I402" s="42" t="s">
        <v>822</v>
      </c>
    </row>
    <row r="403" spans="1:9">
      <c r="A403" s="42" t="s">
        <v>759</v>
      </c>
      <c r="B403" s="42" t="s">
        <v>290</v>
      </c>
      <c r="C403" s="42" t="s">
        <v>766</v>
      </c>
      <c r="D403" s="42" t="s">
        <v>851</v>
      </c>
      <c r="E403" s="42" t="s">
        <v>808</v>
      </c>
      <c r="F403" s="45">
        <v>1128651943.405838</v>
      </c>
      <c r="G403" s="42" t="s">
        <v>763</v>
      </c>
      <c r="H403" s="42" t="s">
        <v>98</v>
      </c>
      <c r="I403" s="42" t="s">
        <v>817</v>
      </c>
    </row>
    <row r="404" spans="1:9">
      <c r="A404" s="42" t="s">
        <v>759</v>
      </c>
      <c r="B404" s="42" t="s">
        <v>291</v>
      </c>
      <c r="C404" s="42" t="s">
        <v>827</v>
      </c>
      <c r="D404" s="42" t="s">
        <v>851</v>
      </c>
      <c r="E404" s="42" t="s">
        <v>808</v>
      </c>
      <c r="F404" s="45">
        <v>26433733.19146976</v>
      </c>
      <c r="G404" s="42" t="s">
        <v>763</v>
      </c>
      <c r="H404" s="42" t="s">
        <v>108</v>
      </c>
      <c r="I404" s="42" t="s">
        <v>822</v>
      </c>
    </row>
    <row r="405" spans="1:9">
      <c r="A405" s="42" t="s">
        <v>759</v>
      </c>
      <c r="B405" s="42" t="s">
        <v>291</v>
      </c>
      <c r="C405" s="42" t="s">
        <v>767</v>
      </c>
      <c r="D405" s="42" t="s">
        <v>851</v>
      </c>
      <c r="E405" s="42" t="s">
        <v>808</v>
      </c>
      <c r="F405" s="45">
        <v>26433733.19146976</v>
      </c>
      <c r="G405" s="42" t="s">
        <v>763</v>
      </c>
      <c r="H405" s="42" t="s">
        <v>98</v>
      </c>
      <c r="I405" s="42" t="s">
        <v>817</v>
      </c>
    </row>
    <row r="406" spans="1:9">
      <c r="A406" s="42" t="s">
        <v>759</v>
      </c>
      <c r="B406" s="42" t="s">
        <v>292</v>
      </c>
      <c r="C406" s="42" t="s">
        <v>828</v>
      </c>
      <c r="D406" s="42" t="s">
        <v>851</v>
      </c>
      <c r="E406" s="42" t="s">
        <v>808</v>
      </c>
      <c r="F406" s="45">
        <v>196858673.780314</v>
      </c>
      <c r="G406" s="42" t="s">
        <v>763</v>
      </c>
      <c r="H406" s="42" t="s">
        <v>108</v>
      </c>
      <c r="I406" s="42" t="s">
        <v>822</v>
      </c>
    </row>
    <row r="407" spans="1:9">
      <c r="A407" s="42" t="s">
        <v>759</v>
      </c>
      <c r="B407" s="42" t="s">
        <v>292</v>
      </c>
      <c r="C407" s="42" t="s">
        <v>768</v>
      </c>
      <c r="D407" s="42" t="s">
        <v>851</v>
      </c>
      <c r="E407" s="42" t="s">
        <v>808</v>
      </c>
      <c r="F407" s="45">
        <v>196858673.780314</v>
      </c>
      <c r="G407" s="42" t="s">
        <v>763</v>
      </c>
      <c r="H407" s="42" t="s">
        <v>98</v>
      </c>
      <c r="I407" s="42" t="s">
        <v>817</v>
      </c>
    </row>
    <row r="408" spans="1:9">
      <c r="A408" s="42" t="s">
        <v>759</v>
      </c>
      <c r="B408" s="42" t="s">
        <v>293</v>
      </c>
      <c r="C408" s="42" t="s">
        <v>769</v>
      </c>
      <c r="D408" s="42" t="s">
        <v>851</v>
      </c>
      <c r="E408" s="42" t="s">
        <v>808</v>
      </c>
      <c r="F408" s="45">
        <v>255904586.961007</v>
      </c>
      <c r="G408" s="42" t="s">
        <v>763</v>
      </c>
      <c r="H408" s="42" t="s">
        <v>98</v>
      </c>
      <c r="I408" s="42" t="s">
        <v>817</v>
      </c>
    </row>
    <row r="409" spans="1:9">
      <c r="A409" s="42" t="s">
        <v>759</v>
      </c>
      <c r="B409" s="42" t="s">
        <v>293</v>
      </c>
      <c r="C409" s="42" t="s">
        <v>829</v>
      </c>
      <c r="D409" s="42" t="s">
        <v>851</v>
      </c>
      <c r="E409" s="42" t="s">
        <v>808</v>
      </c>
      <c r="F409" s="45">
        <v>255904586.961007</v>
      </c>
      <c r="G409" s="42" t="s">
        <v>763</v>
      </c>
      <c r="H409" s="42" t="s">
        <v>108</v>
      </c>
      <c r="I409" s="42" t="s">
        <v>822</v>
      </c>
    </row>
    <row r="410" spans="1:9">
      <c r="A410" s="42" t="s">
        <v>759</v>
      </c>
      <c r="B410" s="42" t="s">
        <v>296</v>
      </c>
      <c r="C410" s="42" t="s">
        <v>771</v>
      </c>
      <c r="D410" s="42" t="s">
        <v>851</v>
      </c>
      <c r="E410" s="42" t="s">
        <v>808</v>
      </c>
      <c r="F410" s="45">
        <v>21104705938.87335</v>
      </c>
      <c r="G410" s="42" t="s">
        <v>763</v>
      </c>
      <c r="H410" s="42" t="s">
        <v>98</v>
      </c>
      <c r="I410" s="42" t="s">
        <v>817</v>
      </c>
    </row>
    <row r="411" spans="1:9">
      <c r="A411" s="42" t="s">
        <v>759</v>
      </c>
      <c r="B411" s="42" t="s">
        <v>239</v>
      </c>
      <c r="C411" s="42" t="s">
        <v>830</v>
      </c>
      <c r="D411" s="42" t="s">
        <v>851</v>
      </c>
      <c r="E411" s="42" t="s">
        <v>808</v>
      </c>
      <c r="F411" s="45">
        <v>21104705938.87335</v>
      </c>
      <c r="G411" s="42" t="s">
        <v>763</v>
      </c>
      <c r="H411" s="42" t="s">
        <v>108</v>
      </c>
      <c r="I411" s="42" t="s">
        <v>822</v>
      </c>
    </row>
    <row r="412" spans="1:9">
      <c r="A412" s="42" t="s">
        <v>759</v>
      </c>
      <c r="B412" s="42" t="s">
        <v>241</v>
      </c>
      <c r="C412" s="42" t="s">
        <v>772</v>
      </c>
      <c r="D412" s="42" t="s">
        <v>851</v>
      </c>
      <c r="E412" s="42" t="s">
        <v>808</v>
      </c>
      <c r="F412" s="45">
        <v>1343878972.530824</v>
      </c>
      <c r="G412" s="42" t="s">
        <v>763</v>
      </c>
      <c r="H412" s="42" t="s">
        <v>108</v>
      </c>
      <c r="I412" s="42" t="s">
        <v>822</v>
      </c>
    </row>
    <row r="413" spans="1:9">
      <c r="A413" s="42" t="s">
        <v>759</v>
      </c>
      <c r="B413" s="42" t="s">
        <v>242</v>
      </c>
      <c r="C413" s="42" t="s">
        <v>773</v>
      </c>
      <c r="D413" s="42" t="s">
        <v>851</v>
      </c>
      <c r="E413" s="42" t="s">
        <v>808</v>
      </c>
      <c r="F413" s="45">
        <v>3389796.486335036</v>
      </c>
      <c r="G413" s="42" t="s">
        <v>763</v>
      </c>
      <c r="H413" s="42" t="s">
        <v>108</v>
      </c>
      <c r="I413" s="42" t="s">
        <v>822</v>
      </c>
    </row>
    <row r="414" spans="1:9">
      <c r="A414" s="42" t="s">
        <v>759</v>
      </c>
      <c r="B414" s="42" t="s">
        <v>292</v>
      </c>
      <c r="C414" s="42" t="s">
        <v>774</v>
      </c>
      <c r="D414" s="42" t="s">
        <v>851</v>
      </c>
      <c r="E414" s="42" t="s">
        <v>808</v>
      </c>
      <c r="F414" s="45">
        <v>604352287.8494464</v>
      </c>
      <c r="G414" s="42" t="s">
        <v>763</v>
      </c>
      <c r="H414" s="42" t="s">
        <v>108</v>
      </c>
      <c r="I414" s="42" t="s">
        <v>822</v>
      </c>
    </row>
    <row r="415" spans="1:9">
      <c r="A415" s="42" t="s">
        <v>759</v>
      </c>
      <c r="B415" s="42" t="s">
        <v>293</v>
      </c>
      <c r="C415" s="42" t="s">
        <v>775</v>
      </c>
      <c r="D415" s="42" t="s">
        <v>851</v>
      </c>
      <c r="E415" s="42" t="s">
        <v>808</v>
      </c>
      <c r="F415" s="45">
        <v>1971709358.211734</v>
      </c>
      <c r="G415" s="42" t="s">
        <v>763</v>
      </c>
      <c r="H415" s="42" t="s">
        <v>108</v>
      </c>
      <c r="I415" s="42" t="s">
        <v>822</v>
      </c>
    </row>
    <row r="416" spans="1:9">
      <c r="A416" s="42" t="s">
        <v>759</v>
      </c>
      <c r="B416" s="42" t="s">
        <v>295</v>
      </c>
      <c r="C416" s="42" t="s">
        <v>776</v>
      </c>
      <c r="D416" s="42" t="s">
        <v>851</v>
      </c>
      <c r="E416" s="42" t="s">
        <v>808</v>
      </c>
      <c r="F416" s="45">
        <v>139766485.6680998</v>
      </c>
      <c r="G416" s="42" t="s">
        <v>763</v>
      </c>
      <c r="H416" s="42" t="s">
        <v>108</v>
      </c>
      <c r="I416" s="42" t="s">
        <v>822</v>
      </c>
    </row>
    <row r="417" spans="1:9">
      <c r="A417" s="42" t="s">
        <v>759</v>
      </c>
      <c r="B417" s="42" t="s">
        <v>246</v>
      </c>
      <c r="C417" s="42" t="s">
        <v>777</v>
      </c>
      <c r="D417" s="42" t="s">
        <v>851</v>
      </c>
      <c r="E417" s="42" t="s">
        <v>808</v>
      </c>
      <c r="F417" s="45">
        <v>1103771171.166236</v>
      </c>
      <c r="G417" s="42" t="s">
        <v>763</v>
      </c>
      <c r="H417" s="42" t="s">
        <v>108</v>
      </c>
      <c r="I417" s="42" t="s">
        <v>822</v>
      </c>
    </row>
    <row r="418" spans="1:9">
      <c r="A418" s="42" t="s">
        <v>759</v>
      </c>
      <c r="B418" s="42" t="s">
        <v>247</v>
      </c>
      <c r="C418" s="42" t="s">
        <v>778</v>
      </c>
      <c r="D418" s="42" t="s">
        <v>851</v>
      </c>
      <c r="E418" s="42" t="s">
        <v>808</v>
      </c>
      <c r="F418" s="45">
        <v>5166868071.912676</v>
      </c>
      <c r="G418" s="42" t="s">
        <v>763</v>
      </c>
      <c r="H418" s="42" t="s">
        <v>108</v>
      </c>
      <c r="I418" s="42" t="s">
        <v>822</v>
      </c>
    </row>
    <row r="419" spans="1:9">
      <c r="A419" s="42" t="s">
        <v>759</v>
      </c>
      <c r="B419" s="42" t="s">
        <v>248</v>
      </c>
      <c r="C419" s="42" t="s">
        <v>779</v>
      </c>
      <c r="D419" s="42" t="s">
        <v>851</v>
      </c>
      <c r="E419" s="42" t="s">
        <v>808</v>
      </c>
      <c r="F419" s="45">
        <v>26271574010.78602</v>
      </c>
      <c r="G419" s="42" t="s">
        <v>763</v>
      </c>
      <c r="H419" s="42" t="s">
        <v>108</v>
      </c>
      <c r="I419" s="42" t="s">
        <v>822</v>
      </c>
    </row>
    <row r="420" spans="1:9">
      <c r="A420" s="42" t="s">
        <v>759</v>
      </c>
      <c r="B420" s="42" t="s">
        <v>297</v>
      </c>
      <c r="C420" s="42" t="s">
        <v>781</v>
      </c>
      <c r="D420" s="42" t="s">
        <v>851</v>
      </c>
      <c r="E420" s="42" t="s">
        <v>808</v>
      </c>
      <c r="F420" s="45">
        <v>176536593.3671626</v>
      </c>
      <c r="G420" s="42" t="s">
        <v>763</v>
      </c>
      <c r="H420" s="42" t="s">
        <v>108</v>
      </c>
      <c r="I420" s="42" t="s">
        <v>822</v>
      </c>
    </row>
    <row r="421" spans="1:9">
      <c r="A421" s="42" t="s">
        <v>759</v>
      </c>
      <c r="B421" s="42" t="s">
        <v>299</v>
      </c>
      <c r="C421" s="42" t="s">
        <v>782</v>
      </c>
      <c r="D421" s="42" t="s">
        <v>851</v>
      </c>
      <c r="E421" s="42" t="s">
        <v>808</v>
      </c>
      <c r="F421" s="45">
        <v>8883220519.266273</v>
      </c>
      <c r="G421" s="42" t="s">
        <v>763</v>
      </c>
      <c r="H421" s="42" t="s">
        <v>108</v>
      </c>
      <c r="I421" s="42" t="s">
        <v>822</v>
      </c>
    </row>
    <row r="422" spans="1:9">
      <c r="A422" s="42" t="s">
        <v>759</v>
      </c>
      <c r="B422" s="42" t="s">
        <v>260</v>
      </c>
      <c r="C422" s="42" t="s">
        <v>784</v>
      </c>
      <c r="D422" s="42" t="s">
        <v>851</v>
      </c>
      <c r="E422" s="42" t="s">
        <v>808</v>
      </c>
      <c r="F422" s="45">
        <v>9059757112.633434</v>
      </c>
      <c r="G422" s="42" t="s">
        <v>763</v>
      </c>
      <c r="H422" s="42" t="s">
        <v>108</v>
      </c>
      <c r="I422" s="42" t="s">
        <v>822</v>
      </c>
    </row>
    <row r="423" spans="1:9">
      <c r="A423" s="42" t="s">
        <v>759</v>
      </c>
      <c r="B423" s="42" t="s">
        <v>261</v>
      </c>
      <c r="C423" s="42" t="s">
        <v>785</v>
      </c>
      <c r="D423" s="42" t="s">
        <v>851</v>
      </c>
      <c r="E423" s="42" t="s">
        <v>808</v>
      </c>
      <c r="F423" s="45">
        <v>92676701.96630272</v>
      </c>
      <c r="G423" s="42" t="s">
        <v>763</v>
      </c>
      <c r="H423" s="42" t="s">
        <v>108</v>
      </c>
      <c r="I423" s="42" t="s">
        <v>822</v>
      </c>
    </row>
    <row r="424" spans="1:9">
      <c r="A424" s="42" t="s">
        <v>759</v>
      </c>
      <c r="B424" s="42" t="s">
        <v>262</v>
      </c>
      <c r="C424" s="42" t="s">
        <v>787</v>
      </c>
      <c r="D424" s="42" t="s">
        <v>851</v>
      </c>
      <c r="E424" s="42" t="s">
        <v>808</v>
      </c>
      <c r="F424" s="45">
        <v>9152433814.599739</v>
      </c>
      <c r="G424" s="42" t="s">
        <v>763</v>
      </c>
      <c r="H424" s="42" t="s">
        <v>108</v>
      </c>
      <c r="I424" s="42" t="s">
        <v>822</v>
      </c>
    </row>
    <row r="425" spans="1:9">
      <c r="A425" s="42" t="s">
        <v>759</v>
      </c>
      <c r="B425" s="42" t="s">
        <v>301</v>
      </c>
      <c r="C425" s="42" t="s">
        <v>788</v>
      </c>
      <c r="D425" s="42" t="s">
        <v>851</v>
      </c>
      <c r="E425" s="42" t="s">
        <v>808</v>
      </c>
      <c r="F425" s="45">
        <v>2417409151.397786</v>
      </c>
      <c r="G425" s="42" t="s">
        <v>763</v>
      </c>
      <c r="H425" s="42" t="s">
        <v>98</v>
      </c>
      <c r="I425" s="42" t="s">
        <v>817</v>
      </c>
    </row>
    <row r="426" spans="1:9">
      <c r="A426" s="42" t="s">
        <v>759</v>
      </c>
      <c r="B426" s="42" t="s">
        <v>303</v>
      </c>
      <c r="C426" s="42" t="s">
        <v>789</v>
      </c>
      <c r="D426" s="42" t="s">
        <v>851</v>
      </c>
      <c r="E426" s="42" t="s">
        <v>808</v>
      </c>
      <c r="F426" s="45">
        <v>1623612325.925329</v>
      </c>
      <c r="G426" s="42" t="s">
        <v>763</v>
      </c>
      <c r="H426" s="42" t="s">
        <v>98</v>
      </c>
      <c r="I426" s="42" t="s">
        <v>817</v>
      </c>
    </row>
    <row r="427" spans="1:9">
      <c r="A427" s="42" t="s">
        <v>759</v>
      </c>
      <c r="B427" s="42" t="s">
        <v>302</v>
      </c>
      <c r="C427" s="42" t="s">
        <v>814</v>
      </c>
      <c r="D427" s="42" t="s">
        <v>851</v>
      </c>
      <c r="E427" s="42" t="s">
        <v>808</v>
      </c>
      <c r="F427" s="45">
        <v>4909360.428485225</v>
      </c>
      <c r="G427" s="42" t="s">
        <v>763</v>
      </c>
      <c r="H427" s="42" t="s">
        <v>98</v>
      </c>
      <c r="I427" s="42" t="s">
        <v>817</v>
      </c>
    </row>
    <row r="428" spans="1:9">
      <c r="A428" s="42" t="s">
        <v>759</v>
      </c>
      <c r="B428" s="42" t="s">
        <v>304</v>
      </c>
      <c r="C428" s="42" t="s">
        <v>831</v>
      </c>
      <c r="D428" s="42" t="s">
        <v>851</v>
      </c>
      <c r="E428" s="42" t="s">
        <v>808</v>
      </c>
      <c r="F428" s="45">
        <v>56557835.95673285</v>
      </c>
      <c r="G428" s="42" t="s">
        <v>763</v>
      </c>
      <c r="H428" s="42" t="s">
        <v>98</v>
      </c>
      <c r="I428" s="42" t="s">
        <v>817</v>
      </c>
    </row>
    <row r="429" spans="1:9">
      <c r="A429" s="42" t="s">
        <v>759</v>
      </c>
      <c r="B429" s="42" t="s">
        <v>301</v>
      </c>
      <c r="C429" s="42" t="s">
        <v>832</v>
      </c>
      <c r="D429" s="42" t="s">
        <v>851</v>
      </c>
      <c r="E429" s="42" t="s">
        <v>808</v>
      </c>
      <c r="F429" s="45">
        <v>2417409151.397786</v>
      </c>
      <c r="G429" s="42" t="s">
        <v>763</v>
      </c>
      <c r="H429" s="42" t="s">
        <v>108</v>
      </c>
      <c r="I429" s="42" t="s">
        <v>822</v>
      </c>
    </row>
    <row r="430" spans="1:9">
      <c r="A430" s="42" t="s">
        <v>759</v>
      </c>
      <c r="B430" s="42" t="s">
        <v>303</v>
      </c>
      <c r="C430" s="42" t="s">
        <v>833</v>
      </c>
      <c r="D430" s="42" t="s">
        <v>851</v>
      </c>
      <c r="E430" s="42" t="s">
        <v>808</v>
      </c>
      <c r="F430" s="45">
        <v>1623612325.925329</v>
      </c>
      <c r="G430" s="42" t="s">
        <v>763</v>
      </c>
      <c r="H430" s="42" t="s">
        <v>108</v>
      </c>
      <c r="I430" s="42" t="s">
        <v>822</v>
      </c>
    </row>
    <row r="431" spans="1:9">
      <c r="A431" s="42" t="s">
        <v>759</v>
      </c>
      <c r="B431" s="42" t="s">
        <v>305</v>
      </c>
      <c r="C431" s="42" t="s">
        <v>790</v>
      </c>
      <c r="D431" s="42" t="s">
        <v>851</v>
      </c>
      <c r="E431" s="42" t="s">
        <v>808</v>
      </c>
      <c r="F431" s="45">
        <v>23845464.93835681</v>
      </c>
      <c r="G431" s="42" t="s">
        <v>763</v>
      </c>
      <c r="H431" s="42" t="s">
        <v>98</v>
      </c>
      <c r="I431" s="42" t="s">
        <v>817</v>
      </c>
    </row>
    <row r="432" spans="1:9">
      <c r="A432" s="42" t="s">
        <v>759</v>
      </c>
      <c r="B432" s="42" t="s">
        <v>302</v>
      </c>
      <c r="C432" s="42" t="s">
        <v>834</v>
      </c>
      <c r="D432" s="42" t="s">
        <v>851</v>
      </c>
      <c r="E432" s="42" t="s">
        <v>808</v>
      </c>
      <c r="F432" s="45">
        <v>4909360.428485225</v>
      </c>
      <c r="G432" s="42" t="s">
        <v>763</v>
      </c>
      <c r="H432" s="42" t="s">
        <v>108</v>
      </c>
      <c r="I432" s="42" t="s">
        <v>822</v>
      </c>
    </row>
    <row r="433" spans="1:9">
      <c r="A433" s="42" t="s">
        <v>759</v>
      </c>
      <c r="B433" s="42" t="s">
        <v>304</v>
      </c>
      <c r="C433" s="42" t="s">
        <v>835</v>
      </c>
      <c r="D433" s="42" t="s">
        <v>851</v>
      </c>
      <c r="E433" s="42" t="s">
        <v>808</v>
      </c>
      <c r="F433" s="45">
        <v>56557835.95673285</v>
      </c>
      <c r="G433" s="42" t="s">
        <v>763</v>
      </c>
      <c r="H433" s="42" t="s">
        <v>108</v>
      </c>
      <c r="I433" s="42" t="s">
        <v>822</v>
      </c>
    </row>
    <row r="434" spans="1:9">
      <c r="A434" s="42" t="s">
        <v>759</v>
      </c>
      <c r="B434" s="42" t="s">
        <v>307</v>
      </c>
      <c r="C434" s="42" t="s">
        <v>836</v>
      </c>
      <c r="D434" s="42" t="s">
        <v>851</v>
      </c>
      <c r="E434" s="42" t="s">
        <v>808</v>
      </c>
      <c r="F434" s="45">
        <v>674469309.7515194</v>
      </c>
      <c r="G434" s="42" t="s">
        <v>763</v>
      </c>
      <c r="H434" s="42" t="s">
        <v>98</v>
      </c>
      <c r="I434" s="42" t="s">
        <v>817</v>
      </c>
    </row>
    <row r="435" spans="1:9">
      <c r="A435" s="42" t="s">
        <v>759</v>
      </c>
      <c r="B435" s="42" t="s">
        <v>305</v>
      </c>
      <c r="C435" s="42" t="s">
        <v>837</v>
      </c>
      <c r="D435" s="42" t="s">
        <v>851</v>
      </c>
      <c r="E435" s="42" t="s">
        <v>808</v>
      </c>
      <c r="F435" s="45">
        <v>23845464.93835681</v>
      </c>
      <c r="G435" s="42" t="s">
        <v>763</v>
      </c>
      <c r="H435" s="42" t="s">
        <v>108</v>
      </c>
      <c r="I435" s="42" t="s">
        <v>822</v>
      </c>
    </row>
    <row r="436" spans="1:9">
      <c r="A436" s="42" t="s">
        <v>759</v>
      </c>
      <c r="B436" s="42" t="s">
        <v>308</v>
      </c>
      <c r="C436" s="42" t="s">
        <v>791</v>
      </c>
      <c r="D436" s="42" t="s">
        <v>851</v>
      </c>
      <c r="E436" s="42" t="s">
        <v>808</v>
      </c>
      <c r="F436" s="45">
        <v>7007544262.497459</v>
      </c>
      <c r="G436" s="42" t="s">
        <v>763</v>
      </c>
      <c r="H436" s="42" t="s">
        <v>98</v>
      </c>
      <c r="I436" s="42" t="s">
        <v>817</v>
      </c>
    </row>
    <row r="437" spans="1:9">
      <c r="A437" s="42" t="s">
        <v>759</v>
      </c>
      <c r="B437" s="42" t="s">
        <v>309</v>
      </c>
      <c r="C437" s="42" t="s">
        <v>792</v>
      </c>
      <c r="D437" s="42" t="s">
        <v>851</v>
      </c>
      <c r="E437" s="42" t="s">
        <v>808</v>
      </c>
      <c r="F437" s="45">
        <v>11739048.91573168</v>
      </c>
      <c r="G437" s="42" t="s">
        <v>763</v>
      </c>
      <c r="H437" s="42" t="s">
        <v>98</v>
      </c>
      <c r="I437" s="42" t="s">
        <v>817</v>
      </c>
    </row>
    <row r="438" spans="1:9">
      <c r="A438" s="42" t="s">
        <v>759</v>
      </c>
      <c r="B438" s="42" t="s">
        <v>310</v>
      </c>
      <c r="C438" s="42" t="s">
        <v>793</v>
      </c>
      <c r="D438" s="42" t="s">
        <v>851</v>
      </c>
      <c r="E438" s="42" t="s">
        <v>808</v>
      </c>
      <c r="F438" s="45">
        <v>41161814.47692543</v>
      </c>
      <c r="G438" s="42" t="s">
        <v>763</v>
      </c>
      <c r="H438" s="42" t="s">
        <v>98</v>
      </c>
      <c r="I438" s="42" t="s">
        <v>817</v>
      </c>
    </row>
    <row r="439" spans="1:9">
      <c r="A439" s="42" t="s">
        <v>759</v>
      </c>
      <c r="B439" s="42" t="s">
        <v>307</v>
      </c>
      <c r="C439" s="42" t="s">
        <v>838</v>
      </c>
      <c r="D439" s="42" t="s">
        <v>851</v>
      </c>
      <c r="E439" s="42" t="s">
        <v>808</v>
      </c>
      <c r="F439" s="45">
        <v>674469309.7515194</v>
      </c>
      <c r="G439" s="42" t="s">
        <v>763</v>
      </c>
      <c r="H439" s="42" t="s">
        <v>108</v>
      </c>
      <c r="I439" s="42" t="s">
        <v>822</v>
      </c>
    </row>
    <row r="440" spans="1:9">
      <c r="A440" s="42" t="s">
        <v>759</v>
      </c>
      <c r="B440" s="42" t="s">
        <v>308</v>
      </c>
      <c r="C440" s="42" t="s">
        <v>839</v>
      </c>
      <c r="D440" s="42" t="s">
        <v>851</v>
      </c>
      <c r="E440" s="42" t="s">
        <v>808</v>
      </c>
      <c r="F440" s="45">
        <v>7007544262.497459</v>
      </c>
      <c r="G440" s="42" t="s">
        <v>763</v>
      </c>
      <c r="H440" s="42" t="s">
        <v>108</v>
      </c>
      <c r="I440" s="42" t="s">
        <v>822</v>
      </c>
    </row>
    <row r="441" spans="1:9">
      <c r="A441" s="42" t="s">
        <v>759</v>
      </c>
      <c r="B441" s="42" t="s">
        <v>311</v>
      </c>
      <c r="C441" s="42" t="s">
        <v>794</v>
      </c>
      <c r="D441" s="42" t="s">
        <v>851</v>
      </c>
      <c r="E441" s="42" t="s">
        <v>808</v>
      </c>
      <c r="F441" s="45">
        <v>11861248574.28833</v>
      </c>
      <c r="G441" s="42" t="s">
        <v>763</v>
      </c>
      <c r="H441" s="42" t="s">
        <v>98</v>
      </c>
      <c r="I441" s="42" t="s">
        <v>817</v>
      </c>
    </row>
    <row r="442" spans="1:9">
      <c r="A442" s="42" t="s">
        <v>759</v>
      </c>
      <c r="B442" s="42" t="s">
        <v>309</v>
      </c>
      <c r="C442" s="42" t="s">
        <v>840</v>
      </c>
      <c r="D442" s="42" t="s">
        <v>851</v>
      </c>
      <c r="E442" s="42" t="s">
        <v>808</v>
      </c>
      <c r="F442" s="45">
        <v>11739048.91573168</v>
      </c>
      <c r="G442" s="42" t="s">
        <v>763</v>
      </c>
      <c r="H442" s="42" t="s">
        <v>108</v>
      </c>
      <c r="I442" s="42" t="s">
        <v>822</v>
      </c>
    </row>
    <row r="443" spans="1:9">
      <c r="A443" s="42" t="s">
        <v>759</v>
      </c>
      <c r="B443" s="42" t="s">
        <v>310</v>
      </c>
      <c r="C443" s="42" t="s">
        <v>841</v>
      </c>
      <c r="D443" s="42" t="s">
        <v>851</v>
      </c>
      <c r="E443" s="42" t="s">
        <v>808</v>
      </c>
      <c r="F443" s="45">
        <v>41161814.47692543</v>
      </c>
      <c r="G443" s="42" t="s">
        <v>763</v>
      </c>
      <c r="H443" s="42" t="s">
        <v>108</v>
      </c>
      <c r="I443" s="42" t="s">
        <v>822</v>
      </c>
    </row>
    <row r="444" spans="1:9">
      <c r="A444" s="42" t="s">
        <v>759</v>
      </c>
      <c r="B444" s="42" t="s">
        <v>273</v>
      </c>
      <c r="C444" s="42" t="s">
        <v>842</v>
      </c>
      <c r="D444" s="42" t="s">
        <v>851</v>
      </c>
      <c r="E444" s="42" t="s">
        <v>808</v>
      </c>
      <c r="F444" s="45">
        <v>11861248574.28833</v>
      </c>
      <c r="G444" s="42" t="s">
        <v>763</v>
      </c>
      <c r="H444" s="42" t="s">
        <v>108</v>
      </c>
      <c r="I444" s="42" t="s">
        <v>822</v>
      </c>
    </row>
    <row r="445" spans="1:9">
      <c r="A445" s="42" t="s">
        <v>759</v>
      </c>
      <c r="B445" s="42" t="s">
        <v>301</v>
      </c>
      <c r="C445" s="42" t="s">
        <v>795</v>
      </c>
      <c r="D445" s="42" t="s">
        <v>851</v>
      </c>
      <c r="E445" s="42" t="s">
        <v>808</v>
      </c>
      <c r="F445" s="45">
        <v>91173836.52901131</v>
      </c>
      <c r="G445" s="42" t="s">
        <v>763</v>
      </c>
      <c r="H445" s="42" t="s">
        <v>108</v>
      </c>
      <c r="I445" s="42" t="s">
        <v>822</v>
      </c>
    </row>
    <row r="446" spans="1:9">
      <c r="A446" s="42" t="s">
        <v>759</v>
      </c>
      <c r="B446" s="42" t="s">
        <v>302</v>
      </c>
      <c r="C446" s="42" t="s">
        <v>797</v>
      </c>
      <c r="D446" s="42" t="s">
        <v>851</v>
      </c>
      <c r="E446" s="42" t="s">
        <v>808</v>
      </c>
      <c r="F446" s="45">
        <v>123635729.9745055</v>
      </c>
      <c r="G446" s="42" t="s">
        <v>763</v>
      </c>
      <c r="H446" s="42" t="s">
        <v>108</v>
      </c>
      <c r="I446" s="42" t="s">
        <v>822</v>
      </c>
    </row>
    <row r="447" spans="1:9">
      <c r="A447" s="42" t="s">
        <v>759</v>
      </c>
      <c r="B447" s="42" t="s">
        <v>304</v>
      </c>
      <c r="C447" s="42" t="s">
        <v>796</v>
      </c>
      <c r="D447" s="42" t="s">
        <v>851</v>
      </c>
      <c r="E447" s="42" t="s">
        <v>808</v>
      </c>
      <c r="F447" s="45">
        <v>32795863.54267</v>
      </c>
      <c r="G447" s="42" t="s">
        <v>763</v>
      </c>
      <c r="H447" s="42" t="s">
        <v>108</v>
      </c>
      <c r="I447" s="42" t="s">
        <v>822</v>
      </c>
    </row>
    <row r="448" spans="1:9">
      <c r="A448" s="42" t="s">
        <v>759</v>
      </c>
      <c r="B448" s="42" t="s">
        <v>305</v>
      </c>
      <c r="C448" s="42" t="s">
        <v>798</v>
      </c>
      <c r="D448" s="42" t="s">
        <v>851</v>
      </c>
      <c r="E448" s="42" t="s">
        <v>808</v>
      </c>
      <c r="F448" s="45">
        <v>190980800.0700187</v>
      </c>
      <c r="G448" s="42" t="s">
        <v>763</v>
      </c>
      <c r="H448" s="42" t="s">
        <v>108</v>
      </c>
      <c r="I448" s="42" t="s">
        <v>822</v>
      </c>
    </row>
    <row r="449" spans="1:9">
      <c r="A449" s="42" t="s">
        <v>759</v>
      </c>
      <c r="B449" s="42" t="s">
        <v>306</v>
      </c>
      <c r="C449" s="42" t="s">
        <v>799</v>
      </c>
      <c r="D449" s="42" t="s">
        <v>851</v>
      </c>
      <c r="E449" s="42" t="s">
        <v>808</v>
      </c>
      <c r="F449" s="45">
        <v>170391543.5791267</v>
      </c>
      <c r="G449" s="42" t="s">
        <v>763</v>
      </c>
      <c r="H449" s="42" t="s">
        <v>108</v>
      </c>
      <c r="I449" s="42" t="s">
        <v>822</v>
      </c>
    </row>
    <row r="450" spans="1:9">
      <c r="A450" s="42" t="s">
        <v>759</v>
      </c>
      <c r="B450" s="42" t="s">
        <v>307</v>
      </c>
      <c r="C450" s="42" t="s">
        <v>843</v>
      </c>
      <c r="D450" s="42" t="s">
        <v>851</v>
      </c>
      <c r="E450" s="42" t="s">
        <v>808</v>
      </c>
      <c r="F450" s="45">
        <v>357164320.4247295</v>
      </c>
      <c r="G450" s="42" t="s">
        <v>763</v>
      </c>
      <c r="H450" s="42" t="s">
        <v>108</v>
      </c>
      <c r="I450" s="42" t="s">
        <v>822</v>
      </c>
    </row>
    <row r="451" spans="1:9">
      <c r="A451" s="42" t="s">
        <v>759</v>
      </c>
      <c r="B451" s="42" t="s">
        <v>308</v>
      </c>
      <c r="C451" s="42" t="s">
        <v>800</v>
      </c>
      <c r="D451" s="42" t="s">
        <v>851</v>
      </c>
      <c r="E451" s="42" t="s">
        <v>808</v>
      </c>
      <c r="F451" s="45">
        <v>1788560156.92049</v>
      </c>
      <c r="G451" s="42" t="s">
        <v>763</v>
      </c>
      <c r="H451" s="42" t="s">
        <v>108</v>
      </c>
      <c r="I451" s="42" t="s">
        <v>822</v>
      </c>
    </row>
    <row r="452" spans="1:9">
      <c r="A452" s="42" t="s">
        <v>759</v>
      </c>
      <c r="B452" s="42" t="s">
        <v>309</v>
      </c>
      <c r="C452" s="42" t="s">
        <v>801</v>
      </c>
      <c r="D452" s="42" t="s">
        <v>851</v>
      </c>
      <c r="E452" s="42" t="s">
        <v>808</v>
      </c>
      <c r="F452" s="45">
        <v>21875041.36501919</v>
      </c>
      <c r="G452" s="42" t="s">
        <v>763</v>
      </c>
      <c r="H452" s="42" t="s">
        <v>108</v>
      </c>
      <c r="I452" s="42" t="s">
        <v>822</v>
      </c>
    </row>
    <row r="453" spans="1:9">
      <c r="A453" s="42" t="s">
        <v>759</v>
      </c>
      <c r="B453" s="42" t="s">
        <v>310</v>
      </c>
      <c r="C453" s="42" t="s">
        <v>802</v>
      </c>
      <c r="D453" s="42" t="s">
        <v>851</v>
      </c>
      <c r="E453" s="42" t="s">
        <v>808</v>
      </c>
      <c r="F453" s="45">
        <v>2481314329.492387</v>
      </c>
      <c r="G453" s="42" t="s">
        <v>763</v>
      </c>
      <c r="H453" s="42" t="s">
        <v>108</v>
      </c>
      <c r="I453" s="42" t="s">
        <v>822</v>
      </c>
    </row>
    <row r="454" spans="1:9">
      <c r="A454" s="42" t="s">
        <v>759</v>
      </c>
      <c r="B454" s="42" t="s">
        <v>284</v>
      </c>
      <c r="C454" s="42" t="s">
        <v>803</v>
      </c>
      <c r="D454" s="42" t="s">
        <v>851</v>
      </c>
      <c r="E454" s="42" t="s">
        <v>808</v>
      </c>
      <c r="F454" s="45">
        <v>5257891621.897959</v>
      </c>
      <c r="G454" s="42" t="s">
        <v>763</v>
      </c>
      <c r="H454" s="42" t="s">
        <v>108</v>
      </c>
      <c r="I454" s="42" t="s">
        <v>822</v>
      </c>
    </row>
    <row r="455" spans="1:9">
      <c r="A455" s="42" t="s">
        <v>759</v>
      </c>
      <c r="B455" s="42" t="s">
        <v>285</v>
      </c>
      <c r="C455" s="42" t="s">
        <v>804</v>
      </c>
      <c r="D455" s="42" t="s">
        <v>851</v>
      </c>
      <c r="E455" s="42" t="s">
        <v>808</v>
      </c>
      <c r="F455" s="45">
        <v>17119140196.18628</v>
      </c>
      <c r="G455" s="42" t="s">
        <v>763</v>
      </c>
      <c r="H455" s="42" t="s">
        <v>108</v>
      </c>
      <c r="I455" s="42" t="s">
        <v>822</v>
      </c>
    </row>
    <row r="456" spans="1:9">
      <c r="A456" s="42" t="s">
        <v>759</v>
      </c>
      <c r="B456" s="42" t="s">
        <v>286</v>
      </c>
      <c r="C456" s="42" t="s">
        <v>806</v>
      </c>
      <c r="D456" s="42" t="s">
        <v>851</v>
      </c>
      <c r="E456" s="42" t="s">
        <v>808</v>
      </c>
      <c r="F456" s="45">
        <v>26271574010.78602</v>
      </c>
      <c r="G456" s="42" t="s">
        <v>763</v>
      </c>
      <c r="H456" s="42" t="s">
        <v>108</v>
      </c>
      <c r="I456" s="42" t="s">
        <v>822</v>
      </c>
    </row>
    <row r="457" spans="1:9">
      <c r="A457" s="42" t="s">
        <v>759</v>
      </c>
      <c r="B457" s="42" t="s">
        <v>287</v>
      </c>
      <c r="C457" s="42" t="s">
        <v>760</v>
      </c>
      <c r="D457" s="42" t="s">
        <v>852</v>
      </c>
      <c r="E457" s="42" t="s">
        <v>762</v>
      </c>
      <c r="F457" s="45">
        <v>464927842.4139879</v>
      </c>
      <c r="G457" s="42" t="s">
        <v>763</v>
      </c>
      <c r="H457" s="42" t="s">
        <v>104</v>
      </c>
      <c r="I457" s="42" t="s">
        <v>853</v>
      </c>
    </row>
    <row r="458" spans="1:9">
      <c r="A458" s="42" t="s">
        <v>759</v>
      </c>
      <c r="B458" s="42" t="s">
        <v>287</v>
      </c>
      <c r="C458" s="42" t="s">
        <v>821</v>
      </c>
      <c r="D458" s="42" t="s">
        <v>852</v>
      </c>
      <c r="E458" s="42" t="s">
        <v>762</v>
      </c>
      <c r="F458" s="45">
        <v>465000000</v>
      </c>
      <c r="G458" s="42" t="s">
        <v>763</v>
      </c>
      <c r="H458" s="42" t="s">
        <v>119</v>
      </c>
      <c r="I458" s="42" t="s">
        <v>854</v>
      </c>
    </row>
    <row r="459" spans="1:9">
      <c r="A459" s="42" t="s">
        <v>759</v>
      </c>
      <c r="B459" s="42" t="s">
        <v>288</v>
      </c>
      <c r="C459" s="42" t="s">
        <v>765</v>
      </c>
      <c r="D459" s="42" t="s">
        <v>852</v>
      </c>
      <c r="E459" s="42" t="s">
        <v>762</v>
      </c>
      <c r="F459" s="45">
        <v>16395626464.425</v>
      </c>
      <c r="G459" s="42" t="s">
        <v>763</v>
      </c>
      <c r="H459" s="42" t="s">
        <v>104</v>
      </c>
      <c r="I459" s="42" t="s">
        <v>853</v>
      </c>
    </row>
    <row r="460" spans="1:9">
      <c r="A460" s="42" t="s">
        <v>759</v>
      </c>
      <c r="B460" s="42" t="s">
        <v>288</v>
      </c>
      <c r="C460" s="42" t="s">
        <v>823</v>
      </c>
      <c r="D460" s="42" t="s">
        <v>852</v>
      </c>
      <c r="E460" s="42" t="s">
        <v>762</v>
      </c>
      <c r="F460" s="45">
        <v>16413000000</v>
      </c>
      <c r="G460" s="42" t="s">
        <v>763</v>
      </c>
      <c r="H460" s="42" t="s">
        <v>119</v>
      </c>
      <c r="I460" s="42" t="s">
        <v>854</v>
      </c>
    </row>
    <row r="461" spans="1:9">
      <c r="A461" s="42" t="s">
        <v>759</v>
      </c>
      <c r="B461" s="42" t="s">
        <v>289</v>
      </c>
      <c r="C461" s="42" t="s">
        <v>824</v>
      </c>
      <c r="D461" s="42" t="s">
        <v>852</v>
      </c>
      <c r="E461" s="42" t="s">
        <v>762</v>
      </c>
      <c r="F461" s="45">
        <v>523901025.6256806</v>
      </c>
      <c r="G461" s="42" t="s">
        <v>763</v>
      </c>
      <c r="H461" s="42" t="s">
        <v>104</v>
      </c>
      <c r="I461" s="42" t="s">
        <v>853</v>
      </c>
    </row>
    <row r="462" spans="1:9">
      <c r="A462" s="42" t="s">
        <v>759</v>
      </c>
      <c r="B462" s="42" t="s">
        <v>289</v>
      </c>
      <c r="C462" s="42" t="s">
        <v>825</v>
      </c>
      <c r="D462" s="42" t="s">
        <v>852</v>
      </c>
      <c r="E462" s="42" t="s">
        <v>762</v>
      </c>
      <c r="F462" s="45">
        <v>524000000</v>
      </c>
      <c r="G462" s="42" t="s">
        <v>763</v>
      </c>
      <c r="H462" s="42" t="s">
        <v>119</v>
      </c>
      <c r="I462" s="42" t="s">
        <v>854</v>
      </c>
    </row>
    <row r="463" spans="1:9">
      <c r="A463" s="42" t="s">
        <v>759</v>
      </c>
      <c r="B463" s="42" t="s">
        <v>290</v>
      </c>
      <c r="C463" s="42" t="s">
        <v>766</v>
      </c>
      <c r="D463" s="42" t="s">
        <v>852</v>
      </c>
      <c r="E463" s="42" t="s">
        <v>762</v>
      </c>
      <c r="F463" s="45">
        <v>1273022087.902223</v>
      </c>
      <c r="G463" s="42" t="s">
        <v>763</v>
      </c>
      <c r="H463" s="42" t="s">
        <v>104</v>
      </c>
      <c r="I463" s="42" t="s">
        <v>853</v>
      </c>
    </row>
    <row r="464" spans="1:9">
      <c r="A464" s="42" t="s">
        <v>759</v>
      </c>
      <c r="B464" s="42" t="s">
        <v>290</v>
      </c>
      <c r="C464" s="42" t="s">
        <v>826</v>
      </c>
      <c r="D464" s="42" t="s">
        <v>852</v>
      </c>
      <c r="E464" s="42" t="s">
        <v>762</v>
      </c>
      <c r="F464" s="45">
        <v>1274000000</v>
      </c>
      <c r="G464" s="42" t="s">
        <v>763</v>
      </c>
      <c r="H464" s="42" t="s">
        <v>119</v>
      </c>
      <c r="I464" s="42" t="s">
        <v>854</v>
      </c>
    </row>
    <row r="465" spans="1:9">
      <c r="A465" s="42" t="s">
        <v>759</v>
      </c>
      <c r="B465" s="42" t="s">
        <v>291</v>
      </c>
      <c r="C465" s="42" t="s">
        <v>767</v>
      </c>
      <c r="D465" s="42" t="s">
        <v>852</v>
      </c>
      <c r="E465" s="42" t="s">
        <v>762</v>
      </c>
      <c r="F465" s="45">
        <v>31245566.03457078</v>
      </c>
      <c r="G465" s="42" t="s">
        <v>763</v>
      </c>
      <c r="H465" s="42" t="s">
        <v>104</v>
      </c>
      <c r="I465" s="42" t="s">
        <v>853</v>
      </c>
    </row>
    <row r="466" spans="1:9">
      <c r="A466" s="42" t="s">
        <v>759</v>
      </c>
      <c r="B466" s="42" t="s">
        <v>291</v>
      </c>
      <c r="C466" s="42" t="s">
        <v>827</v>
      </c>
      <c r="D466" s="42" t="s">
        <v>852</v>
      </c>
      <c r="E466" s="42" t="s">
        <v>762</v>
      </c>
      <c r="F466" s="45">
        <v>33000000</v>
      </c>
      <c r="G466" s="42" t="s">
        <v>763</v>
      </c>
      <c r="H466" s="42" t="s">
        <v>119</v>
      </c>
      <c r="I466" s="42" t="s">
        <v>854</v>
      </c>
    </row>
    <row r="467" spans="1:9">
      <c r="A467" s="42" t="s">
        <v>759</v>
      </c>
      <c r="B467" s="42" t="s">
        <v>292</v>
      </c>
      <c r="C467" s="42" t="s">
        <v>768</v>
      </c>
      <c r="D467" s="42" t="s">
        <v>852</v>
      </c>
      <c r="E467" s="42" t="s">
        <v>762</v>
      </c>
      <c r="F467" s="45">
        <v>174197893.2554979</v>
      </c>
      <c r="G467" s="42" t="s">
        <v>763</v>
      </c>
      <c r="H467" s="42" t="s">
        <v>104</v>
      </c>
      <c r="I467" s="42" t="s">
        <v>853</v>
      </c>
    </row>
    <row r="468" spans="1:9">
      <c r="A468" s="42" t="s">
        <v>759</v>
      </c>
      <c r="B468" s="42" t="s">
        <v>292</v>
      </c>
      <c r="C468" s="42" t="s">
        <v>828</v>
      </c>
      <c r="D468" s="42" t="s">
        <v>852</v>
      </c>
      <c r="E468" s="42" t="s">
        <v>762</v>
      </c>
      <c r="F468" s="45">
        <v>175000000</v>
      </c>
      <c r="G468" s="42" t="s">
        <v>763</v>
      </c>
      <c r="H468" s="42" t="s">
        <v>119</v>
      </c>
      <c r="I468" s="42" t="s">
        <v>854</v>
      </c>
    </row>
    <row r="469" spans="1:9">
      <c r="A469" s="42" t="s">
        <v>759</v>
      </c>
      <c r="B469" s="42" t="s">
        <v>293</v>
      </c>
      <c r="C469" s="42" t="s">
        <v>769</v>
      </c>
      <c r="D469" s="42" t="s">
        <v>852</v>
      </c>
      <c r="E469" s="42" t="s">
        <v>762</v>
      </c>
      <c r="F469" s="45">
        <v>101390613.8611348</v>
      </c>
      <c r="G469" s="42" t="s">
        <v>763</v>
      </c>
      <c r="H469" s="42" t="s">
        <v>104</v>
      </c>
      <c r="I469" s="42" t="s">
        <v>853</v>
      </c>
    </row>
    <row r="470" spans="1:9">
      <c r="A470" s="42" t="s">
        <v>759</v>
      </c>
      <c r="B470" s="42" t="s">
        <v>293</v>
      </c>
      <c r="C470" s="42" t="s">
        <v>829</v>
      </c>
      <c r="D470" s="42" t="s">
        <v>852</v>
      </c>
      <c r="E470" s="42" t="s">
        <v>762</v>
      </c>
      <c r="F470" s="45">
        <v>101000000</v>
      </c>
      <c r="G470" s="42" t="s">
        <v>763</v>
      </c>
      <c r="H470" s="42" t="s">
        <v>119</v>
      </c>
      <c r="I470" s="42" t="s">
        <v>854</v>
      </c>
    </row>
    <row r="471" spans="1:9">
      <c r="A471" s="42" t="s">
        <v>759</v>
      </c>
      <c r="B471" s="42" t="s">
        <v>296</v>
      </c>
      <c r="C471" s="42" t="s">
        <v>771</v>
      </c>
      <c r="D471" s="42" t="s">
        <v>852</v>
      </c>
      <c r="E471" s="42" t="s">
        <v>762</v>
      </c>
      <c r="F471" s="45">
        <v>18964311493.51809</v>
      </c>
      <c r="G471" s="42" t="s">
        <v>763</v>
      </c>
      <c r="H471" s="42" t="s">
        <v>104</v>
      </c>
      <c r="I471" s="42" t="s">
        <v>853</v>
      </c>
    </row>
    <row r="472" spans="1:9">
      <c r="A472" s="42" t="s">
        <v>759</v>
      </c>
      <c r="B472" s="42" t="s">
        <v>239</v>
      </c>
      <c r="C472" s="42" t="s">
        <v>830</v>
      </c>
      <c r="D472" s="42" t="s">
        <v>852</v>
      </c>
      <c r="E472" s="42" t="s">
        <v>762</v>
      </c>
      <c r="F472" s="45">
        <v>18985000000</v>
      </c>
      <c r="G472" s="42" t="s">
        <v>763</v>
      </c>
      <c r="H472" s="42" t="s">
        <v>119</v>
      </c>
      <c r="I472" s="42" t="s">
        <v>854</v>
      </c>
    </row>
    <row r="473" spans="1:9">
      <c r="A473" s="42" t="s">
        <v>759</v>
      </c>
      <c r="B473" s="42" t="s">
        <v>810</v>
      </c>
      <c r="C473" s="42" t="s">
        <v>818</v>
      </c>
      <c r="D473" s="42" t="s">
        <v>852</v>
      </c>
      <c r="E473" s="42" t="s">
        <v>762</v>
      </c>
      <c r="F473" s="45">
        <v>6000000</v>
      </c>
      <c r="G473" s="42" t="s">
        <v>763</v>
      </c>
      <c r="H473" s="42" t="s">
        <v>119</v>
      </c>
      <c r="I473" s="42" t="s">
        <v>854</v>
      </c>
    </row>
    <row r="474" spans="1:9">
      <c r="A474" s="42" t="s">
        <v>759</v>
      </c>
      <c r="B474" s="42" t="s">
        <v>241</v>
      </c>
      <c r="C474" s="42" t="s">
        <v>772</v>
      </c>
      <c r="D474" s="42" t="s">
        <v>852</v>
      </c>
      <c r="E474" s="42" t="s">
        <v>762</v>
      </c>
      <c r="F474" s="45">
        <v>1191000000</v>
      </c>
      <c r="G474" s="42" t="s">
        <v>763</v>
      </c>
      <c r="H474" s="42" t="s">
        <v>119</v>
      </c>
      <c r="I474" s="42" t="s">
        <v>854</v>
      </c>
    </row>
    <row r="475" spans="1:9">
      <c r="A475" s="42" t="s">
        <v>759</v>
      </c>
      <c r="B475" s="42" t="s">
        <v>242</v>
      </c>
      <c r="C475" s="42" t="s">
        <v>773</v>
      </c>
      <c r="D475" s="42" t="s">
        <v>852</v>
      </c>
      <c r="E475" s="42" t="s">
        <v>762</v>
      </c>
      <c r="F475" s="45">
        <v>10000000</v>
      </c>
      <c r="G475" s="42" t="s">
        <v>763</v>
      </c>
      <c r="H475" s="42" t="s">
        <v>119</v>
      </c>
      <c r="I475" s="42" t="s">
        <v>854</v>
      </c>
    </row>
    <row r="476" spans="1:9">
      <c r="A476" s="42" t="s">
        <v>759</v>
      </c>
      <c r="B476" s="42" t="s">
        <v>292</v>
      </c>
      <c r="C476" s="42" t="s">
        <v>774</v>
      </c>
      <c r="D476" s="42" t="s">
        <v>852</v>
      </c>
      <c r="E476" s="42" t="s">
        <v>762</v>
      </c>
      <c r="F476" s="45">
        <v>409000000</v>
      </c>
      <c r="G476" s="42" t="s">
        <v>763</v>
      </c>
      <c r="H476" s="42" t="s">
        <v>119</v>
      </c>
      <c r="I476" s="42" t="s">
        <v>854</v>
      </c>
    </row>
    <row r="477" spans="1:9">
      <c r="A477" s="42" t="s">
        <v>759</v>
      </c>
      <c r="B477" s="42" t="s">
        <v>293</v>
      </c>
      <c r="C477" s="42" t="s">
        <v>775</v>
      </c>
      <c r="D477" s="42" t="s">
        <v>852</v>
      </c>
      <c r="E477" s="42" t="s">
        <v>762</v>
      </c>
      <c r="F477" s="45">
        <v>1287000000</v>
      </c>
      <c r="G477" s="42" t="s">
        <v>763</v>
      </c>
      <c r="H477" s="42" t="s">
        <v>119</v>
      </c>
      <c r="I477" s="42" t="s">
        <v>854</v>
      </c>
    </row>
    <row r="478" spans="1:9">
      <c r="A478" s="42" t="s">
        <v>759</v>
      </c>
      <c r="B478" s="42" t="s">
        <v>295</v>
      </c>
      <c r="C478" s="42" t="s">
        <v>776</v>
      </c>
      <c r="D478" s="42" t="s">
        <v>852</v>
      </c>
      <c r="E478" s="42" t="s">
        <v>762</v>
      </c>
      <c r="F478" s="45">
        <v>344000000</v>
      </c>
      <c r="G478" s="42" t="s">
        <v>763</v>
      </c>
      <c r="H478" s="42" t="s">
        <v>119</v>
      </c>
      <c r="I478" s="42" t="s">
        <v>854</v>
      </c>
    </row>
    <row r="479" spans="1:9">
      <c r="A479" s="42" t="s">
        <v>759</v>
      </c>
      <c r="B479" s="42" t="s">
        <v>246</v>
      </c>
      <c r="C479" s="42" t="s">
        <v>777</v>
      </c>
      <c r="D479" s="42" t="s">
        <v>852</v>
      </c>
      <c r="E479" s="42" t="s">
        <v>762</v>
      </c>
      <c r="F479" s="45">
        <v>650000000</v>
      </c>
      <c r="G479" s="42" t="s">
        <v>763</v>
      </c>
      <c r="H479" s="42" t="s">
        <v>119</v>
      </c>
      <c r="I479" s="42" t="s">
        <v>854</v>
      </c>
    </row>
    <row r="480" spans="1:9">
      <c r="A480" s="42" t="s">
        <v>759</v>
      </c>
      <c r="B480" s="42" t="s">
        <v>247</v>
      </c>
      <c r="C480" s="42" t="s">
        <v>778</v>
      </c>
      <c r="D480" s="42" t="s">
        <v>852</v>
      </c>
      <c r="E480" s="42" t="s">
        <v>762</v>
      </c>
      <c r="F480" s="45">
        <v>3897000000</v>
      </c>
      <c r="G480" s="42" t="s">
        <v>763</v>
      </c>
      <c r="H480" s="42" t="s">
        <v>119</v>
      </c>
      <c r="I480" s="42" t="s">
        <v>854</v>
      </c>
    </row>
    <row r="481" spans="1:9">
      <c r="A481" s="42" t="s">
        <v>759</v>
      </c>
      <c r="B481" s="42" t="s">
        <v>248</v>
      </c>
      <c r="C481" s="42" t="s">
        <v>779</v>
      </c>
      <c r="D481" s="42" t="s">
        <v>852</v>
      </c>
      <c r="E481" s="42" t="s">
        <v>762</v>
      </c>
      <c r="F481" s="45">
        <v>22882000000</v>
      </c>
      <c r="G481" s="42" t="s">
        <v>763</v>
      </c>
      <c r="H481" s="42" t="s">
        <v>119</v>
      </c>
      <c r="I481" s="42" t="s">
        <v>854</v>
      </c>
    </row>
    <row r="482" spans="1:9">
      <c r="A482" s="42" t="s">
        <v>759</v>
      </c>
      <c r="B482" s="42" t="s">
        <v>297</v>
      </c>
      <c r="C482" s="42" t="s">
        <v>781</v>
      </c>
      <c r="D482" s="42" t="s">
        <v>852</v>
      </c>
      <c r="E482" s="42" t="s">
        <v>762</v>
      </c>
      <c r="F482" s="45">
        <v>4532000000</v>
      </c>
      <c r="G482" s="42" t="s">
        <v>763</v>
      </c>
      <c r="H482" s="42" t="s">
        <v>119</v>
      </c>
      <c r="I482" s="42" t="s">
        <v>854</v>
      </c>
    </row>
    <row r="483" spans="1:9">
      <c r="A483" s="42" t="s">
        <v>759</v>
      </c>
      <c r="B483" s="42" t="s">
        <v>299</v>
      </c>
      <c r="C483" s="42" t="s">
        <v>782</v>
      </c>
      <c r="D483" s="42" t="s">
        <v>852</v>
      </c>
      <c r="E483" s="42" t="s">
        <v>762</v>
      </c>
      <c r="F483" s="45">
        <v>7925427722.450874</v>
      </c>
      <c r="G483" s="42" t="s">
        <v>763</v>
      </c>
      <c r="H483" s="42" t="s">
        <v>108</v>
      </c>
      <c r="I483" s="42" t="s">
        <v>822</v>
      </c>
    </row>
    <row r="484" spans="1:9">
      <c r="A484" s="42" t="s">
        <v>759</v>
      </c>
      <c r="B484" s="42" t="s">
        <v>298</v>
      </c>
      <c r="C484" s="42" t="s">
        <v>855</v>
      </c>
      <c r="D484" s="42" t="s">
        <v>852</v>
      </c>
      <c r="E484" s="42" t="s">
        <v>762</v>
      </c>
      <c r="F484" s="45">
        <v>3525000000</v>
      </c>
      <c r="G484" s="42" t="s">
        <v>763</v>
      </c>
      <c r="H484" s="42" t="s">
        <v>119</v>
      </c>
      <c r="I484" s="42" t="s">
        <v>854</v>
      </c>
    </row>
    <row r="485" spans="1:9">
      <c r="A485" s="42" t="s">
        <v>759</v>
      </c>
      <c r="B485" s="42" t="s">
        <v>260</v>
      </c>
      <c r="C485" s="42" t="s">
        <v>784</v>
      </c>
      <c r="D485" s="42" t="s">
        <v>852</v>
      </c>
      <c r="E485" s="42" t="s">
        <v>762</v>
      </c>
      <c r="F485" s="45">
        <v>8057000000</v>
      </c>
      <c r="G485" s="42" t="s">
        <v>763</v>
      </c>
      <c r="H485" s="42" t="s">
        <v>119</v>
      </c>
      <c r="I485" s="42" t="s">
        <v>854</v>
      </c>
    </row>
    <row r="486" spans="1:9">
      <c r="A486" s="42" t="s">
        <v>759</v>
      </c>
      <c r="B486" s="42" t="s">
        <v>261</v>
      </c>
      <c r="C486" s="42" t="s">
        <v>785</v>
      </c>
      <c r="D486" s="42" t="s">
        <v>852</v>
      </c>
      <c r="E486" s="42" t="s">
        <v>762</v>
      </c>
      <c r="F486" s="45">
        <v>74000000</v>
      </c>
      <c r="G486" s="42" t="s">
        <v>763</v>
      </c>
      <c r="H486" s="42" t="s">
        <v>119</v>
      </c>
      <c r="I486" s="42" t="s">
        <v>854</v>
      </c>
    </row>
    <row r="487" spans="1:9">
      <c r="A487" s="42" t="s">
        <v>759</v>
      </c>
      <c r="B487" s="42" t="s">
        <v>262</v>
      </c>
      <c r="C487" s="42" t="s">
        <v>787</v>
      </c>
      <c r="D487" s="42" t="s">
        <v>852</v>
      </c>
      <c r="E487" s="42" t="s">
        <v>762</v>
      </c>
      <c r="F487" s="45">
        <v>8131000000</v>
      </c>
      <c r="G487" s="42" t="s">
        <v>763</v>
      </c>
      <c r="H487" s="42" t="s">
        <v>119</v>
      </c>
      <c r="I487" s="42" t="s">
        <v>854</v>
      </c>
    </row>
    <row r="488" spans="1:9">
      <c r="A488" s="42" t="s">
        <v>759</v>
      </c>
      <c r="B488" s="42" t="s">
        <v>301</v>
      </c>
      <c r="C488" s="42" t="s">
        <v>788</v>
      </c>
      <c r="D488" s="42" t="s">
        <v>852</v>
      </c>
      <c r="E488" s="42" t="s">
        <v>762</v>
      </c>
      <c r="F488" s="45">
        <v>2216402859.891607</v>
      </c>
      <c r="G488" s="42" t="s">
        <v>763</v>
      </c>
      <c r="H488" s="42" t="s">
        <v>104</v>
      </c>
      <c r="I488" s="42" t="s">
        <v>853</v>
      </c>
    </row>
    <row r="489" spans="1:9">
      <c r="A489" s="42" t="s">
        <v>759</v>
      </c>
      <c r="B489" s="42" t="s">
        <v>303</v>
      </c>
      <c r="C489" s="42" t="s">
        <v>789</v>
      </c>
      <c r="D489" s="42" t="s">
        <v>852</v>
      </c>
      <c r="E489" s="42" t="s">
        <v>762</v>
      </c>
      <c r="F489" s="45">
        <v>1421548462.46823</v>
      </c>
      <c r="G489" s="42" t="s">
        <v>763</v>
      </c>
      <c r="H489" s="42" t="s">
        <v>104</v>
      </c>
      <c r="I489" s="42" t="s">
        <v>853</v>
      </c>
    </row>
    <row r="490" spans="1:9">
      <c r="A490" s="42" t="s">
        <v>759</v>
      </c>
      <c r="B490" s="42" t="s">
        <v>304</v>
      </c>
      <c r="C490" s="42" t="s">
        <v>831</v>
      </c>
      <c r="D490" s="42" t="s">
        <v>852</v>
      </c>
      <c r="E490" s="42" t="s">
        <v>762</v>
      </c>
      <c r="F490" s="45">
        <v>42441200.57415452</v>
      </c>
      <c r="G490" s="42" t="s">
        <v>763</v>
      </c>
      <c r="H490" s="42" t="s">
        <v>104</v>
      </c>
      <c r="I490" s="42" t="s">
        <v>853</v>
      </c>
    </row>
    <row r="491" spans="1:9">
      <c r="A491" s="42" t="s">
        <v>759</v>
      </c>
      <c r="B491" s="42" t="s">
        <v>301</v>
      </c>
      <c r="C491" s="42" t="s">
        <v>832</v>
      </c>
      <c r="D491" s="42" t="s">
        <v>852</v>
      </c>
      <c r="E491" s="42" t="s">
        <v>762</v>
      </c>
      <c r="F491" s="45">
        <v>2219000000</v>
      </c>
      <c r="G491" s="42" t="s">
        <v>763</v>
      </c>
      <c r="H491" s="42" t="s">
        <v>119</v>
      </c>
      <c r="I491" s="42" t="s">
        <v>854</v>
      </c>
    </row>
    <row r="492" spans="1:9">
      <c r="A492" s="42" t="s">
        <v>759</v>
      </c>
      <c r="B492" s="42" t="s">
        <v>305</v>
      </c>
      <c r="C492" s="42" t="s">
        <v>790</v>
      </c>
      <c r="D492" s="42" t="s">
        <v>852</v>
      </c>
      <c r="E492" s="42" t="s">
        <v>762</v>
      </c>
      <c r="F492" s="45">
        <v>2555266.906592893</v>
      </c>
      <c r="G492" s="42" t="s">
        <v>763</v>
      </c>
      <c r="H492" s="42" t="s">
        <v>104</v>
      </c>
      <c r="I492" s="42" t="s">
        <v>853</v>
      </c>
    </row>
    <row r="493" spans="1:9">
      <c r="A493" s="42" t="s">
        <v>759</v>
      </c>
      <c r="B493" s="42" t="s">
        <v>303</v>
      </c>
      <c r="C493" s="42" t="s">
        <v>833</v>
      </c>
      <c r="D493" s="42" t="s">
        <v>852</v>
      </c>
      <c r="E493" s="42" t="s">
        <v>762</v>
      </c>
      <c r="F493" s="45">
        <v>1423000000</v>
      </c>
      <c r="G493" s="42" t="s">
        <v>763</v>
      </c>
      <c r="H493" s="42" t="s">
        <v>119</v>
      </c>
      <c r="I493" s="42" t="s">
        <v>854</v>
      </c>
    </row>
    <row r="494" spans="1:9">
      <c r="A494" s="42" t="s">
        <v>759</v>
      </c>
      <c r="B494" s="42" t="s">
        <v>306</v>
      </c>
      <c r="C494" s="42" t="s">
        <v>856</v>
      </c>
      <c r="D494" s="42" t="s">
        <v>852</v>
      </c>
      <c r="E494" s="42" t="s">
        <v>762</v>
      </c>
      <c r="F494" s="45">
        <v>45875954.69510962</v>
      </c>
      <c r="G494" s="42" t="s">
        <v>763</v>
      </c>
      <c r="H494" s="42" t="s">
        <v>104</v>
      </c>
      <c r="I494" s="42" t="s">
        <v>853</v>
      </c>
    </row>
    <row r="495" spans="1:9">
      <c r="A495" s="42" t="s">
        <v>759</v>
      </c>
      <c r="B495" s="42" t="s">
        <v>304</v>
      </c>
      <c r="C495" s="42" t="s">
        <v>835</v>
      </c>
      <c r="D495" s="42" t="s">
        <v>852</v>
      </c>
      <c r="E495" s="42" t="s">
        <v>762</v>
      </c>
      <c r="F495" s="45">
        <v>42000000</v>
      </c>
      <c r="G495" s="42" t="s">
        <v>763</v>
      </c>
      <c r="H495" s="42" t="s">
        <v>119</v>
      </c>
      <c r="I495" s="42" t="s">
        <v>854</v>
      </c>
    </row>
    <row r="496" spans="1:9">
      <c r="A496" s="42" t="s">
        <v>759</v>
      </c>
      <c r="B496" s="42" t="s">
        <v>307</v>
      </c>
      <c r="C496" s="42" t="s">
        <v>836</v>
      </c>
      <c r="D496" s="42" t="s">
        <v>852</v>
      </c>
      <c r="E496" s="42" t="s">
        <v>762</v>
      </c>
      <c r="F496" s="45">
        <v>287283310.0751787</v>
      </c>
      <c r="G496" s="42" t="s">
        <v>763</v>
      </c>
      <c r="H496" s="42" t="s">
        <v>104</v>
      </c>
      <c r="I496" s="42" t="s">
        <v>853</v>
      </c>
    </row>
    <row r="497" spans="1:9">
      <c r="A497" s="42" t="s">
        <v>759</v>
      </c>
      <c r="B497" s="42" t="s">
        <v>305</v>
      </c>
      <c r="C497" s="42" t="s">
        <v>837</v>
      </c>
      <c r="D497" s="42" t="s">
        <v>852</v>
      </c>
      <c r="E497" s="42" t="s">
        <v>762</v>
      </c>
      <c r="F497" s="45">
        <v>3000000</v>
      </c>
      <c r="G497" s="42" t="s">
        <v>763</v>
      </c>
      <c r="H497" s="42" t="s">
        <v>119</v>
      </c>
      <c r="I497" s="42" t="s">
        <v>854</v>
      </c>
    </row>
    <row r="498" spans="1:9">
      <c r="A498" s="42" t="s">
        <v>759</v>
      </c>
      <c r="B498" s="42" t="s">
        <v>308</v>
      </c>
      <c r="C498" s="42" t="s">
        <v>791</v>
      </c>
      <c r="D498" s="42" t="s">
        <v>852</v>
      </c>
      <c r="E498" s="42" t="s">
        <v>762</v>
      </c>
      <c r="F498" s="45">
        <v>6270209015.096493</v>
      </c>
      <c r="G498" s="42" t="s">
        <v>763</v>
      </c>
      <c r="H498" s="42" t="s">
        <v>104</v>
      </c>
      <c r="I498" s="42" t="s">
        <v>853</v>
      </c>
    </row>
    <row r="499" spans="1:9">
      <c r="A499" s="42" t="s">
        <v>759</v>
      </c>
      <c r="B499" s="42" t="s">
        <v>306</v>
      </c>
      <c r="C499" s="42" t="s">
        <v>857</v>
      </c>
      <c r="D499" s="42" t="s">
        <v>852</v>
      </c>
      <c r="E499" s="42" t="s">
        <v>762</v>
      </c>
      <c r="F499" s="45">
        <v>46000000</v>
      </c>
      <c r="G499" s="42" t="s">
        <v>763</v>
      </c>
      <c r="H499" s="42" t="s">
        <v>119</v>
      </c>
      <c r="I499" s="42" t="s">
        <v>854</v>
      </c>
    </row>
    <row r="500" spans="1:9">
      <c r="A500" s="42" t="s">
        <v>759</v>
      </c>
      <c r="B500" s="42" t="s">
        <v>309</v>
      </c>
      <c r="C500" s="42" t="s">
        <v>792</v>
      </c>
      <c r="D500" s="42" t="s">
        <v>852</v>
      </c>
      <c r="E500" s="42" t="s">
        <v>762</v>
      </c>
      <c r="F500" s="45">
        <v>35191373.53684445</v>
      </c>
      <c r="G500" s="42" t="s">
        <v>763</v>
      </c>
      <c r="H500" s="42" t="s">
        <v>104</v>
      </c>
      <c r="I500" s="42" t="s">
        <v>853</v>
      </c>
    </row>
    <row r="501" spans="1:9">
      <c r="A501" s="42" t="s">
        <v>759</v>
      </c>
      <c r="B501" s="42" t="s">
        <v>307</v>
      </c>
      <c r="C501" s="42" t="s">
        <v>838</v>
      </c>
      <c r="D501" s="42" t="s">
        <v>852</v>
      </c>
      <c r="E501" s="42" t="s">
        <v>762</v>
      </c>
      <c r="F501" s="45">
        <v>288000000</v>
      </c>
      <c r="G501" s="42" t="s">
        <v>763</v>
      </c>
      <c r="H501" s="42" t="s">
        <v>119</v>
      </c>
      <c r="I501" s="42" t="s">
        <v>854</v>
      </c>
    </row>
    <row r="502" spans="1:9">
      <c r="A502" s="42" t="s">
        <v>759</v>
      </c>
      <c r="B502" s="42" t="s">
        <v>310</v>
      </c>
      <c r="C502" s="42" t="s">
        <v>793</v>
      </c>
      <c r="D502" s="42" t="s">
        <v>852</v>
      </c>
      <c r="E502" s="42" t="s">
        <v>762</v>
      </c>
      <c r="F502" s="45">
        <v>8438323.272934671</v>
      </c>
      <c r="G502" s="42" t="s">
        <v>763</v>
      </c>
      <c r="H502" s="42" t="s">
        <v>104</v>
      </c>
      <c r="I502" s="42" t="s">
        <v>853</v>
      </c>
    </row>
    <row r="503" spans="1:9">
      <c r="A503" s="42" t="s">
        <v>759</v>
      </c>
      <c r="B503" s="42" t="s">
        <v>308</v>
      </c>
      <c r="C503" s="42" t="s">
        <v>839</v>
      </c>
      <c r="D503" s="42" t="s">
        <v>852</v>
      </c>
      <c r="E503" s="42" t="s">
        <v>762</v>
      </c>
      <c r="F503" s="45">
        <v>6277000000</v>
      </c>
      <c r="G503" s="42" t="s">
        <v>763</v>
      </c>
      <c r="H503" s="42" t="s">
        <v>119</v>
      </c>
      <c r="I503" s="42" t="s">
        <v>854</v>
      </c>
    </row>
    <row r="504" spans="1:9">
      <c r="A504" s="42" t="s">
        <v>759</v>
      </c>
      <c r="B504" s="42" t="s">
        <v>309</v>
      </c>
      <c r="C504" s="42" t="s">
        <v>840</v>
      </c>
      <c r="D504" s="42" t="s">
        <v>852</v>
      </c>
      <c r="E504" s="42" t="s">
        <v>762</v>
      </c>
      <c r="F504" s="45">
        <v>35000000</v>
      </c>
      <c r="G504" s="42" t="s">
        <v>763</v>
      </c>
      <c r="H504" s="42" t="s">
        <v>119</v>
      </c>
      <c r="I504" s="42" t="s">
        <v>854</v>
      </c>
    </row>
    <row r="505" spans="1:9">
      <c r="A505" s="42" t="s">
        <v>759</v>
      </c>
      <c r="B505" s="42" t="s">
        <v>311</v>
      </c>
      <c r="C505" s="42" t="s">
        <v>794</v>
      </c>
      <c r="D505" s="42" t="s">
        <v>852</v>
      </c>
      <c r="E505" s="42" t="s">
        <v>762</v>
      </c>
      <c r="F505" s="45">
        <v>10329945766.51714</v>
      </c>
      <c r="G505" s="42" t="s">
        <v>763</v>
      </c>
      <c r="H505" s="42" t="s">
        <v>104</v>
      </c>
      <c r="I505" s="42" t="s">
        <v>853</v>
      </c>
    </row>
    <row r="506" spans="1:9">
      <c r="A506" s="42" t="s">
        <v>759</v>
      </c>
      <c r="B506" s="42" t="s">
        <v>310</v>
      </c>
      <c r="C506" s="42" t="s">
        <v>841</v>
      </c>
      <c r="D506" s="42" t="s">
        <v>852</v>
      </c>
      <c r="E506" s="42" t="s">
        <v>762</v>
      </c>
      <c r="F506" s="45">
        <v>8000000</v>
      </c>
      <c r="G506" s="42" t="s">
        <v>763</v>
      </c>
      <c r="H506" s="42" t="s">
        <v>119</v>
      </c>
      <c r="I506" s="42" t="s">
        <v>854</v>
      </c>
    </row>
    <row r="507" spans="1:9">
      <c r="A507" s="42" t="s">
        <v>759</v>
      </c>
      <c r="B507" s="42" t="s">
        <v>273</v>
      </c>
      <c r="C507" s="42" t="s">
        <v>842</v>
      </c>
      <c r="D507" s="42" t="s">
        <v>852</v>
      </c>
      <c r="E507" s="42" t="s">
        <v>762</v>
      </c>
      <c r="F507" s="45">
        <v>10341000000</v>
      </c>
      <c r="G507" s="42" t="s">
        <v>763</v>
      </c>
      <c r="H507" s="42" t="s">
        <v>119</v>
      </c>
      <c r="I507" s="42" t="s">
        <v>854</v>
      </c>
    </row>
    <row r="508" spans="1:9">
      <c r="A508" s="42" t="s">
        <v>759</v>
      </c>
      <c r="B508" s="42" t="s">
        <v>301</v>
      </c>
      <c r="C508" s="42" t="s">
        <v>795</v>
      </c>
      <c r="D508" s="42" t="s">
        <v>852</v>
      </c>
      <c r="E508" s="42" t="s">
        <v>762</v>
      </c>
      <c r="F508" s="45">
        <v>73000000</v>
      </c>
      <c r="G508" s="42" t="s">
        <v>763</v>
      </c>
      <c r="H508" s="42" t="s">
        <v>119</v>
      </c>
      <c r="I508" s="42" t="s">
        <v>854</v>
      </c>
    </row>
    <row r="509" spans="1:9">
      <c r="A509" s="42" t="s">
        <v>759</v>
      </c>
      <c r="B509" s="42" t="s">
        <v>302</v>
      </c>
      <c r="C509" s="42" t="s">
        <v>797</v>
      </c>
      <c r="D509" s="42" t="s">
        <v>852</v>
      </c>
      <c r="E509" s="42" t="s">
        <v>762</v>
      </c>
      <c r="F509" s="45">
        <v>81000000</v>
      </c>
      <c r="G509" s="42" t="s">
        <v>763</v>
      </c>
      <c r="H509" s="42" t="s">
        <v>119</v>
      </c>
      <c r="I509" s="42" t="s">
        <v>854</v>
      </c>
    </row>
    <row r="510" spans="1:9">
      <c r="A510" s="42" t="s">
        <v>759</v>
      </c>
      <c r="B510" s="42" t="s">
        <v>304</v>
      </c>
      <c r="C510" s="42" t="s">
        <v>796</v>
      </c>
      <c r="D510" s="42" t="s">
        <v>852</v>
      </c>
      <c r="E510" s="42" t="s">
        <v>762</v>
      </c>
      <c r="F510" s="45">
        <v>9000000</v>
      </c>
      <c r="G510" s="42" t="s">
        <v>763</v>
      </c>
      <c r="H510" s="42" t="s">
        <v>119</v>
      </c>
      <c r="I510" s="42" t="s">
        <v>854</v>
      </c>
    </row>
    <row r="511" spans="1:9">
      <c r="A511" s="42" t="s">
        <v>759</v>
      </c>
      <c r="B511" s="42" t="s">
        <v>305</v>
      </c>
      <c r="C511" s="42" t="s">
        <v>798</v>
      </c>
      <c r="D511" s="42" t="s">
        <v>852</v>
      </c>
      <c r="E511" s="42" t="s">
        <v>762</v>
      </c>
      <c r="F511" s="45">
        <v>188000000</v>
      </c>
      <c r="G511" s="42" t="s">
        <v>763</v>
      </c>
      <c r="H511" s="42" t="s">
        <v>119</v>
      </c>
      <c r="I511" s="42" t="s">
        <v>854</v>
      </c>
    </row>
    <row r="512" spans="1:9">
      <c r="A512" s="42" t="s">
        <v>759</v>
      </c>
      <c r="B512" s="42" t="s">
        <v>306</v>
      </c>
      <c r="C512" s="42" t="s">
        <v>799</v>
      </c>
      <c r="D512" s="42" t="s">
        <v>852</v>
      </c>
      <c r="E512" s="42" t="s">
        <v>762</v>
      </c>
      <c r="F512" s="45">
        <v>178000000</v>
      </c>
      <c r="G512" s="42" t="s">
        <v>763</v>
      </c>
      <c r="H512" s="42" t="s">
        <v>119</v>
      </c>
      <c r="I512" s="42" t="s">
        <v>854</v>
      </c>
    </row>
    <row r="513" spans="1:9">
      <c r="A513" s="42" t="s">
        <v>759</v>
      </c>
      <c r="B513" s="42" t="s">
        <v>307</v>
      </c>
      <c r="C513" s="42" t="s">
        <v>843</v>
      </c>
      <c r="D513" s="42" t="s">
        <v>852</v>
      </c>
      <c r="E513" s="42" t="s">
        <v>762</v>
      </c>
      <c r="F513" s="45">
        <v>263000000</v>
      </c>
      <c r="G513" s="42" t="s">
        <v>763</v>
      </c>
      <c r="H513" s="42" t="s">
        <v>119</v>
      </c>
      <c r="I513" s="42" t="s">
        <v>854</v>
      </c>
    </row>
    <row r="514" spans="1:9">
      <c r="A514" s="42" t="s">
        <v>759</v>
      </c>
      <c r="B514" s="42" t="s">
        <v>308</v>
      </c>
      <c r="C514" s="42" t="s">
        <v>800</v>
      </c>
      <c r="D514" s="42" t="s">
        <v>852</v>
      </c>
      <c r="E514" s="42" t="s">
        <v>762</v>
      </c>
      <c r="F514" s="45">
        <v>1793000000</v>
      </c>
      <c r="G514" s="42" t="s">
        <v>763</v>
      </c>
      <c r="H514" s="42" t="s">
        <v>119</v>
      </c>
      <c r="I514" s="42" t="s">
        <v>854</v>
      </c>
    </row>
    <row r="515" spans="1:9">
      <c r="A515" s="42" t="s">
        <v>759</v>
      </c>
      <c r="B515" s="42" t="s">
        <v>309</v>
      </c>
      <c r="C515" s="42" t="s">
        <v>801</v>
      </c>
      <c r="D515" s="42" t="s">
        <v>852</v>
      </c>
      <c r="E515" s="42" t="s">
        <v>762</v>
      </c>
      <c r="F515" s="45">
        <v>108000000</v>
      </c>
      <c r="G515" s="42" t="s">
        <v>763</v>
      </c>
      <c r="H515" s="42" t="s">
        <v>119</v>
      </c>
      <c r="I515" s="42" t="s">
        <v>854</v>
      </c>
    </row>
    <row r="516" spans="1:9">
      <c r="A516" s="42" t="s">
        <v>759</v>
      </c>
      <c r="B516" s="42" t="s">
        <v>310</v>
      </c>
      <c r="C516" s="42" t="s">
        <v>802</v>
      </c>
      <c r="D516" s="42" t="s">
        <v>852</v>
      </c>
      <c r="E516" s="42" t="s">
        <v>762</v>
      </c>
      <c r="F516" s="45">
        <v>1717000000</v>
      </c>
      <c r="G516" s="42" t="s">
        <v>763</v>
      </c>
      <c r="H516" s="42" t="s">
        <v>119</v>
      </c>
      <c r="I516" s="42" t="s">
        <v>854</v>
      </c>
    </row>
    <row r="517" spans="1:9">
      <c r="A517" s="42" t="s">
        <v>759</v>
      </c>
      <c r="B517" s="42" t="s">
        <v>284</v>
      </c>
      <c r="C517" s="42" t="s">
        <v>803</v>
      </c>
      <c r="D517" s="42" t="s">
        <v>852</v>
      </c>
      <c r="E517" s="42" t="s">
        <v>762</v>
      </c>
      <c r="F517" s="45">
        <v>4410000000</v>
      </c>
      <c r="G517" s="42" t="s">
        <v>763</v>
      </c>
      <c r="H517" s="42" t="s">
        <v>119</v>
      </c>
      <c r="I517" s="42" t="s">
        <v>854</v>
      </c>
    </row>
    <row r="518" spans="1:9">
      <c r="A518" s="42" t="s">
        <v>759</v>
      </c>
      <c r="B518" s="42" t="s">
        <v>285</v>
      </c>
      <c r="C518" s="42" t="s">
        <v>804</v>
      </c>
      <c r="D518" s="42" t="s">
        <v>852</v>
      </c>
      <c r="E518" s="42" t="s">
        <v>762</v>
      </c>
      <c r="F518" s="45">
        <v>14751000000</v>
      </c>
      <c r="G518" s="42" t="s">
        <v>763</v>
      </c>
      <c r="H518" s="42" t="s">
        <v>119</v>
      </c>
      <c r="I518" s="42" t="s">
        <v>854</v>
      </c>
    </row>
    <row r="519" spans="1:9">
      <c r="A519" s="42" t="s">
        <v>759</v>
      </c>
      <c r="B519" s="42" t="s">
        <v>286</v>
      </c>
      <c r="C519" s="42" t="s">
        <v>806</v>
      </c>
      <c r="D519" s="42" t="s">
        <v>852</v>
      </c>
      <c r="E519" s="42" t="s">
        <v>762</v>
      </c>
      <c r="F519" s="45">
        <v>22882000000</v>
      </c>
      <c r="G519" s="42" t="s">
        <v>763</v>
      </c>
      <c r="H519" s="42" t="s">
        <v>119</v>
      </c>
      <c r="I519" s="42" t="s">
        <v>854</v>
      </c>
    </row>
    <row r="520" spans="1:9">
      <c r="A520" s="42" t="s">
        <v>759</v>
      </c>
      <c r="B520" s="42" t="s">
        <v>287</v>
      </c>
      <c r="C520" s="42" t="s">
        <v>760</v>
      </c>
      <c r="D520" s="42" t="s">
        <v>159</v>
      </c>
      <c r="E520" s="42" t="s">
        <v>808</v>
      </c>
      <c r="F520" s="45">
        <v>611538200.9502399</v>
      </c>
      <c r="G520" s="42" t="s">
        <v>763</v>
      </c>
      <c r="H520" s="42" t="s">
        <v>90</v>
      </c>
      <c r="I520" s="42" t="s">
        <v>858</v>
      </c>
    </row>
    <row r="521" spans="1:9">
      <c r="A521" s="42" t="s">
        <v>759</v>
      </c>
      <c r="B521" s="42" t="s">
        <v>288</v>
      </c>
      <c r="C521" s="42" t="s">
        <v>765</v>
      </c>
      <c r="D521" s="42" t="s">
        <v>159</v>
      </c>
      <c r="E521" s="42" t="s">
        <v>808</v>
      </c>
      <c r="F521" s="45">
        <v>17656332679.3563</v>
      </c>
      <c r="G521" s="42" t="s">
        <v>763</v>
      </c>
      <c r="H521" s="42" t="s">
        <v>90</v>
      </c>
      <c r="I521" s="42" t="s">
        <v>858</v>
      </c>
    </row>
    <row r="522" spans="1:9">
      <c r="A522" s="42" t="s">
        <v>759</v>
      </c>
      <c r="B522" s="42" t="s">
        <v>289</v>
      </c>
      <c r="C522" s="42" t="s">
        <v>824</v>
      </c>
      <c r="D522" s="42" t="s">
        <v>159</v>
      </c>
      <c r="E522" s="42" t="s">
        <v>808</v>
      </c>
      <c r="F522" s="45">
        <v>967477099.9294142</v>
      </c>
      <c r="G522" s="42" t="s">
        <v>763</v>
      </c>
      <c r="H522" s="42" t="s">
        <v>90</v>
      </c>
      <c r="I522" s="42" t="s">
        <v>858</v>
      </c>
    </row>
    <row r="523" spans="1:9">
      <c r="A523" s="42" t="s">
        <v>759</v>
      </c>
      <c r="B523" s="42" t="s">
        <v>290</v>
      </c>
      <c r="C523" s="42" t="s">
        <v>766</v>
      </c>
      <c r="D523" s="42" t="s">
        <v>159</v>
      </c>
      <c r="E523" s="42" t="s">
        <v>808</v>
      </c>
      <c r="F523" s="45">
        <v>1153835393.768277</v>
      </c>
      <c r="G523" s="42" t="s">
        <v>763</v>
      </c>
      <c r="H523" s="42" t="s">
        <v>90</v>
      </c>
      <c r="I523" s="42" t="s">
        <v>858</v>
      </c>
    </row>
    <row r="524" spans="1:9">
      <c r="A524" s="42" t="s">
        <v>759</v>
      </c>
      <c r="B524" s="42" t="s">
        <v>291</v>
      </c>
      <c r="C524" s="42" t="s">
        <v>767</v>
      </c>
      <c r="D524" s="42" t="s">
        <v>159</v>
      </c>
      <c r="E524" s="42" t="s">
        <v>808</v>
      </c>
      <c r="F524" s="45">
        <v>28595152.47139493</v>
      </c>
      <c r="G524" s="42" t="s">
        <v>763</v>
      </c>
      <c r="H524" s="42" t="s">
        <v>90</v>
      </c>
      <c r="I524" s="42" t="s">
        <v>858</v>
      </c>
    </row>
    <row r="525" spans="1:9">
      <c r="A525" s="42" t="s">
        <v>759</v>
      </c>
      <c r="B525" s="42" t="s">
        <v>292</v>
      </c>
      <c r="C525" s="42" t="s">
        <v>768</v>
      </c>
      <c r="D525" s="42" t="s">
        <v>159</v>
      </c>
      <c r="E525" s="42" t="s">
        <v>808</v>
      </c>
      <c r="F525" s="45">
        <v>198486743.5004656</v>
      </c>
      <c r="G525" s="42" t="s">
        <v>763</v>
      </c>
      <c r="H525" s="42" t="s">
        <v>90</v>
      </c>
      <c r="I525" s="42" t="s">
        <v>858</v>
      </c>
    </row>
    <row r="526" spans="1:9">
      <c r="A526" s="42" t="s">
        <v>759</v>
      </c>
      <c r="B526" s="42" t="s">
        <v>293</v>
      </c>
      <c r="C526" s="42" t="s">
        <v>769</v>
      </c>
      <c r="D526" s="42" t="s">
        <v>159</v>
      </c>
      <c r="E526" s="42" t="s">
        <v>808</v>
      </c>
      <c r="F526" s="45">
        <v>176235703.1597554</v>
      </c>
      <c r="G526" s="42" t="s">
        <v>763</v>
      </c>
      <c r="H526" s="42" t="s">
        <v>90</v>
      </c>
      <c r="I526" s="42" t="s">
        <v>858</v>
      </c>
    </row>
    <row r="527" spans="1:9">
      <c r="A527" s="42" t="s">
        <v>759</v>
      </c>
      <c r="B527" s="42" t="s">
        <v>296</v>
      </c>
      <c r="C527" s="42" t="s">
        <v>771</v>
      </c>
      <c r="D527" s="42" t="s">
        <v>159</v>
      </c>
      <c r="E527" s="42" t="s">
        <v>808</v>
      </c>
      <c r="F527" s="45">
        <v>20792500973.13585</v>
      </c>
      <c r="G527" s="42" t="s">
        <v>763</v>
      </c>
      <c r="H527" s="42" t="s">
        <v>90</v>
      </c>
      <c r="I527" s="42" t="s">
        <v>858</v>
      </c>
    </row>
    <row r="528" spans="1:9">
      <c r="A528" s="42" t="s">
        <v>759</v>
      </c>
      <c r="B528" s="42" t="s">
        <v>810</v>
      </c>
      <c r="C528" s="42" t="s">
        <v>818</v>
      </c>
      <c r="D528" s="42" t="s">
        <v>159</v>
      </c>
      <c r="E528" s="42" t="s">
        <v>808</v>
      </c>
      <c r="F528" s="45">
        <v>28346363.76038769</v>
      </c>
      <c r="G528" s="42" t="s">
        <v>763</v>
      </c>
      <c r="H528" s="42" t="s">
        <v>90</v>
      </c>
      <c r="I528" s="42" t="s">
        <v>858</v>
      </c>
    </row>
    <row r="529" spans="1:9">
      <c r="A529" s="42" t="s">
        <v>759</v>
      </c>
      <c r="B529" s="42" t="s">
        <v>241</v>
      </c>
      <c r="C529" s="42" t="s">
        <v>772</v>
      </c>
      <c r="D529" s="42" t="s">
        <v>159</v>
      </c>
      <c r="E529" s="42" t="s">
        <v>808</v>
      </c>
      <c r="F529" s="45">
        <v>1521327418.51485</v>
      </c>
      <c r="G529" s="42" t="s">
        <v>763</v>
      </c>
      <c r="H529" s="42" t="s">
        <v>90</v>
      </c>
      <c r="I529" s="42" t="s">
        <v>858</v>
      </c>
    </row>
    <row r="530" spans="1:9">
      <c r="A530" s="42" t="s">
        <v>759</v>
      </c>
      <c r="B530" s="42" t="s">
        <v>242</v>
      </c>
      <c r="C530" s="42" t="s">
        <v>773</v>
      </c>
      <c r="D530" s="42" t="s">
        <v>159</v>
      </c>
      <c r="E530" s="42" t="s">
        <v>808</v>
      </c>
      <c r="F530" s="45">
        <v>11226590.58420182</v>
      </c>
      <c r="G530" s="42" t="s">
        <v>763</v>
      </c>
      <c r="H530" s="42" t="s">
        <v>90</v>
      </c>
      <c r="I530" s="42" t="s">
        <v>858</v>
      </c>
    </row>
    <row r="531" spans="1:9">
      <c r="A531" s="42" t="s">
        <v>759</v>
      </c>
      <c r="B531" s="42" t="s">
        <v>292</v>
      </c>
      <c r="C531" s="42" t="s">
        <v>774</v>
      </c>
      <c r="D531" s="42" t="s">
        <v>159</v>
      </c>
      <c r="E531" s="42" t="s">
        <v>808</v>
      </c>
      <c r="F531" s="45">
        <v>600436004.7215418</v>
      </c>
      <c r="G531" s="42" t="s">
        <v>763</v>
      </c>
      <c r="H531" s="42" t="s">
        <v>90</v>
      </c>
      <c r="I531" s="42" t="s">
        <v>858</v>
      </c>
    </row>
    <row r="532" spans="1:9">
      <c r="A532" s="42" t="s">
        <v>759</v>
      </c>
      <c r="B532" s="42" t="s">
        <v>293</v>
      </c>
      <c r="C532" s="42" t="s">
        <v>775</v>
      </c>
      <c r="D532" s="42" t="s">
        <v>159</v>
      </c>
      <c r="E532" s="42" t="s">
        <v>808</v>
      </c>
      <c r="F532" s="45">
        <v>1713392303.412441</v>
      </c>
      <c r="G532" s="42" t="s">
        <v>763</v>
      </c>
      <c r="H532" s="42" t="s">
        <v>90</v>
      </c>
      <c r="I532" s="42" t="s">
        <v>858</v>
      </c>
    </row>
    <row r="533" spans="1:9">
      <c r="A533" s="42" t="s">
        <v>759</v>
      </c>
      <c r="B533" s="42" t="s">
        <v>295</v>
      </c>
      <c r="C533" s="42" t="s">
        <v>776</v>
      </c>
      <c r="D533" s="42" t="s">
        <v>159</v>
      </c>
      <c r="E533" s="42" t="s">
        <v>808</v>
      </c>
      <c r="F533" s="45">
        <v>84836950.45346968</v>
      </c>
      <c r="G533" s="42" t="s">
        <v>763</v>
      </c>
      <c r="H533" s="42" t="s">
        <v>90</v>
      </c>
      <c r="I533" s="42" t="s">
        <v>858</v>
      </c>
    </row>
    <row r="534" spans="1:9">
      <c r="A534" s="42" t="s">
        <v>759</v>
      </c>
      <c r="B534" s="42" t="s">
        <v>246</v>
      </c>
      <c r="C534" s="42" t="s">
        <v>777</v>
      </c>
      <c r="D534" s="42" t="s">
        <v>159</v>
      </c>
      <c r="E534" s="42" t="s">
        <v>808</v>
      </c>
      <c r="F534" s="45">
        <v>1074953823.084543</v>
      </c>
      <c r="G534" s="42" t="s">
        <v>763</v>
      </c>
      <c r="H534" s="42" t="s">
        <v>90</v>
      </c>
      <c r="I534" s="42" t="s">
        <v>858</v>
      </c>
    </row>
    <row r="535" spans="1:9">
      <c r="A535" s="42" t="s">
        <v>759</v>
      </c>
      <c r="B535" s="42" t="s">
        <v>247</v>
      </c>
      <c r="C535" s="42" t="s">
        <v>778</v>
      </c>
      <c r="D535" s="42" t="s">
        <v>159</v>
      </c>
      <c r="E535" s="42" t="s">
        <v>808</v>
      </c>
      <c r="F535" s="45">
        <v>5034519454.531434</v>
      </c>
      <c r="G535" s="42" t="s">
        <v>763</v>
      </c>
      <c r="H535" s="42" t="s">
        <v>90</v>
      </c>
      <c r="I535" s="42" t="s">
        <v>858</v>
      </c>
    </row>
    <row r="536" spans="1:9">
      <c r="A536" s="42" t="s">
        <v>759</v>
      </c>
      <c r="B536" s="42" t="s">
        <v>248</v>
      </c>
      <c r="C536" s="42" t="s">
        <v>779</v>
      </c>
      <c r="D536" s="42" t="s">
        <v>159</v>
      </c>
      <c r="E536" s="42" t="s">
        <v>808</v>
      </c>
      <c r="F536" s="45">
        <v>25827020427.66729</v>
      </c>
      <c r="G536" s="42" t="s">
        <v>763</v>
      </c>
      <c r="H536" s="42" t="s">
        <v>90</v>
      </c>
      <c r="I536" s="42" t="s">
        <v>858</v>
      </c>
    </row>
    <row r="537" spans="1:9">
      <c r="A537" s="42" t="s">
        <v>759</v>
      </c>
      <c r="B537" s="42" t="s">
        <v>780</v>
      </c>
      <c r="C537" s="42" t="s">
        <v>781</v>
      </c>
      <c r="D537" s="42" t="s">
        <v>159</v>
      </c>
      <c r="E537" s="42" t="s">
        <v>808</v>
      </c>
      <c r="F537" s="45">
        <v>166626239.1971006</v>
      </c>
      <c r="G537" s="42" t="s">
        <v>763</v>
      </c>
      <c r="H537" s="42" t="s">
        <v>90</v>
      </c>
      <c r="I537" s="42" t="s">
        <v>858</v>
      </c>
    </row>
    <row r="538" spans="1:9">
      <c r="A538" s="42" t="s">
        <v>759</v>
      </c>
      <c r="B538" s="42" t="s">
        <v>299</v>
      </c>
      <c r="C538" s="42" t="s">
        <v>782</v>
      </c>
      <c r="D538" s="42" t="s">
        <v>159</v>
      </c>
      <c r="E538" s="42" t="s">
        <v>808</v>
      </c>
      <c r="F538" s="45">
        <v>9034715392.344696</v>
      </c>
      <c r="G538" s="42" t="s">
        <v>763</v>
      </c>
      <c r="H538" s="42" t="s">
        <v>90</v>
      </c>
      <c r="I538" s="42" t="s">
        <v>858</v>
      </c>
    </row>
    <row r="539" spans="1:9">
      <c r="A539" s="42" t="s">
        <v>759</v>
      </c>
      <c r="B539" s="42" t="s">
        <v>783</v>
      </c>
      <c r="C539" s="42" t="s">
        <v>784</v>
      </c>
      <c r="D539" s="42" t="s">
        <v>159</v>
      </c>
      <c r="E539" s="42" t="s">
        <v>808</v>
      </c>
      <c r="F539" s="45">
        <v>9201341631.541796</v>
      </c>
      <c r="G539" s="42" t="s">
        <v>763</v>
      </c>
      <c r="H539" s="42" t="s">
        <v>90</v>
      </c>
      <c r="I539" s="42" t="s">
        <v>858</v>
      </c>
    </row>
    <row r="540" spans="1:9">
      <c r="A540" s="42" t="s">
        <v>759</v>
      </c>
      <c r="B540" s="42" t="s">
        <v>261</v>
      </c>
      <c r="C540" s="42" t="s">
        <v>785</v>
      </c>
      <c r="D540" s="42" t="s">
        <v>159</v>
      </c>
      <c r="E540" s="42" t="s">
        <v>808</v>
      </c>
      <c r="F540" s="45">
        <v>95083935.48808049</v>
      </c>
      <c r="G540" s="42" t="s">
        <v>763</v>
      </c>
      <c r="H540" s="42" t="s">
        <v>90</v>
      </c>
      <c r="I540" s="42" t="s">
        <v>858</v>
      </c>
    </row>
    <row r="541" spans="1:9">
      <c r="A541" s="42" t="s">
        <v>759</v>
      </c>
      <c r="B541" s="42" t="s">
        <v>786</v>
      </c>
      <c r="C541" s="42" t="s">
        <v>787</v>
      </c>
      <c r="D541" s="42" t="s">
        <v>159</v>
      </c>
      <c r="E541" s="42" t="s">
        <v>808</v>
      </c>
      <c r="F541" s="45">
        <v>9296425567.029877</v>
      </c>
      <c r="G541" s="42" t="s">
        <v>763</v>
      </c>
      <c r="H541" s="42" t="s">
        <v>90</v>
      </c>
      <c r="I541" s="42" t="s">
        <v>858</v>
      </c>
    </row>
    <row r="542" spans="1:9">
      <c r="A542" s="42" t="s">
        <v>759</v>
      </c>
      <c r="B542" s="42" t="s">
        <v>301</v>
      </c>
      <c r="C542" s="42" t="s">
        <v>788</v>
      </c>
      <c r="D542" s="42" t="s">
        <v>159</v>
      </c>
      <c r="E542" s="42" t="s">
        <v>808</v>
      </c>
      <c r="F542" s="45">
        <v>2431101086.785021</v>
      </c>
      <c r="G542" s="42" t="s">
        <v>763</v>
      </c>
      <c r="H542" s="42" t="s">
        <v>90</v>
      </c>
      <c r="I542" s="42" t="s">
        <v>858</v>
      </c>
    </row>
    <row r="543" spans="1:9">
      <c r="A543" s="42" t="s">
        <v>759</v>
      </c>
      <c r="B543" s="42" t="s">
        <v>303</v>
      </c>
      <c r="C543" s="42" t="s">
        <v>789</v>
      </c>
      <c r="D543" s="42" t="s">
        <v>159</v>
      </c>
      <c r="E543" s="42" t="s">
        <v>808</v>
      </c>
      <c r="F543" s="45">
        <v>1502637166.600431</v>
      </c>
      <c r="G543" s="42" t="s">
        <v>763</v>
      </c>
      <c r="H543" s="42" t="s">
        <v>90</v>
      </c>
      <c r="I543" s="42" t="s">
        <v>858</v>
      </c>
    </row>
    <row r="544" spans="1:9">
      <c r="A544" s="42" t="s">
        <v>759</v>
      </c>
      <c r="B544" s="42" t="s">
        <v>304</v>
      </c>
      <c r="C544" s="42" t="s">
        <v>831</v>
      </c>
      <c r="D544" s="42" t="s">
        <v>159</v>
      </c>
      <c r="E544" s="42" t="s">
        <v>808</v>
      </c>
      <c r="F544" s="45">
        <v>49011376.06842677</v>
      </c>
      <c r="G544" s="42" t="s">
        <v>763</v>
      </c>
      <c r="H544" s="42" t="s">
        <v>90</v>
      </c>
      <c r="I544" s="42" t="s">
        <v>858</v>
      </c>
    </row>
    <row r="545" spans="1:9">
      <c r="A545" s="42" t="s">
        <v>759</v>
      </c>
      <c r="B545" s="42" t="s">
        <v>305</v>
      </c>
      <c r="C545" s="42" t="s">
        <v>790</v>
      </c>
      <c r="D545" s="42" t="s">
        <v>159</v>
      </c>
      <c r="E545" s="42" t="s">
        <v>808</v>
      </c>
      <c r="F545" s="45">
        <v>14569688.88836164</v>
      </c>
      <c r="G545" s="42" t="s">
        <v>763</v>
      </c>
      <c r="H545" s="42" t="s">
        <v>90</v>
      </c>
      <c r="I545" s="42" t="s">
        <v>858</v>
      </c>
    </row>
    <row r="546" spans="1:9">
      <c r="A546" s="42" t="s">
        <v>759</v>
      </c>
      <c r="B546" s="42" t="s">
        <v>307</v>
      </c>
      <c r="C546" s="42" t="s">
        <v>836</v>
      </c>
      <c r="D546" s="42" t="s">
        <v>159</v>
      </c>
      <c r="E546" s="42" t="s">
        <v>808</v>
      </c>
      <c r="F546" s="45">
        <v>645373465.6472249</v>
      </c>
      <c r="G546" s="42" t="s">
        <v>763</v>
      </c>
      <c r="H546" s="42" t="s">
        <v>90</v>
      </c>
      <c r="I546" s="42" t="s">
        <v>858</v>
      </c>
    </row>
    <row r="547" spans="1:9">
      <c r="A547" s="42" t="s">
        <v>759</v>
      </c>
      <c r="B547" s="42" t="s">
        <v>308</v>
      </c>
      <c r="C547" s="42" t="s">
        <v>791</v>
      </c>
      <c r="D547" s="42" t="s">
        <v>159</v>
      </c>
      <c r="E547" s="42" t="s">
        <v>808</v>
      </c>
      <c r="F547" s="45">
        <v>6006925680.79768</v>
      </c>
      <c r="G547" s="42" t="s">
        <v>763</v>
      </c>
      <c r="H547" s="42" t="s">
        <v>90</v>
      </c>
      <c r="I547" s="42" t="s">
        <v>858</v>
      </c>
    </row>
    <row r="548" spans="1:9">
      <c r="A548" s="42" t="s">
        <v>759</v>
      </c>
      <c r="B548" s="42" t="s">
        <v>309</v>
      </c>
      <c r="C548" s="42" t="s">
        <v>792</v>
      </c>
      <c r="D548" s="42" t="s">
        <v>159</v>
      </c>
      <c r="E548" s="42" t="s">
        <v>808</v>
      </c>
      <c r="F548" s="45">
        <v>10806759.63437709</v>
      </c>
      <c r="G548" s="42" t="s">
        <v>763</v>
      </c>
      <c r="H548" s="42" t="s">
        <v>90</v>
      </c>
      <c r="I548" s="42" t="s">
        <v>858</v>
      </c>
    </row>
    <row r="549" spans="1:9">
      <c r="A549" s="42" t="s">
        <v>759</v>
      </c>
      <c r="B549" s="42" t="s">
        <v>310</v>
      </c>
      <c r="C549" s="42" t="s">
        <v>793</v>
      </c>
      <c r="D549" s="42" t="s">
        <v>159</v>
      </c>
      <c r="E549" s="42" t="s">
        <v>808</v>
      </c>
      <c r="F549" s="45">
        <v>36665236.28469235</v>
      </c>
      <c r="G549" s="42" t="s">
        <v>763</v>
      </c>
      <c r="H549" s="42" t="s">
        <v>90</v>
      </c>
      <c r="I549" s="42" t="s">
        <v>858</v>
      </c>
    </row>
    <row r="550" spans="1:9">
      <c r="A550" s="42" t="s">
        <v>759</v>
      </c>
      <c r="B550" s="42" t="s">
        <v>311</v>
      </c>
      <c r="C550" s="42" t="s">
        <v>794</v>
      </c>
      <c r="D550" s="42" t="s">
        <v>159</v>
      </c>
      <c r="E550" s="42" t="s">
        <v>808</v>
      </c>
      <c r="F550" s="45">
        <v>10697090460.70621</v>
      </c>
      <c r="G550" s="42" t="s">
        <v>763</v>
      </c>
      <c r="H550" s="42" t="s">
        <v>90</v>
      </c>
      <c r="I550" s="42" t="s">
        <v>858</v>
      </c>
    </row>
    <row r="551" spans="1:9">
      <c r="A551" s="42" t="s">
        <v>759</v>
      </c>
      <c r="B551" s="42" t="s">
        <v>301</v>
      </c>
      <c r="C551" s="42" t="s">
        <v>795</v>
      </c>
      <c r="D551" s="42" t="s">
        <v>159</v>
      </c>
      <c r="E551" s="42" t="s">
        <v>808</v>
      </c>
      <c r="F551" s="45">
        <v>89284048.66272415</v>
      </c>
      <c r="G551" s="42" t="s">
        <v>763</v>
      </c>
      <c r="H551" s="42" t="s">
        <v>90</v>
      </c>
      <c r="I551" s="42" t="s">
        <v>858</v>
      </c>
    </row>
    <row r="552" spans="1:9">
      <c r="A552" s="42" t="s">
        <v>759</v>
      </c>
      <c r="B552" s="42" t="s">
        <v>302</v>
      </c>
      <c r="C552" s="42" t="s">
        <v>797</v>
      </c>
      <c r="D552" s="42" t="s">
        <v>159</v>
      </c>
      <c r="E552" s="42" t="s">
        <v>808</v>
      </c>
      <c r="F552" s="45">
        <v>119247539.0446589</v>
      </c>
      <c r="G552" s="42" t="s">
        <v>763</v>
      </c>
      <c r="H552" s="42" t="s">
        <v>90</v>
      </c>
      <c r="I552" s="42" t="s">
        <v>858</v>
      </c>
    </row>
    <row r="553" spans="1:9">
      <c r="A553" s="42" t="s">
        <v>759</v>
      </c>
      <c r="B553" s="42" t="s">
        <v>304</v>
      </c>
      <c r="C553" s="42" t="s">
        <v>796</v>
      </c>
      <c r="D553" s="42" t="s">
        <v>159</v>
      </c>
      <c r="E553" s="42" t="s">
        <v>808</v>
      </c>
      <c r="F553" s="45">
        <v>31751659.24229932</v>
      </c>
      <c r="G553" s="42" t="s">
        <v>763</v>
      </c>
      <c r="H553" s="42" t="s">
        <v>90</v>
      </c>
      <c r="I553" s="42" t="s">
        <v>858</v>
      </c>
    </row>
    <row r="554" spans="1:9">
      <c r="A554" s="42" t="s">
        <v>759</v>
      </c>
      <c r="B554" s="42" t="s">
        <v>305</v>
      </c>
      <c r="C554" s="42" t="s">
        <v>798</v>
      </c>
      <c r="D554" s="42" t="s">
        <v>159</v>
      </c>
      <c r="E554" s="42" t="s">
        <v>808</v>
      </c>
      <c r="F554" s="45">
        <v>188255307.7602928</v>
      </c>
      <c r="G554" s="42" t="s">
        <v>763</v>
      </c>
      <c r="H554" s="42" t="s">
        <v>90</v>
      </c>
      <c r="I554" s="42" t="s">
        <v>858</v>
      </c>
    </row>
    <row r="555" spans="1:9">
      <c r="A555" s="42" t="s">
        <v>759</v>
      </c>
      <c r="B555" s="42" t="s">
        <v>306</v>
      </c>
      <c r="C555" s="42" t="s">
        <v>799</v>
      </c>
      <c r="D555" s="42" t="s">
        <v>159</v>
      </c>
      <c r="E555" s="42" t="s">
        <v>808</v>
      </c>
      <c r="F555" s="45">
        <v>131065002.8175029</v>
      </c>
      <c r="G555" s="42" t="s">
        <v>763</v>
      </c>
      <c r="H555" s="42" t="s">
        <v>90</v>
      </c>
      <c r="I555" s="42" t="s">
        <v>858</v>
      </c>
    </row>
    <row r="556" spans="1:9">
      <c r="A556" s="42" t="s">
        <v>759</v>
      </c>
      <c r="B556" s="42" t="s">
        <v>307</v>
      </c>
      <c r="C556" s="42" t="s">
        <v>843</v>
      </c>
      <c r="D556" s="42" t="s">
        <v>159</v>
      </c>
      <c r="E556" s="42" t="s">
        <v>808</v>
      </c>
      <c r="F556" s="45">
        <v>347620026.4548696</v>
      </c>
      <c r="G556" s="42" t="s">
        <v>763</v>
      </c>
      <c r="H556" s="42" t="s">
        <v>90</v>
      </c>
      <c r="I556" s="42" t="s">
        <v>858</v>
      </c>
    </row>
    <row r="557" spans="1:9">
      <c r="A557" s="42" t="s">
        <v>759</v>
      </c>
      <c r="B557" s="42" t="s">
        <v>308</v>
      </c>
      <c r="C557" s="42" t="s">
        <v>800</v>
      </c>
      <c r="D557" s="42" t="s">
        <v>159</v>
      </c>
      <c r="E557" s="42" t="s">
        <v>808</v>
      </c>
      <c r="F557" s="45">
        <v>2799603815.670062</v>
      </c>
      <c r="G557" s="42" t="s">
        <v>763</v>
      </c>
      <c r="H557" s="42" t="s">
        <v>90</v>
      </c>
      <c r="I557" s="42" t="s">
        <v>858</v>
      </c>
    </row>
    <row r="558" spans="1:9">
      <c r="A558" s="42" t="s">
        <v>759</v>
      </c>
      <c r="B558" s="42" t="s">
        <v>309</v>
      </c>
      <c r="C558" s="42" t="s">
        <v>801</v>
      </c>
      <c r="D558" s="42" t="s">
        <v>159</v>
      </c>
      <c r="E558" s="42" t="s">
        <v>808</v>
      </c>
      <c r="F558" s="45">
        <v>21395829.14662285</v>
      </c>
      <c r="G558" s="42" t="s">
        <v>763</v>
      </c>
      <c r="H558" s="42" t="s">
        <v>90</v>
      </c>
      <c r="I558" s="42" t="s">
        <v>858</v>
      </c>
    </row>
    <row r="559" spans="1:9">
      <c r="A559" s="42" t="s">
        <v>759</v>
      </c>
      <c r="B559" s="42" t="s">
        <v>310</v>
      </c>
      <c r="C559" s="42" t="s">
        <v>802</v>
      </c>
      <c r="D559" s="42" t="s">
        <v>159</v>
      </c>
      <c r="E559" s="42" t="s">
        <v>808</v>
      </c>
      <c r="F559" s="45">
        <v>2105281171.132161</v>
      </c>
      <c r="G559" s="42" t="s">
        <v>763</v>
      </c>
      <c r="H559" s="42" t="s">
        <v>90</v>
      </c>
      <c r="I559" s="42" t="s">
        <v>858</v>
      </c>
    </row>
    <row r="560" spans="1:9">
      <c r="A560" s="42" t="s">
        <v>759</v>
      </c>
      <c r="B560" s="42" t="s">
        <v>284</v>
      </c>
      <c r="C560" s="42" t="s">
        <v>803</v>
      </c>
      <c r="D560" s="42" t="s">
        <v>159</v>
      </c>
      <c r="E560" s="42" t="s">
        <v>808</v>
      </c>
      <c r="F560" s="45">
        <v>5833504399.931193</v>
      </c>
      <c r="G560" s="42" t="s">
        <v>763</v>
      </c>
      <c r="H560" s="42" t="s">
        <v>90</v>
      </c>
      <c r="I560" s="42" t="s">
        <v>858</v>
      </c>
    </row>
    <row r="561" spans="1:9">
      <c r="A561" s="42" t="s">
        <v>759</v>
      </c>
      <c r="B561" s="42" t="s">
        <v>285</v>
      </c>
      <c r="C561" s="42" t="s">
        <v>804</v>
      </c>
      <c r="D561" s="42" t="s">
        <v>159</v>
      </c>
      <c r="E561" s="42" t="s">
        <v>808</v>
      </c>
      <c r="F561" s="45">
        <v>16530594860.63741</v>
      </c>
      <c r="G561" s="42" t="s">
        <v>763</v>
      </c>
      <c r="H561" s="42" t="s">
        <v>90</v>
      </c>
      <c r="I561" s="42" t="s">
        <v>858</v>
      </c>
    </row>
    <row r="562" spans="1:9">
      <c r="A562" s="42" t="s">
        <v>759</v>
      </c>
      <c r="B562" s="42" t="s">
        <v>805</v>
      </c>
      <c r="C562" s="42" t="s">
        <v>806</v>
      </c>
      <c r="D562" s="42" t="s">
        <v>159</v>
      </c>
      <c r="E562" s="42" t="s">
        <v>808</v>
      </c>
      <c r="F562" s="45">
        <v>25827020427.66729</v>
      </c>
      <c r="G562" s="42" t="s">
        <v>763</v>
      </c>
      <c r="H562" s="42" t="s">
        <v>90</v>
      </c>
      <c r="I562" s="42" t="s">
        <v>858</v>
      </c>
    </row>
    <row r="563" spans="1:9">
      <c r="A563" s="42" t="s">
        <v>759</v>
      </c>
      <c r="B563" s="42" t="s">
        <v>287</v>
      </c>
      <c r="C563" s="42" t="s">
        <v>760</v>
      </c>
      <c r="D563" s="42" t="s">
        <v>160</v>
      </c>
      <c r="E563" s="42" t="s">
        <v>808</v>
      </c>
      <c r="F563" s="45">
        <v>608982808.2601855</v>
      </c>
      <c r="G563" s="42" t="s">
        <v>763</v>
      </c>
      <c r="H563" s="42" t="s">
        <v>92</v>
      </c>
      <c r="I563" s="42" t="s">
        <v>859</v>
      </c>
    </row>
    <row r="564" spans="1:9">
      <c r="A564" s="42" t="s">
        <v>759</v>
      </c>
      <c r="B564" s="42" t="s">
        <v>288</v>
      </c>
      <c r="C564" s="42" t="s">
        <v>765</v>
      </c>
      <c r="D564" s="42" t="s">
        <v>160</v>
      </c>
      <c r="E564" s="42" t="s">
        <v>808</v>
      </c>
      <c r="F564" s="45">
        <v>16264463612.94893</v>
      </c>
      <c r="G564" s="42" t="s">
        <v>763</v>
      </c>
      <c r="H564" s="42" t="s">
        <v>92</v>
      </c>
      <c r="I564" s="42" t="s">
        <v>859</v>
      </c>
    </row>
    <row r="565" spans="1:9">
      <c r="A565" s="42" t="s">
        <v>759</v>
      </c>
      <c r="B565" s="42" t="s">
        <v>289</v>
      </c>
      <c r="C565" s="42" t="s">
        <v>824</v>
      </c>
      <c r="D565" s="42" t="s">
        <v>160</v>
      </c>
      <c r="E565" s="42" t="s">
        <v>808</v>
      </c>
      <c r="F565" s="45">
        <v>885459980.3783092</v>
      </c>
      <c r="G565" s="42" t="s">
        <v>763</v>
      </c>
      <c r="H565" s="42" t="s">
        <v>92</v>
      </c>
      <c r="I565" s="42" t="s">
        <v>859</v>
      </c>
    </row>
    <row r="566" spans="1:9">
      <c r="A566" s="42" t="s">
        <v>759</v>
      </c>
      <c r="B566" s="42" t="s">
        <v>290</v>
      </c>
      <c r="C566" s="42" t="s">
        <v>766</v>
      </c>
      <c r="D566" s="42" t="s">
        <v>160</v>
      </c>
      <c r="E566" s="42" t="s">
        <v>808</v>
      </c>
      <c r="F566" s="45">
        <v>1153385140.492779</v>
      </c>
      <c r="G566" s="42" t="s">
        <v>763</v>
      </c>
      <c r="H566" s="42" t="s">
        <v>92</v>
      </c>
      <c r="I566" s="42" t="s">
        <v>859</v>
      </c>
    </row>
    <row r="567" spans="1:9">
      <c r="A567" s="42" t="s">
        <v>759</v>
      </c>
      <c r="B567" s="42" t="s">
        <v>291</v>
      </c>
      <c r="C567" s="42" t="s">
        <v>767</v>
      </c>
      <c r="D567" s="42" t="s">
        <v>160</v>
      </c>
      <c r="E567" s="42" t="s">
        <v>808</v>
      </c>
      <c r="F567" s="45">
        <v>33128392.01415397</v>
      </c>
      <c r="G567" s="42" t="s">
        <v>763</v>
      </c>
      <c r="H567" s="42" t="s">
        <v>92</v>
      </c>
      <c r="I567" s="42" t="s">
        <v>859</v>
      </c>
    </row>
    <row r="568" spans="1:9">
      <c r="A568" s="42" t="s">
        <v>759</v>
      </c>
      <c r="B568" s="42" t="s">
        <v>292</v>
      </c>
      <c r="C568" s="42" t="s">
        <v>768</v>
      </c>
      <c r="D568" s="42" t="s">
        <v>160</v>
      </c>
      <c r="E568" s="42" t="s">
        <v>808</v>
      </c>
      <c r="F568" s="45">
        <v>160598830.0686152</v>
      </c>
      <c r="G568" s="42" t="s">
        <v>763</v>
      </c>
      <c r="H568" s="42" t="s">
        <v>92</v>
      </c>
      <c r="I568" s="42" t="s">
        <v>859</v>
      </c>
    </row>
    <row r="569" spans="1:9">
      <c r="A569" s="42" t="s">
        <v>759</v>
      </c>
      <c r="B569" s="42" t="s">
        <v>293</v>
      </c>
      <c r="C569" s="42" t="s">
        <v>769</v>
      </c>
      <c r="D569" s="42" t="s">
        <v>160</v>
      </c>
      <c r="E569" s="42" t="s">
        <v>808</v>
      </c>
      <c r="F569" s="45">
        <v>74695148.03191321</v>
      </c>
      <c r="G569" s="42" t="s">
        <v>763</v>
      </c>
      <c r="H569" s="42" t="s">
        <v>92</v>
      </c>
      <c r="I569" s="42" t="s">
        <v>859</v>
      </c>
    </row>
    <row r="570" spans="1:9">
      <c r="A570" s="42" t="s">
        <v>759</v>
      </c>
      <c r="B570" s="42" t="s">
        <v>296</v>
      </c>
      <c r="C570" s="42" t="s">
        <v>771</v>
      </c>
      <c r="D570" s="42" t="s">
        <v>160</v>
      </c>
      <c r="E570" s="42" t="s">
        <v>808</v>
      </c>
      <c r="F570" s="45">
        <v>19180713912.19489</v>
      </c>
      <c r="G570" s="42" t="s">
        <v>763</v>
      </c>
      <c r="H570" s="42" t="s">
        <v>92</v>
      </c>
      <c r="I570" s="42" t="s">
        <v>859</v>
      </c>
    </row>
    <row r="571" spans="1:9">
      <c r="A571" s="42" t="s">
        <v>759</v>
      </c>
      <c r="B571" s="42" t="s">
        <v>241</v>
      </c>
      <c r="C571" s="42" t="s">
        <v>772</v>
      </c>
      <c r="D571" s="42" t="s">
        <v>160</v>
      </c>
      <c r="E571" s="42" t="s">
        <v>808</v>
      </c>
      <c r="F571" s="45">
        <v>1438840504.614739</v>
      </c>
      <c r="G571" s="42" t="s">
        <v>763</v>
      </c>
      <c r="H571" s="42" t="s">
        <v>92</v>
      </c>
      <c r="I571" s="42" t="s">
        <v>859</v>
      </c>
    </row>
    <row r="572" spans="1:9">
      <c r="A572" s="42" t="s">
        <v>759</v>
      </c>
      <c r="B572" s="42" t="s">
        <v>242</v>
      </c>
      <c r="C572" s="42" t="s">
        <v>773</v>
      </c>
      <c r="D572" s="42" t="s">
        <v>160</v>
      </c>
      <c r="E572" s="42" t="s">
        <v>808</v>
      </c>
      <c r="F572" s="45">
        <v>6279052.002682701</v>
      </c>
      <c r="G572" s="42" t="s">
        <v>763</v>
      </c>
      <c r="H572" s="42" t="s">
        <v>92</v>
      </c>
      <c r="I572" s="42" t="s">
        <v>859</v>
      </c>
    </row>
    <row r="573" spans="1:9">
      <c r="A573" s="42" t="s">
        <v>759</v>
      </c>
      <c r="B573" s="42" t="s">
        <v>292</v>
      </c>
      <c r="C573" s="42" t="s">
        <v>774</v>
      </c>
      <c r="D573" s="42" t="s">
        <v>160</v>
      </c>
      <c r="E573" s="42" t="s">
        <v>808</v>
      </c>
      <c r="F573" s="45">
        <v>462305858.1975183</v>
      </c>
      <c r="G573" s="42" t="s">
        <v>763</v>
      </c>
      <c r="H573" s="42" t="s">
        <v>92</v>
      </c>
      <c r="I573" s="42" t="s">
        <v>859</v>
      </c>
    </row>
    <row r="574" spans="1:9">
      <c r="A574" s="42" t="s">
        <v>759</v>
      </c>
      <c r="B574" s="42" t="s">
        <v>293</v>
      </c>
      <c r="C574" s="42" t="s">
        <v>775</v>
      </c>
      <c r="D574" s="42" t="s">
        <v>160</v>
      </c>
      <c r="E574" s="42" t="s">
        <v>808</v>
      </c>
      <c r="F574" s="45">
        <v>1434493468.612882</v>
      </c>
      <c r="G574" s="42" t="s">
        <v>763</v>
      </c>
      <c r="H574" s="42" t="s">
        <v>92</v>
      </c>
      <c r="I574" s="42" t="s">
        <v>859</v>
      </c>
    </row>
    <row r="575" spans="1:9">
      <c r="A575" s="42" t="s">
        <v>759</v>
      </c>
      <c r="B575" s="42" t="s">
        <v>295</v>
      </c>
      <c r="C575" s="42" t="s">
        <v>776</v>
      </c>
      <c r="D575" s="42" t="s">
        <v>160</v>
      </c>
      <c r="E575" s="42" t="s">
        <v>808</v>
      </c>
      <c r="F575" s="45">
        <v>115338514.0492779</v>
      </c>
      <c r="G575" s="42" t="s">
        <v>763</v>
      </c>
      <c r="H575" s="42" t="s">
        <v>92</v>
      </c>
      <c r="I575" s="42" t="s">
        <v>859</v>
      </c>
    </row>
    <row r="576" spans="1:9">
      <c r="A576" s="42" t="s">
        <v>759</v>
      </c>
      <c r="B576" s="42" t="s">
        <v>246</v>
      </c>
      <c r="C576" s="42" t="s">
        <v>777</v>
      </c>
      <c r="D576" s="42" t="s">
        <v>160</v>
      </c>
      <c r="E576" s="42" t="s">
        <v>808</v>
      </c>
      <c r="F576" s="45">
        <v>1186783446.507049</v>
      </c>
      <c r="G576" s="42" t="s">
        <v>763</v>
      </c>
      <c r="H576" s="42" t="s">
        <v>92</v>
      </c>
      <c r="I576" s="42" t="s">
        <v>859</v>
      </c>
    </row>
    <row r="577" spans="1:9">
      <c r="A577" s="42" t="s">
        <v>759</v>
      </c>
      <c r="B577" s="42" t="s">
        <v>247</v>
      </c>
      <c r="C577" s="42" t="s">
        <v>778</v>
      </c>
      <c r="D577" s="42" t="s">
        <v>160</v>
      </c>
      <c r="E577" s="42" t="s">
        <v>808</v>
      </c>
      <c r="F577" s="45">
        <v>4644040843.984149</v>
      </c>
      <c r="G577" s="42" t="s">
        <v>763</v>
      </c>
      <c r="H577" s="42" t="s">
        <v>92</v>
      </c>
      <c r="I577" s="42" t="s">
        <v>859</v>
      </c>
    </row>
    <row r="578" spans="1:9">
      <c r="A578" s="42" t="s">
        <v>759</v>
      </c>
      <c r="B578" s="42" t="s">
        <v>248</v>
      </c>
      <c r="C578" s="42" t="s">
        <v>779</v>
      </c>
      <c r="D578" s="42" t="s">
        <v>160</v>
      </c>
      <c r="E578" s="42" t="s">
        <v>808</v>
      </c>
      <c r="F578" s="45">
        <v>23824754756.17904</v>
      </c>
      <c r="G578" s="42" t="s">
        <v>763</v>
      </c>
      <c r="H578" s="42" t="s">
        <v>92</v>
      </c>
      <c r="I578" s="42" t="s">
        <v>859</v>
      </c>
    </row>
    <row r="579" spans="1:9">
      <c r="A579" s="42" t="s">
        <v>759</v>
      </c>
      <c r="B579" s="42" t="s">
        <v>780</v>
      </c>
      <c r="C579" s="42" t="s">
        <v>781</v>
      </c>
      <c r="D579" s="42" t="s">
        <v>160</v>
      </c>
      <c r="E579" s="42" t="s">
        <v>808</v>
      </c>
      <c r="F579" s="45">
        <v>154291366.0659204</v>
      </c>
      <c r="G579" s="42" t="s">
        <v>763</v>
      </c>
      <c r="H579" s="42" t="s">
        <v>92</v>
      </c>
      <c r="I579" s="42" t="s">
        <v>859</v>
      </c>
    </row>
    <row r="580" spans="1:9">
      <c r="A580" s="42" t="s">
        <v>759</v>
      </c>
      <c r="B580" s="42" t="s">
        <v>299</v>
      </c>
      <c r="C580" s="42" t="s">
        <v>782</v>
      </c>
      <c r="D580" s="42" t="s">
        <v>160</v>
      </c>
      <c r="E580" s="42" t="s">
        <v>808</v>
      </c>
      <c r="F580" s="45">
        <v>7839382219.349345</v>
      </c>
      <c r="G580" s="42" t="s">
        <v>763</v>
      </c>
      <c r="H580" s="42" t="s">
        <v>92</v>
      </c>
      <c r="I580" s="42" t="s">
        <v>859</v>
      </c>
    </row>
    <row r="581" spans="1:9">
      <c r="A581" s="42" t="s">
        <v>759</v>
      </c>
      <c r="B581" s="42" t="s">
        <v>783</v>
      </c>
      <c r="C581" s="42" t="s">
        <v>784</v>
      </c>
      <c r="D581" s="42" t="s">
        <v>160</v>
      </c>
      <c r="E581" s="42" t="s">
        <v>808</v>
      </c>
      <c r="F581" s="45">
        <v>7993673585.415266</v>
      </c>
      <c r="G581" s="42" t="s">
        <v>763</v>
      </c>
      <c r="H581" s="42" t="s">
        <v>92</v>
      </c>
      <c r="I581" s="42" t="s">
        <v>859</v>
      </c>
    </row>
    <row r="582" spans="1:9">
      <c r="A582" s="42" t="s">
        <v>759</v>
      </c>
      <c r="B582" s="42" t="s">
        <v>261</v>
      </c>
      <c r="C582" s="42" t="s">
        <v>785</v>
      </c>
      <c r="D582" s="42" t="s">
        <v>160</v>
      </c>
      <c r="E582" s="42" t="s">
        <v>808</v>
      </c>
      <c r="F582" s="45">
        <v>85406472.03648958</v>
      </c>
      <c r="G582" s="42" t="s">
        <v>763</v>
      </c>
      <c r="H582" s="42" t="s">
        <v>92</v>
      </c>
      <c r="I582" s="42" t="s">
        <v>859</v>
      </c>
    </row>
    <row r="583" spans="1:9">
      <c r="A583" s="42" t="s">
        <v>759</v>
      </c>
      <c r="B583" s="42" t="s">
        <v>786</v>
      </c>
      <c r="C583" s="42" t="s">
        <v>787</v>
      </c>
      <c r="D583" s="42" t="s">
        <v>160</v>
      </c>
      <c r="E583" s="42" t="s">
        <v>808</v>
      </c>
      <c r="F583" s="45">
        <v>8079080057.451756</v>
      </c>
      <c r="G583" s="42" t="s">
        <v>763</v>
      </c>
      <c r="H583" s="42" t="s">
        <v>92</v>
      </c>
      <c r="I583" s="42" t="s">
        <v>859</v>
      </c>
    </row>
    <row r="584" spans="1:9">
      <c r="A584" s="42" t="s">
        <v>759</v>
      </c>
      <c r="B584" s="42" t="s">
        <v>301</v>
      </c>
      <c r="C584" s="42" t="s">
        <v>788</v>
      </c>
      <c r="D584" s="42" t="s">
        <v>160</v>
      </c>
      <c r="E584" s="42" t="s">
        <v>808</v>
      </c>
      <c r="F584" s="45">
        <v>2454853625.048826</v>
      </c>
      <c r="G584" s="42" t="s">
        <v>763</v>
      </c>
      <c r="H584" s="42" t="s">
        <v>92</v>
      </c>
      <c r="I584" s="42" t="s">
        <v>859</v>
      </c>
    </row>
    <row r="585" spans="1:9">
      <c r="A585" s="42" t="s">
        <v>759</v>
      </c>
      <c r="B585" s="42" t="s">
        <v>303</v>
      </c>
      <c r="C585" s="42" t="s">
        <v>789</v>
      </c>
      <c r="D585" s="42" t="s">
        <v>160</v>
      </c>
      <c r="E585" s="42" t="s">
        <v>808</v>
      </c>
      <c r="F585" s="45">
        <v>1367952564.584452</v>
      </c>
      <c r="G585" s="42" t="s">
        <v>763</v>
      </c>
      <c r="H585" s="42" t="s">
        <v>92</v>
      </c>
      <c r="I585" s="42" t="s">
        <v>859</v>
      </c>
    </row>
    <row r="586" spans="1:9">
      <c r="A586" s="42" t="s">
        <v>759</v>
      </c>
      <c r="B586" s="42" t="s">
        <v>304</v>
      </c>
      <c r="C586" s="42" t="s">
        <v>831</v>
      </c>
      <c r="D586" s="42" t="s">
        <v>160</v>
      </c>
      <c r="E586" s="42" t="s">
        <v>808</v>
      </c>
      <c r="F586" s="45">
        <v>41438902.01770461</v>
      </c>
      <c r="G586" s="42" t="s">
        <v>763</v>
      </c>
      <c r="H586" s="42" t="s">
        <v>92</v>
      </c>
      <c r="I586" s="42" t="s">
        <v>859</v>
      </c>
    </row>
    <row r="587" spans="1:9">
      <c r="A587" s="42" t="s">
        <v>759</v>
      </c>
      <c r="B587" s="42" t="s">
        <v>305</v>
      </c>
      <c r="C587" s="42" t="s">
        <v>790</v>
      </c>
      <c r="D587" s="42" t="s">
        <v>160</v>
      </c>
      <c r="E587" s="42" t="s">
        <v>808</v>
      </c>
      <c r="F587" s="45">
        <v>3395234.001450601</v>
      </c>
      <c r="G587" s="42" t="s">
        <v>763</v>
      </c>
      <c r="H587" s="42" t="s">
        <v>92</v>
      </c>
      <c r="I587" s="42" t="s">
        <v>859</v>
      </c>
    </row>
    <row r="588" spans="1:9">
      <c r="A588" s="42" t="s">
        <v>759</v>
      </c>
      <c r="B588" s="42" t="s">
        <v>307</v>
      </c>
      <c r="C588" s="42" t="s">
        <v>836</v>
      </c>
      <c r="D588" s="42" t="s">
        <v>160</v>
      </c>
      <c r="E588" s="42" t="s">
        <v>808</v>
      </c>
      <c r="F588" s="45">
        <v>589705266.2519493</v>
      </c>
      <c r="G588" s="42" t="s">
        <v>763</v>
      </c>
      <c r="H588" s="42" t="s">
        <v>92</v>
      </c>
      <c r="I588" s="42" t="s">
        <v>859</v>
      </c>
    </row>
    <row r="589" spans="1:9">
      <c r="A589" s="42" t="s">
        <v>759</v>
      </c>
      <c r="B589" s="42" t="s">
        <v>308</v>
      </c>
      <c r="C589" s="42" t="s">
        <v>791</v>
      </c>
      <c r="D589" s="42" t="s">
        <v>160</v>
      </c>
      <c r="E589" s="42" t="s">
        <v>808</v>
      </c>
      <c r="F589" s="45">
        <v>5903672658.522322</v>
      </c>
      <c r="G589" s="42" t="s">
        <v>763</v>
      </c>
      <c r="H589" s="42" t="s">
        <v>92</v>
      </c>
      <c r="I589" s="42" t="s">
        <v>859</v>
      </c>
    </row>
    <row r="590" spans="1:9">
      <c r="A590" s="42" t="s">
        <v>759</v>
      </c>
      <c r="B590" s="42" t="s">
        <v>309</v>
      </c>
      <c r="C590" s="42" t="s">
        <v>792</v>
      </c>
      <c r="D590" s="42" t="s">
        <v>160</v>
      </c>
      <c r="E590" s="42" t="s">
        <v>808</v>
      </c>
      <c r="F590" s="45">
        <v>10753942.00459458</v>
      </c>
      <c r="G590" s="42" t="s">
        <v>763</v>
      </c>
      <c r="H590" s="42" t="s">
        <v>92</v>
      </c>
      <c r="I590" s="42" t="s">
        <v>859</v>
      </c>
    </row>
    <row r="591" spans="1:9">
      <c r="A591" s="42" t="s">
        <v>759</v>
      </c>
      <c r="B591" s="42" t="s">
        <v>310</v>
      </c>
      <c r="C591" s="42" t="s">
        <v>793</v>
      </c>
      <c r="D591" s="42" t="s">
        <v>160</v>
      </c>
      <c r="E591" s="42" t="s">
        <v>808</v>
      </c>
      <c r="F591" s="45">
        <v>35046202.01497335</v>
      </c>
      <c r="G591" s="42" t="s">
        <v>763</v>
      </c>
      <c r="H591" s="42" t="s">
        <v>92</v>
      </c>
      <c r="I591" s="42" t="s">
        <v>859</v>
      </c>
    </row>
    <row r="592" spans="1:9">
      <c r="A592" s="42" t="s">
        <v>759</v>
      </c>
      <c r="B592" s="42" t="s">
        <v>311</v>
      </c>
      <c r="C592" s="42" t="s">
        <v>794</v>
      </c>
      <c r="D592" s="42" t="s">
        <v>160</v>
      </c>
      <c r="E592" s="42" t="s">
        <v>808</v>
      </c>
      <c r="F592" s="45">
        <v>10406818394.44627</v>
      </c>
      <c r="G592" s="42" t="s">
        <v>763</v>
      </c>
      <c r="H592" s="42" t="s">
        <v>92</v>
      </c>
      <c r="I592" s="42" t="s">
        <v>859</v>
      </c>
    </row>
    <row r="593" spans="1:9">
      <c r="A593" s="42" t="s">
        <v>759</v>
      </c>
      <c r="B593" s="42" t="s">
        <v>301</v>
      </c>
      <c r="C593" s="42" t="s">
        <v>795</v>
      </c>
      <c r="D593" s="42" t="s">
        <v>160</v>
      </c>
      <c r="E593" s="42" t="s">
        <v>808</v>
      </c>
      <c r="F593" s="45">
        <v>88787500.03793411</v>
      </c>
      <c r="G593" s="42" t="s">
        <v>763</v>
      </c>
      <c r="H593" s="42" t="s">
        <v>92</v>
      </c>
      <c r="I593" s="42" t="s">
        <v>859</v>
      </c>
    </row>
    <row r="594" spans="1:9">
      <c r="A594" s="42" t="s">
        <v>759</v>
      </c>
      <c r="B594" s="42" t="s">
        <v>302</v>
      </c>
      <c r="C594" s="42" t="s">
        <v>797</v>
      </c>
      <c r="D594" s="42" t="s">
        <v>160</v>
      </c>
      <c r="E594" s="42" t="s">
        <v>808</v>
      </c>
      <c r="F594" s="45">
        <v>86443510.03693265</v>
      </c>
      <c r="G594" s="42" t="s">
        <v>763</v>
      </c>
      <c r="H594" s="42" t="s">
        <v>92</v>
      </c>
      <c r="I594" s="42" t="s">
        <v>859</v>
      </c>
    </row>
    <row r="595" spans="1:9">
      <c r="A595" s="42" t="s">
        <v>759</v>
      </c>
      <c r="B595" s="42" t="s">
        <v>304</v>
      </c>
      <c r="C595" s="42" t="s">
        <v>796</v>
      </c>
      <c r="D595" s="42" t="s">
        <v>160</v>
      </c>
      <c r="E595" s="42" t="s">
        <v>808</v>
      </c>
      <c r="F595" s="45">
        <v>19092864.00815735</v>
      </c>
      <c r="G595" s="42" t="s">
        <v>763</v>
      </c>
      <c r="H595" s="42" t="s">
        <v>92</v>
      </c>
      <c r="I595" s="42" t="s">
        <v>859</v>
      </c>
    </row>
    <row r="596" spans="1:9">
      <c r="A596" s="42" t="s">
        <v>759</v>
      </c>
      <c r="B596" s="42" t="s">
        <v>305</v>
      </c>
      <c r="C596" s="42" t="s">
        <v>798</v>
      </c>
      <c r="D596" s="42" t="s">
        <v>160</v>
      </c>
      <c r="E596" s="42" t="s">
        <v>808</v>
      </c>
      <c r="F596" s="45">
        <v>196767306.0840681</v>
      </c>
      <c r="G596" s="42" t="s">
        <v>763</v>
      </c>
      <c r="H596" s="42" t="s">
        <v>92</v>
      </c>
      <c r="I596" s="42" t="s">
        <v>859</v>
      </c>
    </row>
    <row r="597" spans="1:9">
      <c r="A597" s="42" t="s">
        <v>759</v>
      </c>
      <c r="B597" s="42" t="s">
        <v>306</v>
      </c>
      <c r="C597" s="42" t="s">
        <v>799</v>
      </c>
      <c r="D597" s="42" t="s">
        <v>160</v>
      </c>
      <c r="E597" s="42" t="s">
        <v>808</v>
      </c>
      <c r="F597" s="45">
        <v>132115800.0564459</v>
      </c>
      <c r="G597" s="42" t="s">
        <v>763</v>
      </c>
      <c r="H597" s="42" t="s">
        <v>92</v>
      </c>
      <c r="I597" s="42" t="s">
        <v>859</v>
      </c>
    </row>
    <row r="598" spans="1:9">
      <c r="A598" s="42" t="s">
        <v>759</v>
      </c>
      <c r="B598" s="42" t="s">
        <v>307</v>
      </c>
      <c r="C598" s="42" t="s">
        <v>843</v>
      </c>
      <c r="D598" s="42" t="s">
        <v>160</v>
      </c>
      <c r="E598" s="42" t="s">
        <v>808</v>
      </c>
      <c r="F598" s="45">
        <v>354084550.1512812</v>
      </c>
      <c r="G598" s="42" t="s">
        <v>763</v>
      </c>
      <c r="H598" s="42" t="s">
        <v>92</v>
      </c>
      <c r="I598" s="42" t="s">
        <v>859</v>
      </c>
    </row>
    <row r="599" spans="1:9">
      <c r="A599" s="42" t="s">
        <v>759</v>
      </c>
      <c r="B599" s="42" t="s">
        <v>308</v>
      </c>
      <c r="C599" s="42" t="s">
        <v>800</v>
      </c>
      <c r="D599" s="42" t="s">
        <v>160</v>
      </c>
      <c r="E599" s="42" t="s">
        <v>808</v>
      </c>
      <c r="F599" s="45">
        <v>2781875745.188545</v>
      </c>
      <c r="G599" s="42" t="s">
        <v>763</v>
      </c>
      <c r="H599" s="42" t="s">
        <v>92</v>
      </c>
      <c r="I599" s="42" t="s">
        <v>859</v>
      </c>
    </row>
    <row r="600" spans="1:9">
      <c r="A600" s="42" t="s">
        <v>759</v>
      </c>
      <c r="B600" s="42" t="s">
        <v>309</v>
      </c>
      <c r="C600" s="42" t="s">
        <v>801</v>
      </c>
      <c r="D600" s="42" t="s">
        <v>160</v>
      </c>
      <c r="E600" s="42" t="s">
        <v>808</v>
      </c>
      <c r="F600" s="45">
        <v>21237970.00907384</v>
      </c>
      <c r="G600" s="42" t="s">
        <v>763</v>
      </c>
      <c r="H600" s="42" t="s">
        <v>92</v>
      </c>
      <c r="I600" s="42" t="s">
        <v>859</v>
      </c>
    </row>
    <row r="601" spans="1:9">
      <c r="A601" s="42" t="s">
        <v>759</v>
      </c>
      <c r="B601" s="42" t="s">
        <v>310</v>
      </c>
      <c r="C601" s="42" t="s">
        <v>802</v>
      </c>
      <c r="D601" s="42" t="s">
        <v>160</v>
      </c>
      <c r="E601" s="42" t="s">
        <v>808</v>
      </c>
      <c r="F601" s="45">
        <v>1658451058.708567</v>
      </c>
      <c r="G601" s="42" t="s">
        <v>763</v>
      </c>
      <c r="H601" s="42" t="s">
        <v>92</v>
      </c>
      <c r="I601" s="42" t="s">
        <v>859</v>
      </c>
    </row>
    <row r="602" spans="1:9">
      <c r="A602" s="42" t="s">
        <v>759</v>
      </c>
      <c r="B602" s="42" t="s">
        <v>284</v>
      </c>
      <c r="C602" s="42" t="s">
        <v>803</v>
      </c>
      <c r="D602" s="42" t="s">
        <v>160</v>
      </c>
      <c r="E602" s="42" t="s">
        <v>808</v>
      </c>
      <c r="F602" s="45">
        <v>5338856304.281006</v>
      </c>
      <c r="G602" s="42" t="s">
        <v>763</v>
      </c>
      <c r="H602" s="42" t="s">
        <v>92</v>
      </c>
      <c r="I602" s="42" t="s">
        <v>859</v>
      </c>
    </row>
    <row r="603" spans="1:9">
      <c r="A603" s="42" t="s">
        <v>759</v>
      </c>
      <c r="B603" s="42" t="s">
        <v>285</v>
      </c>
      <c r="C603" s="42" t="s">
        <v>804</v>
      </c>
      <c r="D603" s="42" t="s">
        <v>160</v>
      </c>
      <c r="E603" s="42" t="s">
        <v>808</v>
      </c>
      <c r="F603" s="45">
        <v>15745674698.72728</v>
      </c>
      <c r="G603" s="42" t="s">
        <v>763</v>
      </c>
      <c r="H603" s="42" t="s">
        <v>92</v>
      </c>
      <c r="I603" s="42" t="s">
        <v>859</v>
      </c>
    </row>
    <row r="604" spans="1:9">
      <c r="A604" s="42" t="s">
        <v>759</v>
      </c>
      <c r="B604" s="42" t="s">
        <v>805</v>
      </c>
      <c r="C604" s="42" t="s">
        <v>806</v>
      </c>
      <c r="D604" s="42" t="s">
        <v>160</v>
      </c>
      <c r="E604" s="42" t="s">
        <v>808</v>
      </c>
      <c r="F604" s="45">
        <v>23824754756.17904</v>
      </c>
      <c r="G604" s="42" t="s">
        <v>763</v>
      </c>
      <c r="H604" s="42" t="s">
        <v>92</v>
      </c>
      <c r="I604" s="42" t="s">
        <v>859</v>
      </c>
    </row>
    <row r="605" spans="1:9">
      <c r="A605" s="42" t="s">
        <v>759</v>
      </c>
      <c r="B605" s="42" t="s">
        <v>287</v>
      </c>
      <c r="C605" s="42" t="s">
        <v>760</v>
      </c>
      <c r="D605" s="42" t="s">
        <v>161</v>
      </c>
      <c r="E605" s="42" t="s">
        <v>808</v>
      </c>
      <c r="F605" s="45">
        <v>580643212.6457078</v>
      </c>
      <c r="G605" s="42" t="s">
        <v>763</v>
      </c>
      <c r="H605" s="42" t="s">
        <v>94</v>
      </c>
      <c r="I605" s="42" t="s">
        <v>860</v>
      </c>
    </row>
    <row r="606" spans="1:9">
      <c r="A606" s="42" t="s">
        <v>759</v>
      </c>
      <c r="B606" s="42" t="s">
        <v>288</v>
      </c>
      <c r="C606" s="42" t="s">
        <v>765</v>
      </c>
      <c r="D606" s="42" t="s">
        <v>161</v>
      </c>
      <c r="E606" s="42" t="s">
        <v>808</v>
      </c>
      <c r="F606" s="45">
        <v>15739490366.33778</v>
      </c>
      <c r="G606" s="42" t="s">
        <v>763</v>
      </c>
      <c r="H606" s="42" t="s">
        <v>94</v>
      </c>
      <c r="I606" s="42" t="s">
        <v>860</v>
      </c>
    </row>
    <row r="607" spans="1:9">
      <c r="A607" s="42" t="s">
        <v>759</v>
      </c>
      <c r="B607" s="42" t="s">
        <v>289</v>
      </c>
      <c r="C607" s="42" t="s">
        <v>824</v>
      </c>
      <c r="D607" s="42" t="s">
        <v>161</v>
      </c>
      <c r="E607" s="42" t="s">
        <v>808</v>
      </c>
      <c r="F607" s="45">
        <v>806307411.3923632</v>
      </c>
      <c r="G607" s="42" t="s">
        <v>763</v>
      </c>
      <c r="H607" s="42" t="s">
        <v>94</v>
      </c>
      <c r="I607" s="42" t="s">
        <v>860</v>
      </c>
    </row>
    <row r="608" spans="1:9">
      <c r="A608" s="42" t="s">
        <v>759</v>
      </c>
      <c r="B608" s="42" t="s">
        <v>290</v>
      </c>
      <c r="C608" s="42" t="s">
        <v>766</v>
      </c>
      <c r="D608" s="42" t="s">
        <v>161</v>
      </c>
      <c r="E608" s="42" t="s">
        <v>808</v>
      </c>
      <c r="F608" s="45">
        <v>1209769634.667842</v>
      </c>
      <c r="G608" s="42" t="s">
        <v>763</v>
      </c>
      <c r="H608" s="42" t="s">
        <v>94</v>
      </c>
      <c r="I608" s="42" t="s">
        <v>860</v>
      </c>
    </row>
    <row r="609" spans="1:9">
      <c r="A609" s="42" t="s">
        <v>759</v>
      </c>
      <c r="B609" s="42" t="s">
        <v>291</v>
      </c>
      <c r="C609" s="42" t="s">
        <v>767</v>
      </c>
      <c r="D609" s="42" t="s">
        <v>161</v>
      </c>
      <c r="E609" s="42" t="s">
        <v>808</v>
      </c>
      <c r="F609" s="45">
        <v>35131618.81703705</v>
      </c>
      <c r="G609" s="42" t="s">
        <v>763</v>
      </c>
      <c r="H609" s="42" t="s">
        <v>94</v>
      </c>
      <c r="I609" s="42" t="s">
        <v>860</v>
      </c>
    </row>
    <row r="610" spans="1:9">
      <c r="A610" s="42" t="s">
        <v>759</v>
      </c>
      <c r="B610" s="42" t="s">
        <v>292</v>
      </c>
      <c r="C610" s="42" t="s">
        <v>768</v>
      </c>
      <c r="D610" s="42" t="s">
        <v>161</v>
      </c>
      <c r="E610" s="42" t="s">
        <v>808</v>
      </c>
      <c r="F610" s="45">
        <v>167570994.9852993</v>
      </c>
      <c r="G610" s="42" t="s">
        <v>763</v>
      </c>
      <c r="H610" s="42" t="s">
        <v>94</v>
      </c>
      <c r="I610" s="42" t="s">
        <v>860</v>
      </c>
    </row>
    <row r="611" spans="1:9">
      <c r="A611" s="42" t="s">
        <v>759</v>
      </c>
      <c r="B611" s="42" t="s">
        <v>293</v>
      </c>
      <c r="C611" s="42" t="s">
        <v>769</v>
      </c>
      <c r="D611" s="42" t="s">
        <v>161</v>
      </c>
      <c r="E611" s="42" t="s">
        <v>808</v>
      </c>
      <c r="F611" s="45">
        <v>111236997.8463209</v>
      </c>
      <c r="G611" s="42" t="s">
        <v>763</v>
      </c>
      <c r="H611" s="42" t="s">
        <v>94</v>
      </c>
      <c r="I611" s="42" t="s">
        <v>860</v>
      </c>
    </row>
    <row r="612" spans="1:9">
      <c r="A612" s="42" t="s">
        <v>759</v>
      </c>
      <c r="B612" s="42" t="s">
        <v>296</v>
      </c>
      <c r="C612" s="42" t="s">
        <v>771</v>
      </c>
      <c r="D612" s="42" t="s">
        <v>161</v>
      </c>
      <c r="E612" s="42" t="s">
        <v>808</v>
      </c>
      <c r="F612" s="45">
        <v>18650150236.69235</v>
      </c>
      <c r="G612" s="42" t="s">
        <v>763</v>
      </c>
      <c r="H612" s="42" t="s">
        <v>94</v>
      </c>
      <c r="I612" s="42" t="s">
        <v>860</v>
      </c>
    </row>
    <row r="613" spans="1:9">
      <c r="A613" s="42" t="s">
        <v>759</v>
      </c>
      <c r="B613" s="42" t="s">
        <v>241</v>
      </c>
      <c r="C613" s="42" t="s">
        <v>772</v>
      </c>
      <c r="D613" s="42" t="s">
        <v>161</v>
      </c>
      <c r="E613" s="42" t="s">
        <v>808</v>
      </c>
      <c r="F613" s="45">
        <v>1368925320.362514</v>
      </c>
      <c r="G613" s="42" t="s">
        <v>763</v>
      </c>
      <c r="H613" s="42" t="s">
        <v>94</v>
      </c>
      <c r="I613" s="42" t="s">
        <v>860</v>
      </c>
    </row>
    <row r="614" spans="1:9">
      <c r="A614" s="42" t="s">
        <v>759</v>
      </c>
      <c r="B614" s="42" t="s">
        <v>242</v>
      </c>
      <c r="C614" s="42" t="s">
        <v>773</v>
      </c>
      <c r="D614" s="42" t="s">
        <v>161</v>
      </c>
      <c r="E614" s="42" t="s">
        <v>808</v>
      </c>
      <c r="F614" s="45">
        <v>5592701.650245807</v>
      </c>
      <c r="G614" s="42" t="s">
        <v>763</v>
      </c>
      <c r="H614" s="42" t="s">
        <v>94</v>
      </c>
      <c r="I614" s="42" t="s">
        <v>860</v>
      </c>
    </row>
    <row r="615" spans="1:9">
      <c r="A615" s="42" t="s">
        <v>759</v>
      </c>
      <c r="B615" s="42" t="s">
        <v>292</v>
      </c>
      <c r="C615" s="42" t="s">
        <v>774</v>
      </c>
      <c r="D615" s="42" t="s">
        <v>161</v>
      </c>
      <c r="E615" s="42" t="s">
        <v>808</v>
      </c>
      <c r="F615" s="45">
        <v>389519854.3727537</v>
      </c>
      <c r="G615" s="42" t="s">
        <v>763</v>
      </c>
      <c r="H615" s="42" t="s">
        <v>94</v>
      </c>
      <c r="I615" s="42" t="s">
        <v>860</v>
      </c>
    </row>
    <row r="616" spans="1:9">
      <c r="A616" s="42" t="s">
        <v>759</v>
      </c>
      <c r="B616" s="42" t="s">
        <v>293</v>
      </c>
      <c r="C616" s="42" t="s">
        <v>775</v>
      </c>
      <c r="D616" s="42" t="s">
        <v>161</v>
      </c>
      <c r="E616" s="42" t="s">
        <v>808</v>
      </c>
      <c r="F616" s="45">
        <v>1461414952.113644</v>
      </c>
      <c r="G616" s="42" t="s">
        <v>763</v>
      </c>
      <c r="H616" s="42" t="s">
        <v>94</v>
      </c>
      <c r="I616" s="42" t="s">
        <v>860</v>
      </c>
    </row>
    <row r="617" spans="1:9">
      <c r="A617" s="42" t="s">
        <v>759</v>
      </c>
      <c r="B617" s="42" t="s">
        <v>295</v>
      </c>
      <c r="C617" s="42" t="s">
        <v>776</v>
      </c>
      <c r="D617" s="42" t="s">
        <v>161</v>
      </c>
      <c r="E617" s="42" t="s">
        <v>808</v>
      </c>
      <c r="F617" s="45">
        <v>220097753.9116689</v>
      </c>
      <c r="G617" s="42" t="s">
        <v>763</v>
      </c>
      <c r="H617" s="42" t="s">
        <v>94</v>
      </c>
      <c r="I617" s="42" t="s">
        <v>860</v>
      </c>
    </row>
    <row r="618" spans="1:9">
      <c r="A618" s="42" t="s">
        <v>759</v>
      </c>
      <c r="B618" s="42" t="s">
        <v>246</v>
      </c>
      <c r="C618" s="42" t="s">
        <v>777</v>
      </c>
      <c r="D618" s="42" t="s">
        <v>161</v>
      </c>
      <c r="E618" s="42" t="s">
        <v>808</v>
      </c>
      <c r="F618" s="45">
        <v>782991359.4420427</v>
      </c>
      <c r="G618" s="42" t="s">
        <v>763</v>
      </c>
      <c r="H618" s="42" t="s">
        <v>94</v>
      </c>
      <c r="I618" s="42" t="s">
        <v>860</v>
      </c>
    </row>
    <row r="619" spans="1:9">
      <c r="A619" s="42" t="s">
        <v>759</v>
      </c>
      <c r="B619" s="42" t="s">
        <v>247</v>
      </c>
      <c r="C619" s="42" t="s">
        <v>778</v>
      </c>
      <c r="D619" s="42" t="s">
        <v>161</v>
      </c>
      <c r="E619" s="42" t="s">
        <v>808</v>
      </c>
      <c r="F619" s="45">
        <v>4228541941.852869</v>
      </c>
      <c r="G619" s="42" t="s">
        <v>763</v>
      </c>
      <c r="H619" s="42" t="s">
        <v>94</v>
      </c>
      <c r="I619" s="42" t="s">
        <v>860</v>
      </c>
    </row>
    <row r="620" spans="1:9">
      <c r="A620" s="42" t="s">
        <v>759</v>
      </c>
      <c r="B620" s="42" t="s">
        <v>248</v>
      </c>
      <c r="C620" s="42" t="s">
        <v>779</v>
      </c>
      <c r="D620" s="42" t="s">
        <v>161</v>
      </c>
      <c r="E620" s="42" t="s">
        <v>808</v>
      </c>
      <c r="F620" s="45">
        <v>22878692178.54522</v>
      </c>
      <c r="G620" s="42" t="s">
        <v>763</v>
      </c>
      <c r="H620" s="42" t="s">
        <v>94</v>
      </c>
      <c r="I620" s="42" t="s">
        <v>860</v>
      </c>
    </row>
    <row r="621" spans="1:9">
      <c r="A621" s="42" t="s">
        <v>759</v>
      </c>
      <c r="B621" s="42" t="s">
        <v>780</v>
      </c>
      <c r="C621" s="42" t="s">
        <v>781</v>
      </c>
      <c r="D621" s="42" t="s">
        <v>161</v>
      </c>
      <c r="E621" s="42" t="s">
        <v>808</v>
      </c>
      <c r="F621" s="45">
        <v>141353564.9488183</v>
      </c>
      <c r="G621" s="42" t="s">
        <v>763</v>
      </c>
      <c r="H621" s="42" t="s">
        <v>94</v>
      </c>
      <c r="I621" s="42" t="s">
        <v>860</v>
      </c>
    </row>
    <row r="622" spans="1:9">
      <c r="A622" s="42" t="s">
        <v>759</v>
      </c>
      <c r="B622" s="42" t="s">
        <v>299</v>
      </c>
      <c r="C622" s="42" t="s">
        <v>782</v>
      </c>
      <c r="D622" s="42" t="s">
        <v>161</v>
      </c>
      <c r="E622" s="42" t="s">
        <v>808</v>
      </c>
      <c r="F622" s="45">
        <v>7378887150.302598</v>
      </c>
      <c r="G622" s="42" t="s">
        <v>763</v>
      </c>
      <c r="H622" s="42" t="s">
        <v>94</v>
      </c>
      <c r="I622" s="42" t="s">
        <v>860</v>
      </c>
    </row>
    <row r="623" spans="1:9">
      <c r="A623" s="42" t="s">
        <v>759</v>
      </c>
      <c r="B623" s="42" t="s">
        <v>783</v>
      </c>
      <c r="C623" s="42" t="s">
        <v>784</v>
      </c>
      <c r="D623" s="42" t="s">
        <v>161</v>
      </c>
      <c r="E623" s="42" t="s">
        <v>808</v>
      </c>
      <c r="F623" s="45">
        <v>7520240715.251417</v>
      </c>
      <c r="G623" s="42" t="s">
        <v>763</v>
      </c>
      <c r="H623" s="42" t="s">
        <v>94</v>
      </c>
      <c r="I623" s="42" t="s">
        <v>860</v>
      </c>
    </row>
    <row r="624" spans="1:9">
      <c r="A624" s="42" t="s">
        <v>759</v>
      </c>
      <c r="B624" s="42" t="s">
        <v>261</v>
      </c>
      <c r="C624" s="42" t="s">
        <v>785</v>
      </c>
      <c r="D624" s="42" t="s">
        <v>161</v>
      </c>
      <c r="E624" s="42" t="s">
        <v>808</v>
      </c>
      <c r="F624" s="45">
        <v>87172626.66110836</v>
      </c>
      <c r="G624" s="42" t="s">
        <v>763</v>
      </c>
      <c r="H624" s="42" t="s">
        <v>94</v>
      </c>
      <c r="I624" s="42" t="s">
        <v>860</v>
      </c>
    </row>
    <row r="625" spans="1:9">
      <c r="A625" s="42" t="s">
        <v>759</v>
      </c>
      <c r="B625" s="42" t="s">
        <v>786</v>
      </c>
      <c r="C625" s="42" t="s">
        <v>787</v>
      </c>
      <c r="D625" s="42" t="s">
        <v>161</v>
      </c>
      <c r="E625" s="42" t="s">
        <v>808</v>
      </c>
      <c r="F625" s="45">
        <v>7607413341.912525</v>
      </c>
      <c r="G625" s="42" t="s">
        <v>763</v>
      </c>
      <c r="H625" s="42" t="s">
        <v>94</v>
      </c>
      <c r="I625" s="42" t="s">
        <v>860</v>
      </c>
    </row>
    <row r="626" spans="1:9">
      <c r="A626" s="42" t="s">
        <v>759</v>
      </c>
      <c r="B626" s="42" t="s">
        <v>301</v>
      </c>
      <c r="C626" s="42" t="s">
        <v>788</v>
      </c>
      <c r="D626" s="42" t="s">
        <v>161</v>
      </c>
      <c r="E626" s="42" t="s">
        <v>808</v>
      </c>
      <c r="F626" s="45">
        <v>2515402901.847645</v>
      </c>
      <c r="G626" s="42" t="s">
        <v>763</v>
      </c>
      <c r="H626" s="42" t="s">
        <v>94</v>
      </c>
      <c r="I626" s="42" t="s">
        <v>860</v>
      </c>
    </row>
    <row r="627" spans="1:9">
      <c r="A627" s="42" t="s">
        <v>759</v>
      </c>
      <c r="B627" s="42" t="s">
        <v>303</v>
      </c>
      <c r="C627" s="42" t="s">
        <v>789</v>
      </c>
      <c r="D627" s="42" t="s">
        <v>161</v>
      </c>
      <c r="E627" s="42" t="s">
        <v>808</v>
      </c>
      <c r="F627" s="45">
        <v>1388526032.953633</v>
      </c>
      <c r="G627" s="42" t="s">
        <v>763</v>
      </c>
      <c r="H627" s="42" t="s">
        <v>94</v>
      </c>
      <c r="I627" s="42" t="s">
        <v>860</v>
      </c>
    </row>
    <row r="628" spans="1:9">
      <c r="A628" s="42" t="s">
        <v>759</v>
      </c>
      <c r="B628" s="42" t="s">
        <v>304</v>
      </c>
      <c r="C628" s="42" t="s">
        <v>831</v>
      </c>
      <c r="D628" s="42" t="s">
        <v>161</v>
      </c>
      <c r="E628" s="42" t="s">
        <v>808</v>
      </c>
      <c r="F628" s="45">
        <v>35210389.26281515</v>
      </c>
      <c r="G628" s="42" t="s">
        <v>763</v>
      </c>
      <c r="H628" s="42" t="s">
        <v>94</v>
      </c>
      <c r="I628" s="42" t="s">
        <v>860</v>
      </c>
    </row>
    <row r="629" spans="1:9">
      <c r="A629" s="42" t="s">
        <v>759</v>
      </c>
      <c r="B629" s="42" t="s">
        <v>305</v>
      </c>
      <c r="C629" s="42" t="s">
        <v>790</v>
      </c>
      <c r="D629" s="42" t="s">
        <v>161</v>
      </c>
      <c r="E629" s="42" t="s">
        <v>808</v>
      </c>
      <c r="F629" s="45">
        <v>262568.1525936999</v>
      </c>
      <c r="G629" s="42" t="s">
        <v>763</v>
      </c>
      <c r="H629" s="42" t="s">
        <v>94</v>
      </c>
      <c r="I629" s="42" t="s">
        <v>860</v>
      </c>
    </row>
    <row r="630" spans="1:9">
      <c r="A630" s="42" t="s">
        <v>759</v>
      </c>
      <c r="B630" s="42" t="s">
        <v>306</v>
      </c>
      <c r="C630" s="42" t="s">
        <v>856</v>
      </c>
      <c r="D630" s="42" t="s">
        <v>161</v>
      </c>
      <c r="E630" s="42" t="s">
        <v>808</v>
      </c>
      <c r="F630" s="45">
        <v>38374335.50156923</v>
      </c>
      <c r="G630" s="42" t="s">
        <v>763</v>
      </c>
      <c r="H630" s="42" t="s">
        <v>94</v>
      </c>
      <c r="I630" s="42" t="s">
        <v>860</v>
      </c>
    </row>
    <row r="631" spans="1:9">
      <c r="A631" s="42" t="s">
        <v>759</v>
      </c>
      <c r="B631" s="42" t="s">
        <v>307</v>
      </c>
      <c r="C631" s="42" t="s">
        <v>836</v>
      </c>
      <c r="D631" s="42" t="s">
        <v>161</v>
      </c>
      <c r="E631" s="42" t="s">
        <v>808</v>
      </c>
      <c r="F631" s="45">
        <v>534864455.2409964</v>
      </c>
      <c r="G631" s="42" t="s">
        <v>763</v>
      </c>
      <c r="H631" s="42" t="s">
        <v>94</v>
      </c>
      <c r="I631" s="42" t="s">
        <v>860</v>
      </c>
    </row>
    <row r="632" spans="1:9">
      <c r="A632" s="42" t="s">
        <v>759</v>
      </c>
      <c r="B632" s="42" t="s">
        <v>308</v>
      </c>
      <c r="C632" s="42" t="s">
        <v>791</v>
      </c>
      <c r="D632" s="42" t="s">
        <v>161</v>
      </c>
      <c r="E632" s="42" t="s">
        <v>808</v>
      </c>
      <c r="F632" s="45">
        <v>6306978924.154078</v>
      </c>
      <c r="G632" s="42" t="s">
        <v>763</v>
      </c>
      <c r="H632" s="42" t="s">
        <v>94</v>
      </c>
      <c r="I632" s="42" t="s">
        <v>860</v>
      </c>
    </row>
    <row r="633" spans="1:9">
      <c r="A633" s="42" t="s">
        <v>759</v>
      </c>
      <c r="B633" s="42" t="s">
        <v>309</v>
      </c>
      <c r="C633" s="42" t="s">
        <v>792</v>
      </c>
      <c r="D633" s="42" t="s">
        <v>161</v>
      </c>
      <c r="E633" s="42" t="s">
        <v>808</v>
      </c>
      <c r="F633" s="45">
        <v>10752165.84871201</v>
      </c>
      <c r="G633" s="42" t="s">
        <v>763</v>
      </c>
      <c r="H633" s="42" t="s">
        <v>94</v>
      </c>
      <c r="I633" s="42" t="s">
        <v>860</v>
      </c>
    </row>
    <row r="634" spans="1:9">
      <c r="A634" s="42" t="s">
        <v>759</v>
      </c>
      <c r="B634" s="42" t="s">
        <v>310</v>
      </c>
      <c r="C634" s="42" t="s">
        <v>793</v>
      </c>
      <c r="D634" s="42" t="s">
        <v>161</v>
      </c>
      <c r="E634" s="42" t="s">
        <v>808</v>
      </c>
      <c r="F634" s="45">
        <v>24051242.77758291</v>
      </c>
      <c r="G634" s="42" t="s">
        <v>763</v>
      </c>
      <c r="H634" s="42" t="s">
        <v>94</v>
      </c>
      <c r="I634" s="42" t="s">
        <v>860</v>
      </c>
    </row>
    <row r="635" spans="1:9">
      <c r="A635" s="42" t="s">
        <v>759</v>
      </c>
      <c r="B635" s="42" t="s">
        <v>311</v>
      </c>
      <c r="C635" s="42" t="s">
        <v>794</v>
      </c>
      <c r="D635" s="42" t="s">
        <v>161</v>
      </c>
      <c r="E635" s="42" t="s">
        <v>808</v>
      </c>
      <c r="F635" s="45">
        <v>10854423015.73963</v>
      </c>
      <c r="G635" s="42" t="s">
        <v>763</v>
      </c>
      <c r="H635" s="42" t="s">
        <v>94</v>
      </c>
      <c r="I635" s="42" t="s">
        <v>860</v>
      </c>
    </row>
    <row r="636" spans="1:9">
      <c r="A636" s="42" t="s">
        <v>759</v>
      </c>
      <c r="B636" s="42" t="s">
        <v>301</v>
      </c>
      <c r="C636" s="42" t="s">
        <v>795</v>
      </c>
      <c r="D636" s="42" t="s">
        <v>161</v>
      </c>
      <c r="E636" s="42" t="s">
        <v>808</v>
      </c>
      <c r="F636" s="45">
        <v>86476821.05673505</v>
      </c>
      <c r="G636" s="42" t="s">
        <v>763</v>
      </c>
      <c r="H636" s="42" t="s">
        <v>94</v>
      </c>
      <c r="I636" s="42" t="s">
        <v>860</v>
      </c>
    </row>
    <row r="637" spans="1:9">
      <c r="A637" s="42" t="s">
        <v>759</v>
      </c>
      <c r="B637" s="42" t="s">
        <v>302</v>
      </c>
      <c r="C637" s="42" t="s">
        <v>797</v>
      </c>
      <c r="D637" s="42" t="s">
        <v>161</v>
      </c>
      <c r="E637" s="42" t="s">
        <v>808</v>
      </c>
      <c r="F637" s="45">
        <v>114821053.129225</v>
      </c>
      <c r="G637" s="42" t="s">
        <v>763</v>
      </c>
      <c r="H637" s="42" t="s">
        <v>94</v>
      </c>
      <c r="I637" s="42" t="s">
        <v>860</v>
      </c>
    </row>
    <row r="638" spans="1:9">
      <c r="A638" s="42" t="s">
        <v>759</v>
      </c>
      <c r="B638" s="42" t="s">
        <v>304</v>
      </c>
      <c r="C638" s="42" t="s">
        <v>796</v>
      </c>
      <c r="D638" s="42" t="s">
        <v>161</v>
      </c>
      <c r="E638" s="42" t="s">
        <v>808</v>
      </c>
      <c r="F638" s="45">
        <v>13758571.19590987</v>
      </c>
      <c r="G638" s="42" t="s">
        <v>763</v>
      </c>
      <c r="H638" s="42" t="s">
        <v>94</v>
      </c>
      <c r="I638" s="42" t="s">
        <v>860</v>
      </c>
    </row>
    <row r="639" spans="1:9">
      <c r="A639" s="42" t="s">
        <v>759</v>
      </c>
      <c r="B639" s="42" t="s">
        <v>305</v>
      </c>
      <c r="C639" s="42" t="s">
        <v>798</v>
      </c>
      <c r="D639" s="42" t="s">
        <v>161</v>
      </c>
      <c r="E639" s="42" t="s">
        <v>808</v>
      </c>
      <c r="F639" s="45">
        <v>210159549.3359974</v>
      </c>
      <c r="G639" s="42" t="s">
        <v>763</v>
      </c>
      <c r="H639" s="42" t="s">
        <v>94</v>
      </c>
      <c r="I639" s="42" t="s">
        <v>860</v>
      </c>
    </row>
    <row r="640" spans="1:9">
      <c r="A640" s="42" t="s">
        <v>759</v>
      </c>
      <c r="B640" s="42" t="s">
        <v>306</v>
      </c>
      <c r="C640" s="42" t="s">
        <v>799</v>
      </c>
      <c r="D640" s="42" t="s">
        <v>161</v>
      </c>
      <c r="E640" s="42" t="s">
        <v>808</v>
      </c>
      <c r="F640" s="45">
        <v>163067951.1683173</v>
      </c>
      <c r="G640" s="42" t="s">
        <v>763</v>
      </c>
      <c r="H640" s="42" t="s">
        <v>94</v>
      </c>
      <c r="I640" s="42" t="s">
        <v>860</v>
      </c>
    </row>
    <row r="641" spans="1:9">
      <c r="A641" s="42" t="s">
        <v>759</v>
      </c>
      <c r="B641" s="42" t="s">
        <v>307</v>
      </c>
      <c r="C641" s="42" t="s">
        <v>843</v>
      </c>
      <c r="D641" s="42" t="s">
        <v>161</v>
      </c>
      <c r="E641" s="42" t="s">
        <v>808</v>
      </c>
      <c r="F641" s="45">
        <v>352537130.0799311</v>
      </c>
      <c r="G641" s="42" t="s">
        <v>763</v>
      </c>
      <c r="H641" s="42" t="s">
        <v>94</v>
      </c>
      <c r="I641" s="42" t="s">
        <v>860</v>
      </c>
    </row>
    <row r="642" spans="1:9">
      <c r="A642" s="42" t="s">
        <v>759</v>
      </c>
      <c r="B642" s="42" t="s">
        <v>308</v>
      </c>
      <c r="C642" s="42" t="s">
        <v>800</v>
      </c>
      <c r="D642" s="42" t="s">
        <v>161</v>
      </c>
      <c r="E642" s="42" t="s">
        <v>808</v>
      </c>
      <c r="F642" s="45">
        <v>1890306900.967823</v>
      </c>
      <c r="G642" s="42" t="s">
        <v>763</v>
      </c>
      <c r="H642" s="42" t="s">
        <v>94</v>
      </c>
      <c r="I642" s="42" t="s">
        <v>860</v>
      </c>
    </row>
    <row r="643" spans="1:9">
      <c r="A643" s="42" t="s">
        <v>759</v>
      </c>
      <c r="B643" s="42" t="s">
        <v>309</v>
      </c>
      <c r="C643" s="42" t="s">
        <v>801</v>
      </c>
      <c r="D643" s="42" t="s">
        <v>161</v>
      </c>
      <c r="E643" s="42" t="s">
        <v>808</v>
      </c>
      <c r="F643" s="45">
        <v>20322775.01075237</v>
      </c>
      <c r="G643" s="42" t="s">
        <v>763</v>
      </c>
      <c r="H643" s="42" t="s">
        <v>94</v>
      </c>
      <c r="I643" s="42" t="s">
        <v>860</v>
      </c>
    </row>
    <row r="644" spans="1:9">
      <c r="A644" s="42" t="s">
        <v>759</v>
      </c>
      <c r="B644" s="42" t="s">
        <v>310</v>
      </c>
      <c r="C644" s="42" t="s">
        <v>802</v>
      </c>
      <c r="D644" s="42" t="s">
        <v>161</v>
      </c>
      <c r="E644" s="42" t="s">
        <v>808</v>
      </c>
      <c r="F644" s="45">
        <v>1565405068.948379</v>
      </c>
      <c r="G644" s="42" t="s">
        <v>763</v>
      </c>
      <c r="H644" s="42" t="s">
        <v>94</v>
      </c>
      <c r="I644" s="42" t="s">
        <v>860</v>
      </c>
    </row>
    <row r="645" spans="1:9">
      <c r="A645" s="42" t="s">
        <v>759</v>
      </c>
      <c r="B645" s="42" t="s">
        <v>284</v>
      </c>
      <c r="C645" s="42" t="s">
        <v>803</v>
      </c>
      <c r="D645" s="42" t="s">
        <v>161</v>
      </c>
      <c r="E645" s="42" t="s">
        <v>808</v>
      </c>
      <c r="F645" s="45">
        <v>4416855820.893071</v>
      </c>
      <c r="G645" s="42" t="s">
        <v>763</v>
      </c>
      <c r="H645" s="42" t="s">
        <v>94</v>
      </c>
      <c r="I645" s="42" t="s">
        <v>860</v>
      </c>
    </row>
    <row r="646" spans="1:9">
      <c r="A646" s="42" t="s">
        <v>759</v>
      </c>
      <c r="B646" s="42" t="s">
        <v>285</v>
      </c>
      <c r="C646" s="42" t="s">
        <v>804</v>
      </c>
      <c r="D646" s="42" t="s">
        <v>161</v>
      </c>
      <c r="E646" s="42" t="s">
        <v>808</v>
      </c>
      <c r="F646" s="45">
        <v>15271278836.6327</v>
      </c>
      <c r="G646" s="42" t="s">
        <v>763</v>
      </c>
      <c r="H646" s="42" t="s">
        <v>94</v>
      </c>
      <c r="I646" s="42" t="s">
        <v>860</v>
      </c>
    </row>
    <row r="647" spans="1:9">
      <c r="A647" s="42" t="s">
        <v>759</v>
      </c>
      <c r="B647" s="42" t="s">
        <v>805</v>
      </c>
      <c r="C647" s="42" t="s">
        <v>806</v>
      </c>
      <c r="D647" s="42" t="s">
        <v>161</v>
      </c>
      <c r="E647" s="42" t="s">
        <v>808</v>
      </c>
      <c r="F647" s="45">
        <v>22878692178.54522</v>
      </c>
      <c r="G647" s="42" t="s">
        <v>763</v>
      </c>
      <c r="H647" s="42" t="s">
        <v>94</v>
      </c>
      <c r="I647" s="42" t="s">
        <v>860</v>
      </c>
    </row>
    <row r="648" spans="1:9">
      <c r="A648" s="42" t="s">
        <v>759</v>
      </c>
      <c r="B648" s="42" t="s">
        <v>287</v>
      </c>
      <c r="C648" s="42" t="s">
        <v>760</v>
      </c>
      <c r="D648" s="42" t="s">
        <v>162</v>
      </c>
      <c r="E648" s="42" t="s">
        <v>808</v>
      </c>
      <c r="F648" s="45">
        <v>464927842.4139879</v>
      </c>
      <c r="G648" s="42" t="s">
        <v>763</v>
      </c>
      <c r="H648" s="42" t="s">
        <v>104</v>
      </c>
      <c r="I648" s="42" t="s">
        <v>853</v>
      </c>
    </row>
    <row r="649" spans="1:9">
      <c r="A649" s="42" t="s">
        <v>759</v>
      </c>
      <c r="B649" s="42" t="s">
        <v>287</v>
      </c>
      <c r="C649" s="42" t="s">
        <v>821</v>
      </c>
      <c r="D649" s="42" t="s">
        <v>162</v>
      </c>
      <c r="E649" s="42" t="s">
        <v>808</v>
      </c>
      <c r="F649" s="45">
        <v>465000000</v>
      </c>
      <c r="G649" s="42" t="s">
        <v>763</v>
      </c>
      <c r="H649" s="42" t="s">
        <v>119</v>
      </c>
      <c r="I649" s="42" t="s">
        <v>854</v>
      </c>
    </row>
    <row r="650" spans="1:9">
      <c r="A650" s="42" t="s">
        <v>759</v>
      </c>
      <c r="B650" s="42" t="s">
        <v>288</v>
      </c>
      <c r="C650" s="42" t="s">
        <v>765</v>
      </c>
      <c r="D650" s="42" t="s">
        <v>162</v>
      </c>
      <c r="E650" s="42" t="s">
        <v>808</v>
      </c>
      <c r="F650" s="45">
        <v>16395626464.425</v>
      </c>
      <c r="G650" s="42" t="s">
        <v>763</v>
      </c>
      <c r="H650" s="42" t="s">
        <v>104</v>
      </c>
      <c r="I650" s="42" t="s">
        <v>853</v>
      </c>
    </row>
    <row r="651" spans="1:9">
      <c r="A651" s="42" t="s">
        <v>759</v>
      </c>
      <c r="B651" s="42" t="s">
        <v>288</v>
      </c>
      <c r="C651" s="42" t="s">
        <v>823</v>
      </c>
      <c r="D651" s="42" t="s">
        <v>162</v>
      </c>
      <c r="E651" s="42" t="s">
        <v>808</v>
      </c>
      <c r="F651" s="45">
        <v>16413000000</v>
      </c>
      <c r="G651" s="42" t="s">
        <v>763</v>
      </c>
      <c r="H651" s="42" t="s">
        <v>119</v>
      </c>
      <c r="I651" s="42" t="s">
        <v>854</v>
      </c>
    </row>
    <row r="652" spans="1:9">
      <c r="A652" s="42" t="s">
        <v>759</v>
      </c>
      <c r="B652" s="42" t="s">
        <v>289</v>
      </c>
      <c r="C652" s="42" t="s">
        <v>824</v>
      </c>
      <c r="D652" s="42" t="s">
        <v>162</v>
      </c>
      <c r="E652" s="42" t="s">
        <v>808</v>
      </c>
      <c r="F652" s="45">
        <v>523901025.6256806</v>
      </c>
      <c r="G652" s="42" t="s">
        <v>763</v>
      </c>
      <c r="H652" s="42" t="s">
        <v>104</v>
      </c>
      <c r="I652" s="42" t="s">
        <v>853</v>
      </c>
    </row>
    <row r="653" spans="1:9">
      <c r="A653" s="42" t="s">
        <v>759</v>
      </c>
      <c r="B653" s="42" t="s">
        <v>289</v>
      </c>
      <c r="C653" s="42" t="s">
        <v>825</v>
      </c>
      <c r="D653" s="42" t="s">
        <v>162</v>
      </c>
      <c r="E653" s="42" t="s">
        <v>808</v>
      </c>
      <c r="F653" s="45">
        <v>524000000</v>
      </c>
      <c r="G653" s="42" t="s">
        <v>763</v>
      </c>
      <c r="H653" s="42" t="s">
        <v>119</v>
      </c>
      <c r="I653" s="42" t="s">
        <v>854</v>
      </c>
    </row>
    <row r="654" spans="1:9">
      <c r="A654" s="42" t="s">
        <v>759</v>
      </c>
      <c r="B654" s="42" t="s">
        <v>290</v>
      </c>
      <c r="C654" s="42" t="s">
        <v>766</v>
      </c>
      <c r="D654" s="42" t="s">
        <v>162</v>
      </c>
      <c r="E654" s="42" t="s">
        <v>808</v>
      </c>
      <c r="F654" s="45">
        <v>1273022087.902223</v>
      </c>
      <c r="G654" s="42" t="s">
        <v>763</v>
      </c>
      <c r="H654" s="42" t="s">
        <v>104</v>
      </c>
      <c r="I654" s="42" t="s">
        <v>853</v>
      </c>
    </row>
    <row r="655" spans="1:9">
      <c r="A655" s="42" t="s">
        <v>759</v>
      </c>
      <c r="B655" s="42" t="s">
        <v>290</v>
      </c>
      <c r="C655" s="42" t="s">
        <v>826</v>
      </c>
      <c r="D655" s="42" t="s">
        <v>162</v>
      </c>
      <c r="E655" s="42" t="s">
        <v>808</v>
      </c>
      <c r="F655" s="45">
        <v>1274000000</v>
      </c>
      <c r="G655" s="42" t="s">
        <v>763</v>
      </c>
      <c r="H655" s="42" t="s">
        <v>119</v>
      </c>
      <c r="I655" s="42" t="s">
        <v>854</v>
      </c>
    </row>
    <row r="656" spans="1:9">
      <c r="A656" s="42" t="s">
        <v>759</v>
      </c>
      <c r="B656" s="42" t="s">
        <v>291</v>
      </c>
      <c r="C656" s="42" t="s">
        <v>767</v>
      </c>
      <c r="D656" s="42" t="s">
        <v>162</v>
      </c>
      <c r="E656" s="42" t="s">
        <v>808</v>
      </c>
      <c r="F656" s="45">
        <v>31245566.03457078</v>
      </c>
      <c r="G656" s="42" t="s">
        <v>763</v>
      </c>
      <c r="H656" s="42" t="s">
        <v>104</v>
      </c>
      <c r="I656" s="42" t="s">
        <v>853</v>
      </c>
    </row>
    <row r="657" spans="1:9">
      <c r="A657" s="42" t="s">
        <v>759</v>
      </c>
      <c r="B657" s="42" t="s">
        <v>291</v>
      </c>
      <c r="C657" s="42" t="s">
        <v>827</v>
      </c>
      <c r="D657" s="42" t="s">
        <v>162</v>
      </c>
      <c r="E657" s="42" t="s">
        <v>808</v>
      </c>
      <c r="F657" s="45">
        <v>33000000</v>
      </c>
      <c r="G657" s="42" t="s">
        <v>763</v>
      </c>
      <c r="H657" s="42" t="s">
        <v>119</v>
      </c>
      <c r="I657" s="42" t="s">
        <v>854</v>
      </c>
    </row>
    <row r="658" spans="1:9">
      <c r="A658" s="42" t="s">
        <v>759</v>
      </c>
      <c r="B658" s="42" t="s">
        <v>292</v>
      </c>
      <c r="C658" s="42" t="s">
        <v>768</v>
      </c>
      <c r="D658" s="42" t="s">
        <v>162</v>
      </c>
      <c r="E658" s="42" t="s">
        <v>808</v>
      </c>
      <c r="F658" s="45">
        <v>174197893.2554979</v>
      </c>
      <c r="G658" s="42" t="s">
        <v>763</v>
      </c>
      <c r="H658" s="42" t="s">
        <v>104</v>
      </c>
      <c r="I658" s="42" t="s">
        <v>853</v>
      </c>
    </row>
    <row r="659" spans="1:9">
      <c r="A659" s="42" t="s">
        <v>759</v>
      </c>
      <c r="B659" s="42" t="s">
        <v>292</v>
      </c>
      <c r="C659" s="42" t="s">
        <v>828</v>
      </c>
      <c r="D659" s="42" t="s">
        <v>162</v>
      </c>
      <c r="E659" s="42" t="s">
        <v>808</v>
      </c>
      <c r="F659" s="45">
        <v>175000000</v>
      </c>
      <c r="G659" s="42" t="s">
        <v>763</v>
      </c>
      <c r="H659" s="42" t="s">
        <v>119</v>
      </c>
      <c r="I659" s="42" t="s">
        <v>854</v>
      </c>
    </row>
    <row r="660" spans="1:9">
      <c r="A660" s="42" t="s">
        <v>759</v>
      </c>
      <c r="B660" s="42" t="s">
        <v>293</v>
      </c>
      <c r="C660" s="42" t="s">
        <v>769</v>
      </c>
      <c r="D660" s="42" t="s">
        <v>162</v>
      </c>
      <c r="E660" s="42" t="s">
        <v>808</v>
      </c>
      <c r="F660" s="45">
        <v>101390613.8611348</v>
      </c>
      <c r="G660" s="42" t="s">
        <v>763</v>
      </c>
      <c r="H660" s="42" t="s">
        <v>104</v>
      </c>
      <c r="I660" s="42" t="s">
        <v>853</v>
      </c>
    </row>
    <row r="661" spans="1:9">
      <c r="A661" s="42" t="s">
        <v>759</v>
      </c>
      <c r="B661" s="42" t="s">
        <v>293</v>
      </c>
      <c r="C661" s="42" t="s">
        <v>829</v>
      </c>
      <c r="D661" s="42" t="s">
        <v>162</v>
      </c>
      <c r="E661" s="42" t="s">
        <v>808</v>
      </c>
      <c r="F661" s="45">
        <v>101000000</v>
      </c>
      <c r="G661" s="42" t="s">
        <v>763</v>
      </c>
      <c r="H661" s="42" t="s">
        <v>119</v>
      </c>
      <c r="I661" s="42" t="s">
        <v>854</v>
      </c>
    </row>
    <row r="662" spans="1:9">
      <c r="A662" s="42" t="s">
        <v>759</v>
      </c>
      <c r="B662" s="42" t="s">
        <v>296</v>
      </c>
      <c r="C662" s="42" t="s">
        <v>771</v>
      </c>
      <c r="D662" s="42" t="s">
        <v>162</v>
      </c>
      <c r="E662" s="42" t="s">
        <v>808</v>
      </c>
      <c r="F662" s="45">
        <v>18964311493.51809</v>
      </c>
      <c r="G662" s="42" t="s">
        <v>763</v>
      </c>
      <c r="H662" s="42" t="s">
        <v>104</v>
      </c>
      <c r="I662" s="42" t="s">
        <v>853</v>
      </c>
    </row>
    <row r="663" spans="1:9">
      <c r="A663" s="42" t="s">
        <v>759</v>
      </c>
      <c r="B663" s="42" t="s">
        <v>239</v>
      </c>
      <c r="C663" s="42" t="s">
        <v>830</v>
      </c>
      <c r="D663" s="42" t="s">
        <v>162</v>
      </c>
      <c r="E663" s="42" t="s">
        <v>808</v>
      </c>
      <c r="F663" s="45">
        <v>18985000000</v>
      </c>
      <c r="G663" s="42" t="s">
        <v>763</v>
      </c>
      <c r="H663" s="42" t="s">
        <v>119</v>
      </c>
      <c r="I663" s="42" t="s">
        <v>854</v>
      </c>
    </row>
    <row r="664" spans="1:9">
      <c r="A664" s="42" t="s">
        <v>759</v>
      </c>
      <c r="B664" s="42" t="s">
        <v>810</v>
      </c>
      <c r="C664" s="42" t="s">
        <v>818</v>
      </c>
      <c r="D664" s="42" t="s">
        <v>162</v>
      </c>
      <c r="E664" s="42" t="s">
        <v>808</v>
      </c>
      <c r="F664" s="45">
        <v>6000000</v>
      </c>
      <c r="G664" s="42" t="s">
        <v>763</v>
      </c>
      <c r="H664" s="42" t="s">
        <v>119</v>
      </c>
      <c r="I664" s="42" t="s">
        <v>854</v>
      </c>
    </row>
    <row r="665" spans="1:9">
      <c r="A665" s="42" t="s">
        <v>759</v>
      </c>
      <c r="B665" s="42" t="s">
        <v>241</v>
      </c>
      <c r="C665" s="42" t="s">
        <v>772</v>
      </c>
      <c r="D665" s="42" t="s">
        <v>162</v>
      </c>
      <c r="E665" s="42" t="s">
        <v>808</v>
      </c>
      <c r="F665" s="45">
        <v>1191000000</v>
      </c>
      <c r="G665" s="42" t="s">
        <v>763</v>
      </c>
      <c r="H665" s="42" t="s">
        <v>119</v>
      </c>
      <c r="I665" s="42" t="s">
        <v>854</v>
      </c>
    </row>
    <row r="666" spans="1:9">
      <c r="A666" s="42" t="s">
        <v>759</v>
      </c>
      <c r="B666" s="42" t="s">
        <v>242</v>
      </c>
      <c r="C666" s="42" t="s">
        <v>773</v>
      </c>
      <c r="D666" s="42" t="s">
        <v>162</v>
      </c>
      <c r="E666" s="42" t="s">
        <v>808</v>
      </c>
      <c r="F666" s="45">
        <v>10000000</v>
      </c>
      <c r="G666" s="42" t="s">
        <v>763</v>
      </c>
      <c r="H666" s="42" t="s">
        <v>119</v>
      </c>
      <c r="I666" s="42" t="s">
        <v>854</v>
      </c>
    </row>
    <row r="667" spans="1:9">
      <c r="A667" s="42" t="s">
        <v>759</v>
      </c>
      <c r="B667" s="42" t="s">
        <v>292</v>
      </c>
      <c r="C667" s="42" t="s">
        <v>774</v>
      </c>
      <c r="D667" s="42" t="s">
        <v>162</v>
      </c>
      <c r="E667" s="42" t="s">
        <v>808</v>
      </c>
      <c r="F667" s="45">
        <v>409000000</v>
      </c>
      <c r="G667" s="42" t="s">
        <v>763</v>
      </c>
      <c r="H667" s="42" t="s">
        <v>119</v>
      </c>
      <c r="I667" s="42" t="s">
        <v>854</v>
      </c>
    </row>
    <row r="668" spans="1:9">
      <c r="A668" s="42" t="s">
        <v>759</v>
      </c>
      <c r="B668" s="42" t="s">
        <v>293</v>
      </c>
      <c r="C668" s="42" t="s">
        <v>775</v>
      </c>
      <c r="D668" s="42" t="s">
        <v>162</v>
      </c>
      <c r="E668" s="42" t="s">
        <v>808</v>
      </c>
      <c r="F668" s="45">
        <v>1287000000</v>
      </c>
      <c r="G668" s="42" t="s">
        <v>763</v>
      </c>
      <c r="H668" s="42" t="s">
        <v>119</v>
      </c>
      <c r="I668" s="42" t="s">
        <v>854</v>
      </c>
    </row>
    <row r="669" spans="1:9">
      <c r="A669" s="42" t="s">
        <v>759</v>
      </c>
      <c r="B669" s="42" t="s">
        <v>295</v>
      </c>
      <c r="C669" s="42" t="s">
        <v>776</v>
      </c>
      <c r="D669" s="42" t="s">
        <v>162</v>
      </c>
      <c r="E669" s="42" t="s">
        <v>808</v>
      </c>
      <c r="F669" s="45">
        <v>344000000</v>
      </c>
      <c r="G669" s="42" t="s">
        <v>763</v>
      </c>
      <c r="H669" s="42" t="s">
        <v>119</v>
      </c>
      <c r="I669" s="42" t="s">
        <v>854</v>
      </c>
    </row>
    <row r="670" spans="1:9">
      <c r="A670" s="42" t="s">
        <v>759</v>
      </c>
      <c r="B670" s="42" t="s">
        <v>246</v>
      </c>
      <c r="C670" s="42" t="s">
        <v>777</v>
      </c>
      <c r="D670" s="42" t="s">
        <v>162</v>
      </c>
      <c r="E670" s="42" t="s">
        <v>808</v>
      </c>
      <c r="F670" s="45">
        <v>650000000</v>
      </c>
      <c r="G670" s="42" t="s">
        <v>763</v>
      </c>
      <c r="H670" s="42" t="s">
        <v>119</v>
      </c>
      <c r="I670" s="42" t="s">
        <v>854</v>
      </c>
    </row>
    <row r="671" spans="1:9">
      <c r="A671" s="42" t="s">
        <v>759</v>
      </c>
      <c r="B671" s="42" t="s">
        <v>247</v>
      </c>
      <c r="C671" s="42" t="s">
        <v>778</v>
      </c>
      <c r="D671" s="42" t="s">
        <v>162</v>
      </c>
      <c r="E671" s="42" t="s">
        <v>808</v>
      </c>
      <c r="F671" s="45">
        <v>3897000000</v>
      </c>
      <c r="G671" s="42" t="s">
        <v>763</v>
      </c>
      <c r="H671" s="42" t="s">
        <v>119</v>
      </c>
      <c r="I671" s="42" t="s">
        <v>854</v>
      </c>
    </row>
    <row r="672" spans="1:9">
      <c r="A672" s="42" t="s">
        <v>759</v>
      </c>
      <c r="B672" s="42" t="s">
        <v>248</v>
      </c>
      <c r="C672" s="42" t="s">
        <v>779</v>
      </c>
      <c r="D672" s="42" t="s">
        <v>162</v>
      </c>
      <c r="E672" s="42" t="s">
        <v>808</v>
      </c>
      <c r="F672" s="45">
        <v>22882000000</v>
      </c>
      <c r="G672" s="42" t="s">
        <v>763</v>
      </c>
      <c r="H672" s="42" t="s">
        <v>119</v>
      </c>
      <c r="I672" s="42" t="s">
        <v>854</v>
      </c>
    </row>
    <row r="673" spans="1:9">
      <c r="A673" s="42" t="s">
        <v>759</v>
      </c>
      <c r="B673" s="42" t="s">
        <v>297</v>
      </c>
      <c r="C673" s="42" t="s">
        <v>781</v>
      </c>
      <c r="D673" s="42" t="s">
        <v>162</v>
      </c>
      <c r="E673" s="42" t="s">
        <v>808</v>
      </c>
      <c r="F673" s="45">
        <v>4532000000</v>
      </c>
      <c r="G673" s="42" t="s">
        <v>763</v>
      </c>
      <c r="H673" s="42" t="s">
        <v>119</v>
      </c>
      <c r="I673" s="42" t="s">
        <v>854</v>
      </c>
    </row>
    <row r="674" spans="1:9">
      <c r="A674" s="42" t="s">
        <v>759</v>
      </c>
      <c r="B674" s="42" t="s">
        <v>299</v>
      </c>
      <c r="C674" s="42" t="s">
        <v>782</v>
      </c>
      <c r="D674" s="42" t="s">
        <v>162</v>
      </c>
      <c r="E674" s="42" t="s">
        <v>808</v>
      </c>
      <c r="F674" s="45">
        <v>7925427722.450874</v>
      </c>
      <c r="G674" s="42" t="s">
        <v>763</v>
      </c>
      <c r="H674" s="42" t="s">
        <v>108</v>
      </c>
      <c r="I674" s="42" t="s">
        <v>822</v>
      </c>
    </row>
    <row r="675" spans="1:9">
      <c r="A675" s="42" t="s">
        <v>759</v>
      </c>
      <c r="B675" s="42" t="s">
        <v>298</v>
      </c>
      <c r="C675" s="42" t="s">
        <v>855</v>
      </c>
      <c r="D675" s="42" t="s">
        <v>162</v>
      </c>
      <c r="E675" s="42" t="s">
        <v>808</v>
      </c>
      <c r="F675" s="45">
        <v>3525000000</v>
      </c>
      <c r="G675" s="42" t="s">
        <v>763</v>
      </c>
      <c r="H675" s="42" t="s">
        <v>119</v>
      </c>
      <c r="I675" s="42" t="s">
        <v>854</v>
      </c>
    </row>
    <row r="676" spans="1:9">
      <c r="A676" s="42" t="s">
        <v>759</v>
      </c>
      <c r="B676" s="42" t="s">
        <v>260</v>
      </c>
      <c r="C676" s="42" t="s">
        <v>784</v>
      </c>
      <c r="D676" s="42" t="s">
        <v>162</v>
      </c>
      <c r="E676" s="42" t="s">
        <v>808</v>
      </c>
      <c r="F676" s="45">
        <v>8057000000</v>
      </c>
      <c r="G676" s="42" t="s">
        <v>763</v>
      </c>
      <c r="H676" s="42" t="s">
        <v>119</v>
      </c>
      <c r="I676" s="42" t="s">
        <v>854</v>
      </c>
    </row>
    <row r="677" spans="1:9">
      <c r="A677" s="42" t="s">
        <v>759</v>
      </c>
      <c r="B677" s="42" t="s">
        <v>261</v>
      </c>
      <c r="C677" s="42" t="s">
        <v>785</v>
      </c>
      <c r="D677" s="42" t="s">
        <v>162</v>
      </c>
      <c r="E677" s="42" t="s">
        <v>808</v>
      </c>
      <c r="F677" s="45">
        <v>74000000</v>
      </c>
      <c r="G677" s="42" t="s">
        <v>763</v>
      </c>
      <c r="H677" s="42" t="s">
        <v>119</v>
      </c>
      <c r="I677" s="42" t="s">
        <v>854</v>
      </c>
    </row>
    <row r="678" spans="1:9">
      <c r="A678" s="42" t="s">
        <v>759</v>
      </c>
      <c r="B678" s="42" t="s">
        <v>262</v>
      </c>
      <c r="C678" s="42" t="s">
        <v>787</v>
      </c>
      <c r="D678" s="42" t="s">
        <v>162</v>
      </c>
      <c r="E678" s="42" t="s">
        <v>808</v>
      </c>
      <c r="F678" s="45">
        <v>8131000000</v>
      </c>
      <c r="G678" s="42" t="s">
        <v>763</v>
      </c>
      <c r="H678" s="42" t="s">
        <v>119</v>
      </c>
      <c r="I678" s="42" t="s">
        <v>854</v>
      </c>
    </row>
    <row r="679" spans="1:9">
      <c r="A679" s="42" t="s">
        <v>759</v>
      </c>
      <c r="B679" s="42" t="s">
        <v>301</v>
      </c>
      <c r="C679" s="42" t="s">
        <v>788</v>
      </c>
      <c r="D679" s="42" t="s">
        <v>162</v>
      </c>
      <c r="E679" s="42" t="s">
        <v>808</v>
      </c>
      <c r="F679" s="45">
        <v>2216402859.891607</v>
      </c>
      <c r="G679" s="42" t="s">
        <v>763</v>
      </c>
      <c r="H679" s="42" t="s">
        <v>104</v>
      </c>
      <c r="I679" s="42" t="s">
        <v>853</v>
      </c>
    </row>
    <row r="680" spans="1:9">
      <c r="A680" s="42" t="s">
        <v>759</v>
      </c>
      <c r="B680" s="42" t="s">
        <v>303</v>
      </c>
      <c r="C680" s="42" t="s">
        <v>789</v>
      </c>
      <c r="D680" s="42" t="s">
        <v>162</v>
      </c>
      <c r="E680" s="42" t="s">
        <v>808</v>
      </c>
      <c r="F680" s="45">
        <v>1421548462.46823</v>
      </c>
      <c r="G680" s="42" t="s">
        <v>763</v>
      </c>
      <c r="H680" s="42" t="s">
        <v>104</v>
      </c>
      <c r="I680" s="42" t="s">
        <v>853</v>
      </c>
    </row>
    <row r="681" spans="1:9">
      <c r="A681" s="42" t="s">
        <v>759</v>
      </c>
      <c r="B681" s="42" t="s">
        <v>304</v>
      </c>
      <c r="C681" s="42" t="s">
        <v>831</v>
      </c>
      <c r="D681" s="42" t="s">
        <v>162</v>
      </c>
      <c r="E681" s="42" t="s">
        <v>808</v>
      </c>
      <c r="F681" s="45">
        <v>42441200.57415452</v>
      </c>
      <c r="G681" s="42" t="s">
        <v>763</v>
      </c>
      <c r="H681" s="42" t="s">
        <v>104</v>
      </c>
      <c r="I681" s="42" t="s">
        <v>853</v>
      </c>
    </row>
    <row r="682" spans="1:9">
      <c r="A682" s="42" t="s">
        <v>759</v>
      </c>
      <c r="B682" s="42" t="s">
        <v>301</v>
      </c>
      <c r="C682" s="42" t="s">
        <v>832</v>
      </c>
      <c r="D682" s="42" t="s">
        <v>162</v>
      </c>
      <c r="E682" s="42" t="s">
        <v>808</v>
      </c>
      <c r="F682" s="45">
        <v>2219000000</v>
      </c>
      <c r="G682" s="42" t="s">
        <v>763</v>
      </c>
      <c r="H682" s="42" t="s">
        <v>119</v>
      </c>
      <c r="I682" s="42" t="s">
        <v>854</v>
      </c>
    </row>
    <row r="683" spans="1:9">
      <c r="A683" s="42" t="s">
        <v>759</v>
      </c>
      <c r="B683" s="42" t="s">
        <v>305</v>
      </c>
      <c r="C683" s="42" t="s">
        <v>790</v>
      </c>
      <c r="D683" s="42" t="s">
        <v>162</v>
      </c>
      <c r="E683" s="42" t="s">
        <v>808</v>
      </c>
      <c r="F683" s="45">
        <v>2555266.906592893</v>
      </c>
      <c r="G683" s="42" t="s">
        <v>763</v>
      </c>
      <c r="H683" s="42" t="s">
        <v>104</v>
      </c>
      <c r="I683" s="42" t="s">
        <v>853</v>
      </c>
    </row>
    <row r="684" spans="1:9">
      <c r="A684" s="42" t="s">
        <v>759</v>
      </c>
      <c r="B684" s="42" t="s">
        <v>303</v>
      </c>
      <c r="C684" s="42" t="s">
        <v>833</v>
      </c>
      <c r="D684" s="42" t="s">
        <v>162</v>
      </c>
      <c r="E684" s="42" t="s">
        <v>808</v>
      </c>
      <c r="F684" s="45">
        <v>1423000000</v>
      </c>
      <c r="G684" s="42" t="s">
        <v>763</v>
      </c>
      <c r="H684" s="42" t="s">
        <v>119</v>
      </c>
      <c r="I684" s="42" t="s">
        <v>854</v>
      </c>
    </row>
    <row r="685" spans="1:9">
      <c r="A685" s="42" t="s">
        <v>759</v>
      </c>
      <c r="B685" s="42" t="s">
        <v>306</v>
      </c>
      <c r="C685" s="42" t="s">
        <v>856</v>
      </c>
      <c r="D685" s="42" t="s">
        <v>162</v>
      </c>
      <c r="E685" s="42" t="s">
        <v>808</v>
      </c>
      <c r="F685" s="45">
        <v>45875954.69510962</v>
      </c>
      <c r="G685" s="42" t="s">
        <v>763</v>
      </c>
      <c r="H685" s="42" t="s">
        <v>104</v>
      </c>
      <c r="I685" s="42" t="s">
        <v>853</v>
      </c>
    </row>
    <row r="686" spans="1:9">
      <c r="A686" s="42" t="s">
        <v>759</v>
      </c>
      <c r="B686" s="42" t="s">
        <v>304</v>
      </c>
      <c r="C686" s="42" t="s">
        <v>835</v>
      </c>
      <c r="D686" s="42" t="s">
        <v>162</v>
      </c>
      <c r="E686" s="42" t="s">
        <v>808</v>
      </c>
      <c r="F686" s="45">
        <v>42000000</v>
      </c>
      <c r="G686" s="42" t="s">
        <v>763</v>
      </c>
      <c r="H686" s="42" t="s">
        <v>119</v>
      </c>
      <c r="I686" s="42" t="s">
        <v>854</v>
      </c>
    </row>
    <row r="687" spans="1:9">
      <c r="A687" s="42" t="s">
        <v>759</v>
      </c>
      <c r="B687" s="42" t="s">
        <v>307</v>
      </c>
      <c r="C687" s="42" t="s">
        <v>836</v>
      </c>
      <c r="D687" s="42" t="s">
        <v>162</v>
      </c>
      <c r="E687" s="42" t="s">
        <v>808</v>
      </c>
      <c r="F687" s="45">
        <v>287283310.0751787</v>
      </c>
      <c r="G687" s="42" t="s">
        <v>763</v>
      </c>
      <c r="H687" s="42" t="s">
        <v>104</v>
      </c>
      <c r="I687" s="42" t="s">
        <v>853</v>
      </c>
    </row>
    <row r="688" spans="1:9">
      <c r="A688" s="42" t="s">
        <v>759</v>
      </c>
      <c r="B688" s="42" t="s">
        <v>305</v>
      </c>
      <c r="C688" s="42" t="s">
        <v>837</v>
      </c>
      <c r="D688" s="42" t="s">
        <v>162</v>
      </c>
      <c r="E688" s="42" t="s">
        <v>808</v>
      </c>
      <c r="F688" s="45">
        <v>3000000</v>
      </c>
      <c r="G688" s="42" t="s">
        <v>763</v>
      </c>
      <c r="H688" s="42" t="s">
        <v>119</v>
      </c>
      <c r="I688" s="42" t="s">
        <v>854</v>
      </c>
    </row>
    <row r="689" spans="1:9">
      <c r="A689" s="42" t="s">
        <v>759</v>
      </c>
      <c r="B689" s="42" t="s">
        <v>308</v>
      </c>
      <c r="C689" s="42" t="s">
        <v>791</v>
      </c>
      <c r="D689" s="42" t="s">
        <v>162</v>
      </c>
      <c r="E689" s="42" t="s">
        <v>808</v>
      </c>
      <c r="F689" s="45">
        <v>6270209015.096493</v>
      </c>
      <c r="G689" s="42" t="s">
        <v>763</v>
      </c>
      <c r="H689" s="42" t="s">
        <v>104</v>
      </c>
      <c r="I689" s="42" t="s">
        <v>853</v>
      </c>
    </row>
    <row r="690" spans="1:9">
      <c r="A690" s="42" t="s">
        <v>759</v>
      </c>
      <c r="B690" s="42" t="s">
        <v>306</v>
      </c>
      <c r="C690" s="42" t="s">
        <v>857</v>
      </c>
      <c r="D690" s="42" t="s">
        <v>162</v>
      </c>
      <c r="E690" s="42" t="s">
        <v>808</v>
      </c>
      <c r="F690" s="45">
        <v>46000000</v>
      </c>
      <c r="G690" s="42" t="s">
        <v>763</v>
      </c>
      <c r="H690" s="42" t="s">
        <v>119</v>
      </c>
      <c r="I690" s="42" t="s">
        <v>854</v>
      </c>
    </row>
    <row r="691" spans="1:9">
      <c r="A691" s="42" t="s">
        <v>759</v>
      </c>
      <c r="B691" s="42" t="s">
        <v>309</v>
      </c>
      <c r="C691" s="42" t="s">
        <v>792</v>
      </c>
      <c r="D691" s="42" t="s">
        <v>162</v>
      </c>
      <c r="E691" s="42" t="s">
        <v>808</v>
      </c>
      <c r="F691" s="45">
        <v>35191373.53684445</v>
      </c>
      <c r="G691" s="42" t="s">
        <v>763</v>
      </c>
      <c r="H691" s="42" t="s">
        <v>104</v>
      </c>
      <c r="I691" s="42" t="s">
        <v>853</v>
      </c>
    </row>
    <row r="692" spans="1:9">
      <c r="A692" s="42" t="s">
        <v>759</v>
      </c>
      <c r="B692" s="42" t="s">
        <v>307</v>
      </c>
      <c r="C692" s="42" t="s">
        <v>838</v>
      </c>
      <c r="D692" s="42" t="s">
        <v>162</v>
      </c>
      <c r="E692" s="42" t="s">
        <v>808</v>
      </c>
      <c r="F692" s="45">
        <v>288000000</v>
      </c>
      <c r="G692" s="42" t="s">
        <v>763</v>
      </c>
      <c r="H692" s="42" t="s">
        <v>119</v>
      </c>
      <c r="I692" s="42" t="s">
        <v>854</v>
      </c>
    </row>
    <row r="693" spans="1:9">
      <c r="A693" s="42" t="s">
        <v>759</v>
      </c>
      <c r="B693" s="42" t="s">
        <v>310</v>
      </c>
      <c r="C693" s="42" t="s">
        <v>793</v>
      </c>
      <c r="D693" s="42" t="s">
        <v>162</v>
      </c>
      <c r="E693" s="42" t="s">
        <v>808</v>
      </c>
      <c r="F693" s="45">
        <v>8438323.272934671</v>
      </c>
      <c r="G693" s="42" t="s">
        <v>763</v>
      </c>
      <c r="H693" s="42" t="s">
        <v>104</v>
      </c>
      <c r="I693" s="42" t="s">
        <v>853</v>
      </c>
    </row>
    <row r="694" spans="1:9">
      <c r="A694" s="42" t="s">
        <v>759</v>
      </c>
      <c r="B694" s="42" t="s">
        <v>308</v>
      </c>
      <c r="C694" s="42" t="s">
        <v>839</v>
      </c>
      <c r="D694" s="42" t="s">
        <v>162</v>
      </c>
      <c r="E694" s="42" t="s">
        <v>808</v>
      </c>
      <c r="F694" s="45">
        <v>6277000000</v>
      </c>
      <c r="G694" s="42" t="s">
        <v>763</v>
      </c>
      <c r="H694" s="42" t="s">
        <v>119</v>
      </c>
      <c r="I694" s="42" t="s">
        <v>854</v>
      </c>
    </row>
    <row r="695" spans="1:9">
      <c r="A695" s="42" t="s">
        <v>759</v>
      </c>
      <c r="B695" s="42" t="s">
        <v>309</v>
      </c>
      <c r="C695" s="42" t="s">
        <v>840</v>
      </c>
      <c r="D695" s="42" t="s">
        <v>162</v>
      </c>
      <c r="E695" s="42" t="s">
        <v>808</v>
      </c>
      <c r="F695" s="45">
        <v>35000000</v>
      </c>
      <c r="G695" s="42" t="s">
        <v>763</v>
      </c>
      <c r="H695" s="42" t="s">
        <v>119</v>
      </c>
      <c r="I695" s="42" t="s">
        <v>854</v>
      </c>
    </row>
    <row r="696" spans="1:9">
      <c r="A696" s="42" t="s">
        <v>759</v>
      </c>
      <c r="B696" s="42" t="s">
        <v>311</v>
      </c>
      <c r="C696" s="42" t="s">
        <v>794</v>
      </c>
      <c r="D696" s="42" t="s">
        <v>162</v>
      </c>
      <c r="E696" s="42" t="s">
        <v>808</v>
      </c>
      <c r="F696" s="45">
        <v>10329945766.51714</v>
      </c>
      <c r="G696" s="42" t="s">
        <v>763</v>
      </c>
      <c r="H696" s="42" t="s">
        <v>104</v>
      </c>
      <c r="I696" s="42" t="s">
        <v>853</v>
      </c>
    </row>
    <row r="697" spans="1:9">
      <c r="A697" s="42" t="s">
        <v>759</v>
      </c>
      <c r="B697" s="42" t="s">
        <v>310</v>
      </c>
      <c r="C697" s="42" t="s">
        <v>841</v>
      </c>
      <c r="D697" s="42" t="s">
        <v>162</v>
      </c>
      <c r="E697" s="42" t="s">
        <v>808</v>
      </c>
      <c r="F697" s="45">
        <v>8000000</v>
      </c>
      <c r="G697" s="42" t="s">
        <v>763</v>
      </c>
      <c r="H697" s="42" t="s">
        <v>119</v>
      </c>
      <c r="I697" s="42" t="s">
        <v>854</v>
      </c>
    </row>
    <row r="698" spans="1:9">
      <c r="A698" s="42" t="s">
        <v>759</v>
      </c>
      <c r="B698" s="42" t="s">
        <v>273</v>
      </c>
      <c r="C698" s="42" t="s">
        <v>842</v>
      </c>
      <c r="D698" s="42" t="s">
        <v>162</v>
      </c>
      <c r="E698" s="42" t="s">
        <v>808</v>
      </c>
      <c r="F698" s="45">
        <v>10341000000</v>
      </c>
      <c r="G698" s="42" t="s">
        <v>763</v>
      </c>
      <c r="H698" s="42" t="s">
        <v>119</v>
      </c>
      <c r="I698" s="42" t="s">
        <v>854</v>
      </c>
    </row>
    <row r="699" spans="1:9">
      <c r="A699" s="42" t="s">
        <v>759</v>
      </c>
      <c r="B699" s="42" t="s">
        <v>301</v>
      </c>
      <c r="C699" s="42" t="s">
        <v>795</v>
      </c>
      <c r="D699" s="42" t="s">
        <v>162</v>
      </c>
      <c r="E699" s="42" t="s">
        <v>808</v>
      </c>
      <c r="F699" s="45">
        <v>73000000</v>
      </c>
      <c r="G699" s="42" t="s">
        <v>763</v>
      </c>
      <c r="H699" s="42" t="s">
        <v>119</v>
      </c>
      <c r="I699" s="42" t="s">
        <v>854</v>
      </c>
    </row>
    <row r="700" spans="1:9">
      <c r="A700" s="42" t="s">
        <v>759</v>
      </c>
      <c r="B700" s="42" t="s">
        <v>302</v>
      </c>
      <c r="C700" s="42" t="s">
        <v>797</v>
      </c>
      <c r="D700" s="42" t="s">
        <v>162</v>
      </c>
      <c r="E700" s="42" t="s">
        <v>808</v>
      </c>
      <c r="F700" s="45">
        <v>81000000</v>
      </c>
      <c r="G700" s="42" t="s">
        <v>763</v>
      </c>
      <c r="H700" s="42" t="s">
        <v>119</v>
      </c>
      <c r="I700" s="42" t="s">
        <v>854</v>
      </c>
    </row>
    <row r="701" spans="1:9">
      <c r="A701" s="42" t="s">
        <v>759</v>
      </c>
      <c r="B701" s="42" t="s">
        <v>304</v>
      </c>
      <c r="C701" s="42" t="s">
        <v>796</v>
      </c>
      <c r="D701" s="42" t="s">
        <v>162</v>
      </c>
      <c r="E701" s="42" t="s">
        <v>808</v>
      </c>
      <c r="F701" s="45">
        <v>9000000</v>
      </c>
      <c r="G701" s="42" t="s">
        <v>763</v>
      </c>
      <c r="H701" s="42" t="s">
        <v>119</v>
      </c>
      <c r="I701" s="42" t="s">
        <v>854</v>
      </c>
    </row>
    <row r="702" spans="1:9">
      <c r="A702" s="42" t="s">
        <v>759</v>
      </c>
      <c r="B702" s="42" t="s">
        <v>305</v>
      </c>
      <c r="C702" s="42" t="s">
        <v>798</v>
      </c>
      <c r="D702" s="42" t="s">
        <v>162</v>
      </c>
      <c r="E702" s="42" t="s">
        <v>808</v>
      </c>
      <c r="F702" s="45">
        <v>188000000</v>
      </c>
      <c r="G702" s="42" t="s">
        <v>763</v>
      </c>
      <c r="H702" s="42" t="s">
        <v>119</v>
      </c>
      <c r="I702" s="42" t="s">
        <v>854</v>
      </c>
    </row>
    <row r="703" spans="1:9">
      <c r="A703" s="42" t="s">
        <v>759</v>
      </c>
      <c r="B703" s="42" t="s">
        <v>306</v>
      </c>
      <c r="C703" s="42" t="s">
        <v>799</v>
      </c>
      <c r="D703" s="42" t="s">
        <v>162</v>
      </c>
      <c r="E703" s="42" t="s">
        <v>808</v>
      </c>
      <c r="F703" s="45">
        <v>178000000</v>
      </c>
      <c r="G703" s="42" t="s">
        <v>763</v>
      </c>
      <c r="H703" s="42" t="s">
        <v>119</v>
      </c>
      <c r="I703" s="42" t="s">
        <v>854</v>
      </c>
    </row>
    <row r="704" spans="1:9">
      <c r="A704" s="42" t="s">
        <v>759</v>
      </c>
      <c r="B704" s="42" t="s">
        <v>307</v>
      </c>
      <c r="C704" s="42" t="s">
        <v>843</v>
      </c>
      <c r="D704" s="42" t="s">
        <v>162</v>
      </c>
      <c r="E704" s="42" t="s">
        <v>808</v>
      </c>
      <c r="F704" s="45">
        <v>263000000</v>
      </c>
      <c r="G704" s="42" t="s">
        <v>763</v>
      </c>
      <c r="H704" s="42" t="s">
        <v>119</v>
      </c>
      <c r="I704" s="42" t="s">
        <v>854</v>
      </c>
    </row>
    <row r="705" spans="1:9">
      <c r="A705" s="42" t="s">
        <v>759</v>
      </c>
      <c r="B705" s="42" t="s">
        <v>308</v>
      </c>
      <c r="C705" s="42" t="s">
        <v>800</v>
      </c>
      <c r="D705" s="42" t="s">
        <v>162</v>
      </c>
      <c r="E705" s="42" t="s">
        <v>808</v>
      </c>
      <c r="F705" s="45">
        <v>1793000000</v>
      </c>
      <c r="G705" s="42" t="s">
        <v>763</v>
      </c>
      <c r="H705" s="42" t="s">
        <v>119</v>
      </c>
      <c r="I705" s="42" t="s">
        <v>854</v>
      </c>
    </row>
    <row r="706" spans="1:9">
      <c r="A706" s="42" t="s">
        <v>759</v>
      </c>
      <c r="B706" s="42" t="s">
        <v>309</v>
      </c>
      <c r="C706" s="42" t="s">
        <v>801</v>
      </c>
      <c r="D706" s="42" t="s">
        <v>162</v>
      </c>
      <c r="E706" s="42" t="s">
        <v>808</v>
      </c>
      <c r="F706" s="45">
        <v>108000000</v>
      </c>
      <c r="G706" s="42" t="s">
        <v>763</v>
      </c>
      <c r="H706" s="42" t="s">
        <v>119</v>
      </c>
      <c r="I706" s="42" t="s">
        <v>854</v>
      </c>
    </row>
    <row r="707" spans="1:9">
      <c r="A707" s="42" t="s">
        <v>759</v>
      </c>
      <c r="B707" s="42" t="s">
        <v>310</v>
      </c>
      <c r="C707" s="42" t="s">
        <v>802</v>
      </c>
      <c r="D707" s="42" t="s">
        <v>162</v>
      </c>
      <c r="E707" s="42" t="s">
        <v>808</v>
      </c>
      <c r="F707" s="45">
        <v>1717000000</v>
      </c>
      <c r="G707" s="42" t="s">
        <v>763</v>
      </c>
      <c r="H707" s="42" t="s">
        <v>119</v>
      </c>
      <c r="I707" s="42" t="s">
        <v>854</v>
      </c>
    </row>
    <row r="708" spans="1:9">
      <c r="A708" s="42" t="s">
        <v>759</v>
      </c>
      <c r="B708" s="42" t="s">
        <v>284</v>
      </c>
      <c r="C708" s="42" t="s">
        <v>803</v>
      </c>
      <c r="D708" s="42" t="s">
        <v>162</v>
      </c>
      <c r="E708" s="42" t="s">
        <v>808</v>
      </c>
      <c r="F708" s="45">
        <v>4410000000</v>
      </c>
      <c r="G708" s="42" t="s">
        <v>763</v>
      </c>
      <c r="H708" s="42" t="s">
        <v>119</v>
      </c>
      <c r="I708" s="42" t="s">
        <v>854</v>
      </c>
    </row>
    <row r="709" spans="1:9">
      <c r="A709" s="42" t="s">
        <v>759</v>
      </c>
      <c r="B709" s="42" t="s">
        <v>285</v>
      </c>
      <c r="C709" s="42" t="s">
        <v>804</v>
      </c>
      <c r="D709" s="42" t="s">
        <v>162</v>
      </c>
      <c r="E709" s="42" t="s">
        <v>808</v>
      </c>
      <c r="F709" s="45">
        <v>14751000000</v>
      </c>
      <c r="G709" s="42" t="s">
        <v>763</v>
      </c>
      <c r="H709" s="42" t="s">
        <v>119</v>
      </c>
      <c r="I709" s="42" t="s">
        <v>854</v>
      </c>
    </row>
    <row r="710" spans="1:9">
      <c r="A710" s="42" t="s">
        <v>759</v>
      </c>
      <c r="B710" s="42" t="s">
        <v>286</v>
      </c>
      <c r="C710" s="42" t="s">
        <v>806</v>
      </c>
      <c r="D710" s="42" t="s">
        <v>162</v>
      </c>
      <c r="E710" s="42" t="s">
        <v>808</v>
      </c>
      <c r="F710" s="45">
        <v>22882000000</v>
      </c>
      <c r="G710" s="42" t="s">
        <v>763</v>
      </c>
      <c r="H710" s="42" t="s">
        <v>119</v>
      </c>
      <c r="I710" s="42" t="s">
        <v>854</v>
      </c>
    </row>
    <row r="711" spans="1:9">
      <c r="A711" s="42" t="s">
        <v>759</v>
      </c>
      <c r="B711" s="42" t="s">
        <v>287</v>
      </c>
      <c r="C711" s="42" t="s">
        <v>821</v>
      </c>
      <c r="D711" s="42" t="s">
        <v>691</v>
      </c>
      <c r="E711" s="42" t="s">
        <v>762</v>
      </c>
      <c r="F711" s="45">
        <v>419000000</v>
      </c>
      <c r="G711" s="42" t="s">
        <v>763</v>
      </c>
      <c r="H711" s="42" t="s">
        <v>129</v>
      </c>
      <c r="I711" s="42" t="s">
        <v>861</v>
      </c>
    </row>
    <row r="712" spans="1:9">
      <c r="A712" s="42" t="s">
        <v>759</v>
      </c>
      <c r="B712" s="42" t="s">
        <v>288</v>
      </c>
      <c r="C712" s="42" t="s">
        <v>823</v>
      </c>
      <c r="D712" s="42" t="s">
        <v>691</v>
      </c>
      <c r="E712" s="42" t="s">
        <v>762</v>
      </c>
      <c r="F712" s="45">
        <v>16003000000</v>
      </c>
      <c r="G712" s="42" t="s">
        <v>763</v>
      </c>
      <c r="H712" s="42" t="s">
        <v>129</v>
      </c>
      <c r="I712" s="42" t="s">
        <v>861</v>
      </c>
    </row>
    <row r="713" spans="1:9">
      <c r="A713" s="42" t="s">
        <v>759</v>
      </c>
      <c r="B713" s="42" t="s">
        <v>289</v>
      </c>
      <c r="C713" s="42" t="s">
        <v>825</v>
      </c>
      <c r="D713" s="42" t="s">
        <v>691</v>
      </c>
      <c r="E713" s="42" t="s">
        <v>762</v>
      </c>
      <c r="F713" s="45">
        <v>519000000</v>
      </c>
      <c r="G713" s="42" t="s">
        <v>763</v>
      </c>
      <c r="H713" s="42" t="s">
        <v>129</v>
      </c>
      <c r="I713" s="42" t="s">
        <v>861</v>
      </c>
    </row>
    <row r="714" spans="1:9">
      <c r="A714" s="42" t="s">
        <v>759</v>
      </c>
      <c r="B714" s="42" t="s">
        <v>290</v>
      </c>
      <c r="C714" s="42" t="s">
        <v>826</v>
      </c>
      <c r="D714" s="42" t="s">
        <v>691</v>
      </c>
      <c r="E714" s="42" t="s">
        <v>762</v>
      </c>
      <c r="F714" s="45">
        <v>1529000000</v>
      </c>
      <c r="G714" s="42" t="s">
        <v>763</v>
      </c>
      <c r="H714" s="42" t="s">
        <v>129</v>
      </c>
      <c r="I714" s="42" t="s">
        <v>861</v>
      </c>
    </row>
    <row r="715" spans="1:9">
      <c r="A715" s="42" t="s">
        <v>759</v>
      </c>
      <c r="B715" s="42" t="s">
        <v>291</v>
      </c>
      <c r="C715" s="42" t="s">
        <v>827</v>
      </c>
      <c r="D715" s="42" t="s">
        <v>691</v>
      </c>
      <c r="E715" s="42" t="s">
        <v>762</v>
      </c>
      <c r="F715" s="45">
        <v>19000000</v>
      </c>
      <c r="G715" s="42" t="s">
        <v>763</v>
      </c>
      <c r="H715" s="42" t="s">
        <v>129</v>
      </c>
      <c r="I715" s="42" t="s">
        <v>861</v>
      </c>
    </row>
    <row r="716" spans="1:9">
      <c r="A716" s="42" t="s">
        <v>759</v>
      </c>
      <c r="B716" s="42" t="s">
        <v>292</v>
      </c>
      <c r="C716" s="42" t="s">
        <v>828</v>
      </c>
      <c r="D716" s="42" t="s">
        <v>691</v>
      </c>
      <c r="E716" s="42" t="s">
        <v>762</v>
      </c>
      <c r="F716" s="45">
        <v>190000000</v>
      </c>
      <c r="G716" s="42" t="s">
        <v>763</v>
      </c>
      <c r="H716" s="42" t="s">
        <v>129</v>
      </c>
      <c r="I716" s="42" t="s">
        <v>861</v>
      </c>
    </row>
    <row r="717" spans="1:9">
      <c r="A717" s="42" t="s">
        <v>759</v>
      </c>
      <c r="B717" s="42" t="s">
        <v>293</v>
      </c>
      <c r="C717" s="42" t="s">
        <v>829</v>
      </c>
      <c r="D717" s="42" t="s">
        <v>691</v>
      </c>
      <c r="E717" s="42" t="s">
        <v>762</v>
      </c>
      <c r="F717" s="45">
        <v>43000000</v>
      </c>
      <c r="G717" s="42" t="s">
        <v>763</v>
      </c>
      <c r="H717" s="42" t="s">
        <v>129</v>
      </c>
      <c r="I717" s="42" t="s">
        <v>861</v>
      </c>
    </row>
    <row r="718" spans="1:9">
      <c r="A718" s="42" t="s">
        <v>759</v>
      </c>
      <c r="B718" s="42" t="s">
        <v>862</v>
      </c>
      <c r="C718" s="42" t="s">
        <v>863</v>
      </c>
      <c r="D718" s="42" t="s">
        <v>691</v>
      </c>
      <c r="E718" s="42" t="s">
        <v>762</v>
      </c>
      <c r="F718" s="45">
        <v>25000000</v>
      </c>
      <c r="G718" s="42" t="s">
        <v>763</v>
      </c>
      <c r="H718" s="42" t="s">
        <v>129</v>
      </c>
      <c r="I718" s="42" t="s">
        <v>861</v>
      </c>
    </row>
    <row r="719" spans="1:9">
      <c r="A719" s="42" t="s">
        <v>759</v>
      </c>
      <c r="B719" s="42" t="s">
        <v>239</v>
      </c>
      <c r="C719" s="42" t="s">
        <v>830</v>
      </c>
      <c r="D719" s="42" t="s">
        <v>691</v>
      </c>
      <c r="E719" s="42" t="s">
        <v>762</v>
      </c>
      <c r="F719" s="45">
        <v>18747000000</v>
      </c>
      <c r="G719" s="42" t="s">
        <v>763</v>
      </c>
      <c r="H719" s="42" t="s">
        <v>129</v>
      </c>
      <c r="I719" s="42" t="s">
        <v>861</v>
      </c>
    </row>
    <row r="720" spans="1:9">
      <c r="A720" s="42" t="s">
        <v>759</v>
      </c>
      <c r="B720" s="42" t="s">
        <v>810</v>
      </c>
      <c r="C720" s="42" t="s">
        <v>818</v>
      </c>
      <c r="D720" s="42" t="s">
        <v>691</v>
      </c>
      <c r="E720" s="42" t="s">
        <v>762</v>
      </c>
      <c r="F720" s="45">
        <v>1000000</v>
      </c>
      <c r="G720" s="42" t="s">
        <v>763</v>
      </c>
      <c r="H720" s="42" t="s">
        <v>129</v>
      </c>
      <c r="I720" s="42" t="s">
        <v>861</v>
      </c>
    </row>
    <row r="721" spans="1:9">
      <c r="A721" s="42" t="s">
        <v>759</v>
      </c>
      <c r="B721" s="42" t="s">
        <v>241</v>
      </c>
      <c r="C721" s="42" t="s">
        <v>772</v>
      </c>
      <c r="D721" s="42" t="s">
        <v>691</v>
      </c>
      <c r="E721" s="42" t="s">
        <v>762</v>
      </c>
      <c r="F721" s="45">
        <v>1500000000</v>
      </c>
      <c r="G721" s="42" t="s">
        <v>763</v>
      </c>
      <c r="H721" s="42" t="s">
        <v>129</v>
      </c>
      <c r="I721" s="42" t="s">
        <v>861</v>
      </c>
    </row>
    <row r="722" spans="1:9">
      <c r="A722" s="42" t="s">
        <v>759</v>
      </c>
      <c r="B722" s="42" t="s">
        <v>242</v>
      </c>
      <c r="C722" s="42" t="s">
        <v>773</v>
      </c>
      <c r="D722" s="42" t="s">
        <v>691</v>
      </c>
      <c r="E722" s="42" t="s">
        <v>762</v>
      </c>
      <c r="F722" s="45">
        <v>13000000</v>
      </c>
      <c r="G722" s="42" t="s">
        <v>763</v>
      </c>
      <c r="H722" s="42" t="s">
        <v>129</v>
      </c>
      <c r="I722" s="42" t="s">
        <v>861</v>
      </c>
    </row>
    <row r="723" spans="1:9">
      <c r="A723" s="42" t="s">
        <v>759</v>
      </c>
      <c r="B723" s="42" t="s">
        <v>292</v>
      </c>
      <c r="C723" s="42" t="s">
        <v>774</v>
      </c>
      <c r="D723" s="42" t="s">
        <v>691</v>
      </c>
      <c r="E723" s="42" t="s">
        <v>762</v>
      </c>
      <c r="F723" s="45">
        <v>616000000</v>
      </c>
      <c r="G723" s="42" t="s">
        <v>763</v>
      </c>
      <c r="H723" s="42" t="s">
        <v>129</v>
      </c>
      <c r="I723" s="42" t="s">
        <v>861</v>
      </c>
    </row>
    <row r="724" spans="1:9">
      <c r="A724" s="42" t="s">
        <v>759</v>
      </c>
      <c r="B724" s="42" t="s">
        <v>293</v>
      </c>
      <c r="C724" s="42" t="s">
        <v>775</v>
      </c>
      <c r="D724" s="42" t="s">
        <v>691</v>
      </c>
      <c r="E724" s="42" t="s">
        <v>762</v>
      </c>
      <c r="F724" s="45">
        <v>1305000000</v>
      </c>
      <c r="G724" s="42" t="s">
        <v>763</v>
      </c>
      <c r="H724" s="42" t="s">
        <v>129</v>
      </c>
      <c r="I724" s="42" t="s">
        <v>861</v>
      </c>
    </row>
    <row r="725" spans="1:9">
      <c r="A725" s="42" t="s">
        <v>759</v>
      </c>
      <c r="B725" s="42" t="s">
        <v>862</v>
      </c>
      <c r="C725" s="42" t="s">
        <v>776</v>
      </c>
      <c r="D725" s="42" t="s">
        <v>691</v>
      </c>
      <c r="E725" s="42" t="s">
        <v>762</v>
      </c>
      <c r="F725" s="45">
        <v>497000000</v>
      </c>
      <c r="G725" s="42" t="s">
        <v>763</v>
      </c>
      <c r="H725" s="42" t="s">
        <v>129</v>
      </c>
      <c r="I725" s="42" t="s">
        <v>861</v>
      </c>
    </row>
    <row r="726" spans="1:9">
      <c r="A726" s="42" t="s">
        <v>759</v>
      </c>
      <c r="B726" s="42" t="s">
        <v>246</v>
      </c>
      <c r="C726" s="42" t="s">
        <v>777</v>
      </c>
      <c r="D726" s="42" t="s">
        <v>691</v>
      </c>
      <c r="E726" s="42" t="s">
        <v>762</v>
      </c>
      <c r="F726" s="45">
        <v>611000000</v>
      </c>
      <c r="G726" s="42" t="s">
        <v>763</v>
      </c>
      <c r="H726" s="42" t="s">
        <v>129</v>
      </c>
      <c r="I726" s="42" t="s">
        <v>861</v>
      </c>
    </row>
    <row r="727" spans="1:9">
      <c r="A727" s="42" t="s">
        <v>759</v>
      </c>
      <c r="B727" s="42" t="s">
        <v>247</v>
      </c>
      <c r="C727" s="42" t="s">
        <v>778</v>
      </c>
      <c r="D727" s="42" t="s">
        <v>691</v>
      </c>
      <c r="E727" s="42" t="s">
        <v>762</v>
      </c>
      <c r="F727" s="45">
        <v>4543000000</v>
      </c>
      <c r="G727" s="42" t="s">
        <v>763</v>
      </c>
      <c r="H727" s="42" t="s">
        <v>129</v>
      </c>
      <c r="I727" s="42" t="s">
        <v>861</v>
      </c>
    </row>
    <row r="728" spans="1:9">
      <c r="A728" s="42" t="s">
        <v>759</v>
      </c>
      <c r="B728" s="42" t="s">
        <v>248</v>
      </c>
      <c r="C728" s="42" t="s">
        <v>779</v>
      </c>
      <c r="D728" s="42" t="s">
        <v>691</v>
      </c>
      <c r="E728" s="42" t="s">
        <v>762</v>
      </c>
      <c r="F728" s="45">
        <v>23290000000</v>
      </c>
      <c r="G728" s="42" t="s">
        <v>763</v>
      </c>
      <c r="H728" s="42" t="s">
        <v>129</v>
      </c>
      <c r="I728" s="42" t="s">
        <v>861</v>
      </c>
    </row>
    <row r="729" spans="1:9">
      <c r="A729" s="42" t="s">
        <v>759</v>
      </c>
      <c r="B729" s="42" t="s">
        <v>297</v>
      </c>
      <c r="C729" s="42" t="s">
        <v>781</v>
      </c>
      <c r="D729" s="42" t="s">
        <v>691</v>
      </c>
      <c r="E729" s="42" t="s">
        <v>762</v>
      </c>
      <c r="F729" s="45">
        <v>4535000000</v>
      </c>
      <c r="G729" s="42" t="s">
        <v>763</v>
      </c>
      <c r="H729" s="42" t="s">
        <v>129</v>
      </c>
      <c r="I729" s="42" t="s">
        <v>861</v>
      </c>
    </row>
    <row r="730" spans="1:9">
      <c r="A730" s="42" t="s">
        <v>759</v>
      </c>
      <c r="B730" s="42" t="s">
        <v>299</v>
      </c>
      <c r="C730" s="42" t="s">
        <v>782</v>
      </c>
      <c r="D730" s="42" t="s">
        <v>691</v>
      </c>
      <c r="E730" s="42" t="s">
        <v>762</v>
      </c>
      <c r="F730" s="45">
        <v>8077224859.857221</v>
      </c>
      <c r="G730" s="42" t="s">
        <v>763</v>
      </c>
      <c r="H730" s="42" t="s">
        <v>114</v>
      </c>
      <c r="I730" s="42" t="s">
        <v>864</v>
      </c>
    </row>
    <row r="731" spans="1:9">
      <c r="A731" s="42" t="s">
        <v>759</v>
      </c>
      <c r="B731" s="42" t="s">
        <v>298</v>
      </c>
      <c r="C731" s="42" t="s">
        <v>855</v>
      </c>
      <c r="D731" s="42" t="s">
        <v>691</v>
      </c>
      <c r="E731" s="42" t="s">
        <v>762</v>
      </c>
      <c r="F731" s="45">
        <v>3649000000</v>
      </c>
      <c r="G731" s="42" t="s">
        <v>763</v>
      </c>
      <c r="H731" s="42" t="s">
        <v>129</v>
      </c>
      <c r="I731" s="42" t="s">
        <v>861</v>
      </c>
    </row>
    <row r="732" spans="1:9">
      <c r="A732" s="42" t="s">
        <v>759</v>
      </c>
      <c r="B732" s="42" t="s">
        <v>260</v>
      </c>
      <c r="C732" s="42" t="s">
        <v>784</v>
      </c>
      <c r="D732" s="42" t="s">
        <v>691</v>
      </c>
      <c r="E732" s="42" t="s">
        <v>762</v>
      </c>
      <c r="F732" s="45">
        <v>8184000000</v>
      </c>
      <c r="G732" s="42" t="s">
        <v>763</v>
      </c>
      <c r="H732" s="42" t="s">
        <v>129</v>
      </c>
      <c r="I732" s="42" t="s">
        <v>861</v>
      </c>
    </row>
    <row r="733" spans="1:9">
      <c r="A733" s="42" t="s">
        <v>759</v>
      </c>
      <c r="B733" s="42" t="s">
        <v>261</v>
      </c>
      <c r="C733" s="42" t="s">
        <v>785</v>
      </c>
      <c r="D733" s="42" t="s">
        <v>691</v>
      </c>
      <c r="E733" s="42" t="s">
        <v>762</v>
      </c>
      <c r="F733" s="45">
        <v>80000000</v>
      </c>
      <c r="G733" s="42" t="s">
        <v>763</v>
      </c>
      <c r="H733" s="42" t="s">
        <v>129</v>
      </c>
      <c r="I733" s="42" t="s">
        <v>861</v>
      </c>
    </row>
    <row r="734" spans="1:9">
      <c r="A734" s="42" t="s">
        <v>759</v>
      </c>
      <c r="B734" s="42" t="s">
        <v>262</v>
      </c>
      <c r="C734" s="42" t="s">
        <v>787</v>
      </c>
      <c r="D734" s="42" t="s">
        <v>691</v>
      </c>
      <c r="E734" s="42" t="s">
        <v>762</v>
      </c>
      <c r="F734" s="45">
        <v>8264000000</v>
      </c>
      <c r="G734" s="42" t="s">
        <v>763</v>
      </c>
      <c r="H734" s="42" t="s">
        <v>129</v>
      </c>
      <c r="I734" s="42" t="s">
        <v>861</v>
      </c>
    </row>
    <row r="735" spans="1:9">
      <c r="A735" s="42" t="s">
        <v>759</v>
      </c>
      <c r="B735" s="42" t="s">
        <v>301</v>
      </c>
      <c r="C735" s="42" t="s">
        <v>832</v>
      </c>
      <c r="D735" s="42" t="s">
        <v>691</v>
      </c>
      <c r="E735" s="42" t="s">
        <v>762</v>
      </c>
      <c r="F735" s="45">
        <v>2519000000</v>
      </c>
      <c r="G735" s="42" t="s">
        <v>763</v>
      </c>
      <c r="H735" s="42" t="s">
        <v>129</v>
      </c>
      <c r="I735" s="42" t="s">
        <v>861</v>
      </c>
    </row>
    <row r="736" spans="1:9">
      <c r="A736" s="42" t="s">
        <v>759</v>
      </c>
      <c r="B736" s="42" t="s">
        <v>303</v>
      </c>
      <c r="C736" s="42" t="s">
        <v>833</v>
      </c>
      <c r="D736" s="42" t="s">
        <v>691</v>
      </c>
      <c r="E736" s="42" t="s">
        <v>762</v>
      </c>
      <c r="F736" s="45">
        <v>1805000000</v>
      </c>
      <c r="G736" s="42" t="s">
        <v>763</v>
      </c>
      <c r="H736" s="42" t="s">
        <v>129</v>
      </c>
      <c r="I736" s="42" t="s">
        <v>861</v>
      </c>
    </row>
    <row r="737" spans="1:9">
      <c r="A737" s="42" t="s">
        <v>759</v>
      </c>
      <c r="B737" s="42" t="s">
        <v>304</v>
      </c>
      <c r="C737" s="42" t="s">
        <v>835</v>
      </c>
      <c r="D737" s="42" t="s">
        <v>691</v>
      </c>
      <c r="E737" s="42" t="s">
        <v>762</v>
      </c>
      <c r="F737" s="45">
        <v>29000000</v>
      </c>
      <c r="G737" s="42" t="s">
        <v>763</v>
      </c>
      <c r="H737" s="42" t="s">
        <v>129</v>
      </c>
      <c r="I737" s="42" t="s">
        <v>861</v>
      </c>
    </row>
    <row r="738" spans="1:9">
      <c r="A738" s="42" t="s">
        <v>759</v>
      </c>
      <c r="B738" s="42" t="s">
        <v>305</v>
      </c>
      <c r="C738" s="42" t="s">
        <v>837</v>
      </c>
      <c r="D738" s="42" t="s">
        <v>691</v>
      </c>
      <c r="E738" s="42" t="s">
        <v>762</v>
      </c>
      <c r="F738" s="45">
        <v>2000000</v>
      </c>
      <c r="G738" s="42" t="s">
        <v>763</v>
      </c>
      <c r="H738" s="42" t="s">
        <v>129</v>
      </c>
      <c r="I738" s="42" t="s">
        <v>861</v>
      </c>
    </row>
    <row r="739" spans="1:9">
      <c r="A739" s="42" t="s">
        <v>759</v>
      </c>
      <c r="B739" s="42" t="s">
        <v>306</v>
      </c>
      <c r="C739" s="42" t="s">
        <v>857</v>
      </c>
      <c r="D739" s="42" t="s">
        <v>691</v>
      </c>
      <c r="E739" s="42" t="s">
        <v>762</v>
      </c>
      <c r="F739" s="45">
        <v>32000000</v>
      </c>
      <c r="G739" s="42" t="s">
        <v>763</v>
      </c>
      <c r="H739" s="42" t="s">
        <v>129</v>
      </c>
      <c r="I739" s="42" t="s">
        <v>861</v>
      </c>
    </row>
    <row r="740" spans="1:9">
      <c r="A740" s="42" t="s">
        <v>759</v>
      </c>
      <c r="B740" s="42" t="s">
        <v>307</v>
      </c>
      <c r="C740" s="42" t="s">
        <v>838</v>
      </c>
      <c r="D740" s="42" t="s">
        <v>691</v>
      </c>
      <c r="E740" s="42" t="s">
        <v>762</v>
      </c>
      <c r="F740" s="45">
        <v>276000000</v>
      </c>
      <c r="G740" s="42" t="s">
        <v>763</v>
      </c>
      <c r="H740" s="42" t="s">
        <v>129</v>
      </c>
      <c r="I740" s="42" t="s">
        <v>861</v>
      </c>
    </row>
    <row r="741" spans="1:9">
      <c r="A741" s="42" t="s">
        <v>759</v>
      </c>
      <c r="B741" s="42" t="s">
        <v>308</v>
      </c>
      <c r="C741" s="42" t="s">
        <v>839</v>
      </c>
      <c r="D741" s="42" t="s">
        <v>691</v>
      </c>
      <c r="E741" s="42" t="s">
        <v>762</v>
      </c>
      <c r="F741" s="45">
        <v>6534000000</v>
      </c>
      <c r="G741" s="42" t="s">
        <v>763</v>
      </c>
      <c r="H741" s="42" t="s">
        <v>129</v>
      </c>
      <c r="I741" s="42" t="s">
        <v>861</v>
      </c>
    </row>
    <row r="742" spans="1:9">
      <c r="A742" s="42" t="s">
        <v>759</v>
      </c>
      <c r="B742" s="42" t="s">
        <v>309</v>
      </c>
      <c r="C742" s="42" t="s">
        <v>840</v>
      </c>
      <c r="D742" s="42" t="s">
        <v>691</v>
      </c>
      <c r="E742" s="42" t="s">
        <v>762</v>
      </c>
      <c r="F742" s="45">
        <v>9000000</v>
      </c>
      <c r="G742" s="42" t="s">
        <v>763</v>
      </c>
      <c r="H742" s="42" t="s">
        <v>129</v>
      </c>
      <c r="I742" s="42" t="s">
        <v>861</v>
      </c>
    </row>
    <row r="743" spans="1:9">
      <c r="A743" s="42" t="s">
        <v>759</v>
      </c>
      <c r="B743" s="42" t="s">
        <v>310</v>
      </c>
      <c r="C743" s="42" t="s">
        <v>841</v>
      </c>
      <c r="D743" s="42" t="s">
        <v>691</v>
      </c>
      <c r="E743" s="42" t="s">
        <v>762</v>
      </c>
      <c r="F743" s="45">
        <v>9000000</v>
      </c>
      <c r="G743" s="42" t="s">
        <v>763</v>
      </c>
      <c r="H743" s="42" t="s">
        <v>129</v>
      </c>
      <c r="I743" s="42" t="s">
        <v>861</v>
      </c>
    </row>
    <row r="744" spans="1:9">
      <c r="A744" s="42" t="s">
        <v>759</v>
      </c>
      <c r="B744" s="42" t="s">
        <v>273</v>
      </c>
      <c r="C744" s="42" t="s">
        <v>842</v>
      </c>
      <c r="D744" s="42" t="s">
        <v>691</v>
      </c>
      <c r="E744" s="42" t="s">
        <v>762</v>
      </c>
      <c r="F744" s="45">
        <v>11215000000</v>
      </c>
      <c r="G744" s="42" t="s">
        <v>763</v>
      </c>
      <c r="H744" s="42" t="s">
        <v>129</v>
      </c>
      <c r="I744" s="42" t="s">
        <v>861</v>
      </c>
    </row>
    <row r="745" spans="1:9">
      <c r="A745" s="42" t="s">
        <v>759</v>
      </c>
      <c r="B745" s="42" t="s">
        <v>301</v>
      </c>
      <c r="C745" s="42" t="s">
        <v>795</v>
      </c>
      <c r="D745" s="42" t="s">
        <v>691</v>
      </c>
      <c r="E745" s="42" t="s">
        <v>762</v>
      </c>
      <c r="F745" s="45">
        <v>188000000</v>
      </c>
      <c r="G745" s="42" t="s">
        <v>763</v>
      </c>
      <c r="H745" s="42" t="s">
        <v>129</v>
      </c>
      <c r="I745" s="42" t="s">
        <v>861</v>
      </c>
    </row>
    <row r="746" spans="1:9">
      <c r="A746" s="42" t="s">
        <v>759</v>
      </c>
      <c r="B746" s="42" t="s">
        <v>302</v>
      </c>
      <c r="C746" s="42" t="s">
        <v>797</v>
      </c>
      <c r="D746" s="42" t="s">
        <v>691</v>
      </c>
      <c r="E746" s="42" t="s">
        <v>762</v>
      </c>
      <c r="F746" s="45">
        <v>130000000</v>
      </c>
      <c r="G746" s="42" t="s">
        <v>763</v>
      </c>
      <c r="H746" s="42" t="s">
        <v>129</v>
      </c>
      <c r="I746" s="42" t="s">
        <v>861</v>
      </c>
    </row>
    <row r="747" spans="1:9">
      <c r="A747" s="42" t="s">
        <v>759</v>
      </c>
      <c r="B747" s="42" t="s">
        <v>304</v>
      </c>
      <c r="C747" s="42" t="s">
        <v>796</v>
      </c>
      <c r="D747" s="42" t="s">
        <v>691</v>
      </c>
      <c r="E747" s="42" t="s">
        <v>762</v>
      </c>
      <c r="F747" s="45">
        <v>13000000</v>
      </c>
      <c r="G747" s="42" t="s">
        <v>763</v>
      </c>
      <c r="H747" s="42" t="s">
        <v>129</v>
      </c>
      <c r="I747" s="42" t="s">
        <v>861</v>
      </c>
    </row>
    <row r="748" spans="1:9">
      <c r="A748" s="42" t="s">
        <v>759</v>
      </c>
      <c r="B748" s="42" t="s">
        <v>305</v>
      </c>
      <c r="C748" s="42" t="s">
        <v>798</v>
      </c>
      <c r="D748" s="42" t="s">
        <v>691</v>
      </c>
      <c r="E748" s="42" t="s">
        <v>762</v>
      </c>
      <c r="F748" s="45">
        <v>143000000</v>
      </c>
      <c r="G748" s="42" t="s">
        <v>763</v>
      </c>
      <c r="H748" s="42" t="s">
        <v>129</v>
      </c>
      <c r="I748" s="42" t="s">
        <v>861</v>
      </c>
    </row>
    <row r="749" spans="1:9">
      <c r="A749" s="42" t="s">
        <v>759</v>
      </c>
      <c r="B749" s="42" t="s">
        <v>306</v>
      </c>
      <c r="C749" s="42" t="s">
        <v>799</v>
      </c>
      <c r="D749" s="42" t="s">
        <v>691</v>
      </c>
      <c r="E749" s="42" t="s">
        <v>762</v>
      </c>
      <c r="F749" s="45">
        <v>229000000</v>
      </c>
      <c r="G749" s="42" t="s">
        <v>763</v>
      </c>
      <c r="H749" s="42" t="s">
        <v>129</v>
      </c>
      <c r="I749" s="42" t="s">
        <v>861</v>
      </c>
    </row>
    <row r="750" spans="1:9">
      <c r="A750" s="42" t="s">
        <v>759</v>
      </c>
      <c r="B750" s="42" t="s">
        <v>307</v>
      </c>
      <c r="C750" s="42" t="s">
        <v>843</v>
      </c>
      <c r="D750" s="42" t="s">
        <v>691</v>
      </c>
      <c r="E750" s="42" t="s">
        <v>762</v>
      </c>
      <c r="F750" s="45">
        <v>266000000</v>
      </c>
      <c r="G750" s="42" t="s">
        <v>763</v>
      </c>
      <c r="H750" s="42" t="s">
        <v>129</v>
      </c>
      <c r="I750" s="42" t="s">
        <v>861</v>
      </c>
    </row>
    <row r="751" spans="1:9">
      <c r="A751" s="42" t="s">
        <v>759</v>
      </c>
      <c r="B751" s="42" t="s">
        <v>308</v>
      </c>
      <c r="C751" s="42" t="s">
        <v>800</v>
      </c>
      <c r="D751" s="42" t="s">
        <v>691</v>
      </c>
      <c r="E751" s="42" t="s">
        <v>762</v>
      </c>
      <c r="F751" s="45">
        <v>845000000</v>
      </c>
      <c r="G751" s="42" t="s">
        <v>763</v>
      </c>
      <c r="H751" s="42" t="s">
        <v>129</v>
      </c>
      <c r="I751" s="42" t="s">
        <v>861</v>
      </c>
    </row>
    <row r="752" spans="1:9">
      <c r="A752" s="42" t="s">
        <v>759</v>
      </c>
      <c r="B752" s="42" t="s">
        <v>309</v>
      </c>
      <c r="C752" s="42" t="s">
        <v>801</v>
      </c>
      <c r="D752" s="42" t="s">
        <v>691</v>
      </c>
      <c r="E752" s="42" t="s">
        <v>762</v>
      </c>
      <c r="F752" s="45">
        <v>34000000</v>
      </c>
      <c r="G752" s="42" t="s">
        <v>763</v>
      </c>
      <c r="H752" s="42" t="s">
        <v>129</v>
      </c>
      <c r="I752" s="42" t="s">
        <v>861</v>
      </c>
    </row>
    <row r="753" spans="1:9">
      <c r="A753" s="42" t="s">
        <v>759</v>
      </c>
      <c r="B753" s="42" t="s">
        <v>310</v>
      </c>
      <c r="C753" s="42" t="s">
        <v>802</v>
      </c>
      <c r="D753" s="42" t="s">
        <v>691</v>
      </c>
      <c r="E753" s="42" t="s">
        <v>762</v>
      </c>
      <c r="F753" s="45">
        <v>1963000000</v>
      </c>
      <c r="G753" s="42" t="s">
        <v>763</v>
      </c>
      <c r="H753" s="42" t="s">
        <v>129</v>
      </c>
      <c r="I753" s="42" t="s">
        <v>861</v>
      </c>
    </row>
    <row r="754" spans="1:9">
      <c r="A754" s="42" t="s">
        <v>759</v>
      </c>
      <c r="B754" s="42" t="s">
        <v>284</v>
      </c>
      <c r="C754" s="42" t="s">
        <v>803</v>
      </c>
      <c r="D754" s="42" t="s">
        <v>691</v>
      </c>
      <c r="E754" s="42" t="s">
        <v>762</v>
      </c>
      <c r="F754" s="45">
        <v>3811000000</v>
      </c>
      <c r="G754" s="42" t="s">
        <v>763</v>
      </c>
      <c r="H754" s="42" t="s">
        <v>129</v>
      </c>
      <c r="I754" s="42" t="s">
        <v>861</v>
      </c>
    </row>
    <row r="755" spans="1:9">
      <c r="A755" s="42" t="s">
        <v>759</v>
      </c>
      <c r="B755" s="42" t="s">
        <v>285</v>
      </c>
      <c r="C755" s="42" t="s">
        <v>804</v>
      </c>
      <c r="D755" s="42" t="s">
        <v>691</v>
      </c>
      <c r="E755" s="42" t="s">
        <v>762</v>
      </c>
      <c r="F755" s="45">
        <v>15026000000</v>
      </c>
      <c r="G755" s="42" t="s">
        <v>763</v>
      </c>
      <c r="H755" s="42" t="s">
        <v>129</v>
      </c>
      <c r="I755" s="42" t="s">
        <v>861</v>
      </c>
    </row>
    <row r="756" spans="1:9">
      <c r="A756" s="42" t="s">
        <v>759</v>
      </c>
      <c r="B756" s="42" t="s">
        <v>286</v>
      </c>
      <c r="C756" s="42" t="s">
        <v>806</v>
      </c>
      <c r="D756" s="42" t="s">
        <v>691</v>
      </c>
      <c r="E756" s="42" t="s">
        <v>762</v>
      </c>
      <c r="F756" s="45">
        <v>23290000000</v>
      </c>
      <c r="G756" s="42" t="s">
        <v>763</v>
      </c>
      <c r="H756" s="42" t="s">
        <v>129</v>
      </c>
      <c r="I756" s="42" t="s">
        <v>861</v>
      </c>
    </row>
    <row r="757" spans="1:9">
      <c r="A757" s="42" t="s">
        <v>759</v>
      </c>
      <c r="B757" s="42" t="s">
        <v>287</v>
      </c>
      <c r="C757" s="42" t="s">
        <v>760</v>
      </c>
      <c r="D757" s="42" t="s">
        <v>163</v>
      </c>
      <c r="E757" s="42" t="s">
        <v>808</v>
      </c>
      <c r="F757" s="45">
        <v>459498933.095119</v>
      </c>
      <c r="G757" s="42" t="s">
        <v>763</v>
      </c>
      <c r="H757" s="42" t="s">
        <v>100</v>
      </c>
      <c r="I757" s="42" t="s">
        <v>865</v>
      </c>
    </row>
    <row r="758" spans="1:9">
      <c r="A758" s="42" t="s">
        <v>759</v>
      </c>
      <c r="B758" s="42" t="s">
        <v>288</v>
      </c>
      <c r="C758" s="42" t="s">
        <v>765</v>
      </c>
      <c r="D758" s="42" t="s">
        <v>163</v>
      </c>
      <c r="E758" s="42" t="s">
        <v>808</v>
      </c>
      <c r="F758" s="45">
        <v>16114718687.63152</v>
      </c>
      <c r="G758" s="42" t="s">
        <v>763</v>
      </c>
      <c r="H758" s="42" t="s">
        <v>100</v>
      </c>
      <c r="I758" s="42" t="s">
        <v>865</v>
      </c>
    </row>
    <row r="759" spans="1:9">
      <c r="A759" s="42" t="s">
        <v>759</v>
      </c>
      <c r="B759" s="42" t="s">
        <v>289</v>
      </c>
      <c r="C759" s="42" t="s">
        <v>824</v>
      </c>
      <c r="D759" s="42" t="s">
        <v>163</v>
      </c>
      <c r="E759" s="42" t="s">
        <v>808</v>
      </c>
      <c r="F759" s="45">
        <v>526011365.6100468</v>
      </c>
      <c r="G759" s="42" t="s">
        <v>763</v>
      </c>
      <c r="H759" s="42" t="s">
        <v>100</v>
      </c>
      <c r="I759" s="42" t="s">
        <v>865</v>
      </c>
    </row>
    <row r="760" spans="1:9">
      <c r="A760" s="42" t="s">
        <v>759</v>
      </c>
      <c r="B760" s="42" t="s">
        <v>290</v>
      </c>
      <c r="C760" s="42" t="s">
        <v>766</v>
      </c>
      <c r="D760" s="42" t="s">
        <v>163</v>
      </c>
      <c r="E760" s="42" t="s">
        <v>808</v>
      </c>
      <c r="F760" s="45">
        <v>1300993181.861539</v>
      </c>
      <c r="G760" s="42" t="s">
        <v>763</v>
      </c>
      <c r="H760" s="42" t="s">
        <v>100</v>
      </c>
      <c r="I760" s="42" t="s">
        <v>865</v>
      </c>
    </row>
    <row r="761" spans="1:9">
      <c r="A761" s="42" t="s">
        <v>759</v>
      </c>
      <c r="B761" s="42" t="s">
        <v>291</v>
      </c>
      <c r="C761" s="42" t="s">
        <v>767</v>
      </c>
      <c r="D761" s="42" t="s">
        <v>163</v>
      </c>
      <c r="E761" s="42" t="s">
        <v>808</v>
      </c>
      <c r="F761" s="45">
        <v>29244596.83967894</v>
      </c>
      <c r="G761" s="42" t="s">
        <v>763</v>
      </c>
      <c r="H761" s="42" t="s">
        <v>100</v>
      </c>
      <c r="I761" s="42" t="s">
        <v>865</v>
      </c>
    </row>
    <row r="762" spans="1:9">
      <c r="A762" s="42" t="s">
        <v>759</v>
      </c>
      <c r="B762" s="42" t="s">
        <v>292</v>
      </c>
      <c r="C762" s="42" t="s">
        <v>768</v>
      </c>
      <c r="D762" s="42" t="s">
        <v>163</v>
      </c>
      <c r="E762" s="42" t="s">
        <v>808</v>
      </c>
      <c r="F762" s="45">
        <v>162552123.400327</v>
      </c>
      <c r="G762" s="42" t="s">
        <v>763</v>
      </c>
      <c r="H762" s="42" t="s">
        <v>100</v>
      </c>
      <c r="I762" s="42" t="s">
        <v>865</v>
      </c>
    </row>
    <row r="763" spans="1:9">
      <c r="A763" s="42" t="s">
        <v>759</v>
      </c>
      <c r="B763" s="42" t="s">
        <v>293</v>
      </c>
      <c r="C763" s="42" t="s">
        <v>769</v>
      </c>
      <c r="D763" s="42" t="s">
        <v>163</v>
      </c>
      <c r="E763" s="42" t="s">
        <v>808</v>
      </c>
      <c r="F763" s="45">
        <v>56304002.61438559</v>
      </c>
      <c r="G763" s="42" t="s">
        <v>763</v>
      </c>
      <c r="H763" s="42" t="s">
        <v>100</v>
      </c>
      <c r="I763" s="42" t="s">
        <v>865</v>
      </c>
    </row>
    <row r="764" spans="1:9">
      <c r="A764" s="42" t="s">
        <v>759</v>
      </c>
      <c r="B764" s="42" t="s">
        <v>296</v>
      </c>
      <c r="C764" s="42" t="s">
        <v>771</v>
      </c>
      <c r="D764" s="42" t="s">
        <v>163</v>
      </c>
      <c r="E764" s="42" t="s">
        <v>808</v>
      </c>
      <c r="F764" s="45">
        <v>18649322891.05261</v>
      </c>
      <c r="G764" s="42" t="s">
        <v>763</v>
      </c>
      <c r="H764" s="42" t="s">
        <v>100</v>
      </c>
      <c r="I764" s="42" t="s">
        <v>865</v>
      </c>
    </row>
    <row r="765" spans="1:9">
      <c r="A765" s="42" t="s">
        <v>759</v>
      </c>
      <c r="B765" s="42" t="s">
        <v>810</v>
      </c>
      <c r="C765" s="42" t="s">
        <v>818</v>
      </c>
      <c r="D765" s="42" t="s">
        <v>163</v>
      </c>
      <c r="E765" s="42" t="s">
        <v>808</v>
      </c>
      <c r="F765" s="45">
        <v>5870662.562612129</v>
      </c>
      <c r="G765" s="42" t="s">
        <v>763</v>
      </c>
      <c r="H765" s="42" t="s">
        <v>100</v>
      </c>
      <c r="I765" s="42" t="s">
        <v>865</v>
      </c>
    </row>
    <row r="766" spans="1:9">
      <c r="A766" s="42" t="s">
        <v>759</v>
      </c>
      <c r="B766" s="42" t="s">
        <v>241</v>
      </c>
      <c r="C766" s="42" t="s">
        <v>772</v>
      </c>
      <c r="D766" s="42" t="s">
        <v>163</v>
      </c>
      <c r="E766" s="42" t="s">
        <v>808</v>
      </c>
      <c r="F766" s="45">
        <v>1210476262.42393</v>
      </c>
      <c r="G766" s="42" t="s">
        <v>763</v>
      </c>
      <c r="H766" s="42" t="s">
        <v>100</v>
      </c>
      <c r="I766" s="42" t="s">
        <v>865</v>
      </c>
    </row>
    <row r="767" spans="1:9">
      <c r="A767" s="42" t="s">
        <v>759</v>
      </c>
      <c r="B767" s="42" t="s">
        <v>242</v>
      </c>
      <c r="C767" s="42" t="s">
        <v>773</v>
      </c>
      <c r="D767" s="42" t="s">
        <v>163</v>
      </c>
      <c r="E767" s="42" t="s">
        <v>808</v>
      </c>
      <c r="F767" s="45">
        <v>4283409.35123922</v>
      </c>
      <c r="G767" s="42" t="s">
        <v>763</v>
      </c>
      <c r="H767" s="42" t="s">
        <v>100</v>
      </c>
      <c r="I767" s="42" t="s">
        <v>865</v>
      </c>
    </row>
    <row r="768" spans="1:9">
      <c r="A768" s="42" t="s">
        <v>759</v>
      </c>
      <c r="B768" s="42" t="s">
        <v>292</v>
      </c>
      <c r="C768" s="42" t="s">
        <v>774</v>
      </c>
      <c r="D768" s="42" t="s">
        <v>163</v>
      </c>
      <c r="E768" s="42" t="s">
        <v>808</v>
      </c>
      <c r="F768" s="45">
        <v>515520274.1787121</v>
      </c>
      <c r="G768" s="42" t="s">
        <v>763</v>
      </c>
      <c r="H768" s="42" t="s">
        <v>100</v>
      </c>
      <c r="I768" s="42" t="s">
        <v>865</v>
      </c>
    </row>
    <row r="769" spans="1:9">
      <c r="A769" s="42" t="s">
        <v>759</v>
      </c>
      <c r="B769" s="42" t="s">
        <v>293</v>
      </c>
      <c r="C769" s="42" t="s">
        <v>775</v>
      </c>
      <c r="D769" s="42" t="s">
        <v>163</v>
      </c>
      <c r="E769" s="42" t="s">
        <v>808</v>
      </c>
      <c r="F769" s="45">
        <v>1291491405.787977</v>
      </c>
      <c r="G769" s="42" t="s">
        <v>763</v>
      </c>
      <c r="H769" s="42" t="s">
        <v>100</v>
      </c>
      <c r="I769" s="42" t="s">
        <v>865</v>
      </c>
    </row>
    <row r="770" spans="1:9">
      <c r="A770" s="42" t="s">
        <v>759</v>
      </c>
      <c r="B770" s="42" t="s">
        <v>295</v>
      </c>
      <c r="C770" s="42" t="s">
        <v>776</v>
      </c>
      <c r="D770" s="42" t="s">
        <v>163</v>
      </c>
      <c r="E770" s="42" t="s">
        <v>808</v>
      </c>
      <c r="F770" s="45">
        <v>381886599.6979191</v>
      </c>
      <c r="G770" s="42" t="s">
        <v>763</v>
      </c>
      <c r="H770" s="42" t="s">
        <v>100</v>
      </c>
      <c r="I770" s="42" t="s">
        <v>865</v>
      </c>
    </row>
    <row r="771" spans="1:9">
      <c r="A771" s="42" t="s">
        <v>759</v>
      </c>
      <c r="B771" s="42" t="s">
        <v>246</v>
      </c>
      <c r="C771" s="42" t="s">
        <v>777</v>
      </c>
      <c r="D771" s="42" t="s">
        <v>163</v>
      </c>
      <c r="E771" s="42" t="s">
        <v>808</v>
      </c>
      <c r="F771" s="45">
        <v>611810011.8028892</v>
      </c>
      <c r="G771" s="42" t="s">
        <v>763</v>
      </c>
      <c r="H771" s="42" t="s">
        <v>100</v>
      </c>
      <c r="I771" s="42" t="s">
        <v>865</v>
      </c>
    </row>
    <row r="772" spans="1:9">
      <c r="A772" s="42" t="s">
        <v>759</v>
      </c>
      <c r="B772" s="42" t="s">
        <v>247</v>
      </c>
      <c r="C772" s="42" t="s">
        <v>778</v>
      </c>
      <c r="D772" s="42" t="s">
        <v>163</v>
      </c>
      <c r="E772" s="42" t="s">
        <v>808</v>
      </c>
      <c r="F772" s="45">
        <v>4021338625.80528</v>
      </c>
      <c r="G772" s="42" t="s">
        <v>763</v>
      </c>
      <c r="H772" s="42" t="s">
        <v>100</v>
      </c>
      <c r="I772" s="42" t="s">
        <v>865</v>
      </c>
    </row>
    <row r="773" spans="1:9">
      <c r="A773" s="42" t="s">
        <v>759</v>
      </c>
      <c r="B773" s="42" t="s">
        <v>248</v>
      </c>
      <c r="C773" s="42" t="s">
        <v>779</v>
      </c>
      <c r="D773" s="42" t="s">
        <v>163</v>
      </c>
      <c r="E773" s="42" t="s">
        <v>808</v>
      </c>
      <c r="F773" s="45">
        <v>22670661516.85789</v>
      </c>
      <c r="G773" s="42" t="s">
        <v>763</v>
      </c>
      <c r="H773" s="42" t="s">
        <v>100</v>
      </c>
      <c r="I773" s="42" t="s">
        <v>865</v>
      </c>
    </row>
    <row r="774" spans="1:9">
      <c r="A774" s="42" t="s">
        <v>759</v>
      </c>
      <c r="B774" s="42" t="s">
        <v>780</v>
      </c>
      <c r="C774" s="42" t="s">
        <v>781</v>
      </c>
      <c r="D774" s="42" t="s">
        <v>163</v>
      </c>
      <c r="E774" s="42" t="s">
        <v>808</v>
      </c>
      <c r="F774" s="45">
        <v>113793009.3386318</v>
      </c>
      <c r="G774" s="42" t="s">
        <v>763</v>
      </c>
      <c r="H774" s="42" t="s">
        <v>100</v>
      </c>
      <c r="I774" s="42" t="s">
        <v>865</v>
      </c>
    </row>
    <row r="775" spans="1:9">
      <c r="A775" s="42" t="s">
        <v>759</v>
      </c>
      <c r="B775" s="42" t="s">
        <v>299</v>
      </c>
      <c r="C775" s="42" t="s">
        <v>782</v>
      </c>
      <c r="D775" s="42" t="s">
        <v>163</v>
      </c>
      <c r="E775" s="42" t="s">
        <v>808</v>
      </c>
      <c r="F775" s="45">
        <v>7932450126.198848</v>
      </c>
      <c r="G775" s="42" t="s">
        <v>763</v>
      </c>
      <c r="H775" s="42" t="s">
        <v>100</v>
      </c>
      <c r="I775" s="42" t="s">
        <v>865</v>
      </c>
    </row>
    <row r="776" spans="1:9">
      <c r="A776" s="42" t="s">
        <v>759</v>
      </c>
      <c r="B776" s="42" t="s">
        <v>783</v>
      </c>
      <c r="C776" s="42" t="s">
        <v>784</v>
      </c>
      <c r="D776" s="42" t="s">
        <v>163</v>
      </c>
      <c r="E776" s="42" t="s">
        <v>808</v>
      </c>
      <c r="F776" s="45">
        <v>8046243135.537479</v>
      </c>
      <c r="G776" s="42" t="s">
        <v>763</v>
      </c>
      <c r="H776" s="42" t="s">
        <v>100</v>
      </c>
      <c r="I776" s="42" t="s">
        <v>865</v>
      </c>
    </row>
    <row r="777" spans="1:9">
      <c r="A777" s="42" t="s">
        <v>759</v>
      </c>
      <c r="B777" s="42" t="s">
        <v>261</v>
      </c>
      <c r="C777" s="42" t="s">
        <v>785</v>
      </c>
      <c r="D777" s="42" t="s">
        <v>163</v>
      </c>
      <c r="E777" s="42" t="s">
        <v>808</v>
      </c>
      <c r="F777" s="45">
        <v>73622457.17409137</v>
      </c>
      <c r="G777" s="42" t="s">
        <v>763</v>
      </c>
      <c r="H777" s="42" t="s">
        <v>100</v>
      </c>
      <c r="I777" s="42" t="s">
        <v>865</v>
      </c>
    </row>
    <row r="778" spans="1:9">
      <c r="A778" s="42" t="s">
        <v>759</v>
      </c>
      <c r="B778" s="42" t="s">
        <v>786</v>
      </c>
      <c r="C778" s="42" t="s">
        <v>787</v>
      </c>
      <c r="D778" s="42" t="s">
        <v>163</v>
      </c>
      <c r="E778" s="42" t="s">
        <v>808</v>
      </c>
      <c r="F778" s="45">
        <v>8119865592.711571</v>
      </c>
      <c r="G778" s="42" t="s">
        <v>763</v>
      </c>
      <c r="H778" s="42" t="s">
        <v>100</v>
      </c>
      <c r="I778" s="42" t="s">
        <v>865</v>
      </c>
    </row>
    <row r="779" spans="1:9">
      <c r="A779" s="42" t="s">
        <v>759</v>
      </c>
      <c r="B779" s="42" t="s">
        <v>301</v>
      </c>
      <c r="C779" s="42" t="s">
        <v>788</v>
      </c>
      <c r="D779" s="42" t="s">
        <v>163</v>
      </c>
      <c r="E779" s="42" t="s">
        <v>808</v>
      </c>
      <c r="F779" s="45">
        <v>2238103129.217169</v>
      </c>
      <c r="G779" s="42" t="s">
        <v>763</v>
      </c>
      <c r="H779" s="42" t="s">
        <v>100</v>
      </c>
      <c r="I779" s="42" t="s">
        <v>865</v>
      </c>
    </row>
    <row r="780" spans="1:9">
      <c r="A780" s="42" t="s">
        <v>759</v>
      </c>
      <c r="B780" s="42" t="s">
        <v>303</v>
      </c>
      <c r="C780" s="42" t="s">
        <v>789</v>
      </c>
      <c r="D780" s="42" t="s">
        <v>163</v>
      </c>
      <c r="E780" s="42" t="s">
        <v>808</v>
      </c>
      <c r="F780" s="45">
        <v>1414873163.978876</v>
      </c>
      <c r="G780" s="42" t="s">
        <v>763</v>
      </c>
      <c r="H780" s="42" t="s">
        <v>100</v>
      </c>
      <c r="I780" s="42" t="s">
        <v>865</v>
      </c>
    </row>
    <row r="781" spans="1:9">
      <c r="A781" s="42" t="s">
        <v>759</v>
      </c>
      <c r="B781" s="42" t="s">
        <v>304</v>
      </c>
      <c r="C781" s="42" t="s">
        <v>831</v>
      </c>
      <c r="D781" s="42" t="s">
        <v>163</v>
      </c>
      <c r="E781" s="42" t="s">
        <v>808</v>
      </c>
      <c r="F781" s="45">
        <v>37420038.03798324</v>
      </c>
      <c r="G781" s="42" t="s">
        <v>763</v>
      </c>
      <c r="H781" s="42" t="s">
        <v>100</v>
      </c>
      <c r="I781" s="42" t="s">
        <v>865</v>
      </c>
    </row>
    <row r="782" spans="1:9">
      <c r="A782" s="42" t="s">
        <v>759</v>
      </c>
      <c r="B782" s="42" t="s">
        <v>305</v>
      </c>
      <c r="C782" s="42" t="s">
        <v>790</v>
      </c>
      <c r="D782" s="42" t="s">
        <v>163</v>
      </c>
      <c r="E782" s="42" t="s">
        <v>808</v>
      </c>
      <c r="F782" s="45">
        <v>2185191.064972293</v>
      </c>
      <c r="G782" s="42" t="s">
        <v>763</v>
      </c>
      <c r="H782" s="42" t="s">
        <v>100</v>
      </c>
      <c r="I782" s="42" t="s">
        <v>865</v>
      </c>
    </row>
    <row r="783" spans="1:9">
      <c r="A783" s="42" t="s">
        <v>759</v>
      </c>
      <c r="B783" s="42" t="s">
        <v>306</v>
      </c>
      <c r="C783" s="42" t="s">
        <v>856</v>
      </c>
      <c r="D783" s="42" t="s">
        <v>163</v>
      </c>
      <c r="E783" s="42" t="s">
        <v>808</v>
      </c>
      <c r="F783" s="45">
        <v>45693323.61233108</v>
      </c>
      <c r="G783" s="42" t="s">
        <v>763</v>
      </c>
      <c r="H783" s="42" t="s">
        <v>100</v>
      </c>
      <c r="I783" s="42" t="s">
        <v>865</v>
      </c>
    </row>
    <row r="784" spans="1:9">
      <c r="A784" s="42" t="s">
        <v>759</v>
      </c>
      <c r="B784" s="42" t="s">
        <v>307</v>
      </c>
      <c r="C784" s="42" t="s">
        <v>836</v>
      </c>
      <c r="D784" s="42" t="s">
        <v>163</v>
      </c>
      <c r="E784" s="42" t="s">
        <v>808</v>
      </c>
      <c r="F784" s="45">
        <v>297740436.3004785</v>
      </c>
      <c r="G784" s="42" t="s">
        <v>763</v>
      </c>
      <c r="H784" s="42" t="s">
        <v>100</v>
      </c>
      <c r="I784" s="42" t="s">
        <v>865</v>
      </c>
    </row>
    <row r="785" spans="1:9">
      <c r="A785" s="42" t="s">
        <v>759</v>
      </c>
      <c r="B785" s="42" t="s">
        <v>308</v>
      </c>
      <c r="C785" s="42" t="s">
        <v>791</v>
      </c>
      <c r="D785" s="42" t="s">
        <v>163</v>
      </c>
      <c r="E785" s="42" t="s">
        <v>808</v>
      </c>
      <c r="F785" s="45">
        <v>6553725023.369389</v>
      </c>
      <c r="G785" s="42" t="s">
        <v>763</v>
      </c>
      <c r="H785" s="42" t="s">
        <v>100</v>
      </c>
      <c r="I785" s="42" t="s">
        <v>865</v>
      </c>
    </row>
    <row r="786" spans="1:9">
      <c r="A786" s="42" t="s">
        <v>759</v>
      </c>
      <c r="B786" s="42" t="s">
        <v>309</v>
      </c>
      <c r="C786" s="42" t="s">
        <v>792</v>
      </c>
      <c r="D786" s="42" t="s">
        <v>163</v>
      </c>
      <c r="E786" s="42" t="s">
        <v>808</v>
      </c>
      <c r="F786" s="45">
        <v>15535512.5962458</v>
      </c>
      <c r="G786" s="42" t="s">
        <v>763</v>
      </c>
      <c r="H786" s="42" t="s">
        <v>100</v>
      </c>
      <c r="I786" s="42" t="s">
        <v>865</v>
      </c>
    </row>
    <row r="787" spans="1:9">
      <c r="A787" s="42" t="s">
        <v>759</v>
      </c>
      <c r="B787" s="42" t="s">
        <v>310</v>
      </c>
      <c r="C787" s="42" t="s">
        <v>793</v>
      </c>
      <c r="D787" s="42" t="s">
        <v>163</v>
      </c>
      <c r="E787" s="42" t="s">
        <v>808</v>
      </c>
      <c r="F787" s="45">
        <v>10414990.24996744</v>
      </c>
      <c r="G787" s="42" t="s">
        <v>763</v>
      </c>
      <c r="H787" s="42" t="s">
        <v>100</v>
      </c>
      <c r="I787" s="42" t="s">
        <v>865</v>
      </c>
    </row>
    <row r="788" spans="1:9">
      <c r="A788" s="42" t="s">
        <v>759</v>
      </c>
      <c r="B788" s="42" t="s">
        <v>311</v>
      </c>
      <c r="C788" s="42" t="s">
        <v>794</v>
      </c>
      <c r="D788" s="42" t="s">
        <v>163</v>
      </c>
      <c r="E788" s="42" t="s">
        <v>808</v>
      </c>
      <c r="F788" s="45">
        <v>10615690808.42741</v>
      </c>
      <c r="G788" s="42" t="s">
        <v>763</v>
      </c>
      <c r="H788" s="42" t="s">
        <v>100</v>
      </c>
      <c r="I788" s="42" t="s">
        <v>865</v>
      </c>
    </row>
    <row r="789" spans="1:9">
      <c r="A789" s="42" t="s">
        <v>759</v>
      </c>
      <c r="B789" s="42" t="s">
        <v>301</v>
      </c>
      <c r="C789" s="42" t="s">
        <v>795</v>
      </c>
      <c r="D789" s="42" t="s">
        <v>163</v>
      </c>
      <c r="E789" s="42" t="s">
        <v>808</v>
      </c>
      <c r="F789" s="45">
        <v>72317865.49351089</v>
      </c>
      <c r="G789" s="42" t="s">
        <v>763</v>
      </c>
      <c r="H789" s="42" t="s">
        <v>100</v>
      </c>
      <c r="I789" s="42" t="s">
        <v>865</v>
      </c>
    </row>
    <row r="790" spans="1:9">
      <c r="A790" s="42" t="s">
        <v>759</v>
      </c>
      <c r="B790" s="42" t="s">
        <v>302</v>
      </c>
      <c r="C790" s="42" t="s">
        <v>797</v>
      </c>
      <c r="D790" s="42" t="s">
        <v>163</v>
      </c>
      <c r="E790" s="42" t="s">
        <v>808</v>
      </c>
      <c r="F790" s="45">
        <v>63044392.96405137</v>
      </c>
      <c r="G790" s="42" t="s">
        <v>763</v>
      </c>
      <c r="H790" s="42" t="s">
        <v>100</v>
      </c>
      <c r="I790" s="42" t="s">
        <v>865</v>
      </c>
    </row>
    <row r="791" spans="1:9">
      <c r="A791" s="42" t="s">
        <v>759</v>
      </c>
      <c r="B791" s="42" t="s">
        <v>304</v>
      </c>
      <c r="C791" s="42" t="s">
        <v>796</v>
      </c>
      <c r="D791" s="42" t="s">
        <v>163</v>
      </c>
      <c r="E791" s="42" t="s">
        <v>808</v>
      </c>
      <c r="F791" s="45">
        <v>10284531.0819094</v>
      </c>
      <c r="G791" s="42" t="s">
        <v>763</v>
      </c>
      <c r="H791" s="42" t="s">
        <v>100</v>
      </c>
      <c r="I791" s="42" t="s">
        <v>865</v>
      </c>
    </row>
    <row r="792" spans="1:9">
      <c r="A792" s="42" t="s">
        <v>759</v>
      </c>
      <c r="B792" s="42" t="s">
        <v>305</v>
      </c>
      <c r="C792" s="42" t="s">
        <v>798</v>
      </c>
      <c r="D792" s="42" t="s">
        <v>163</v>
      </c>
      <c r="E792" s="42" t="s">
        <v>808</v>
      </c>
      <c r="F792" s="45">
        <v>268213177.9300071</v>
      </c>
      <c r="G792" s="42" t="s">
        <v>763</v>
      </c>
      <c r="H792" s="42" t="s">
        <v>100</v>
      </c>
      <c r="I792" s="42" t="s">
        <v>865</v>
      </c>
    </row>
    <row r="793" spans="1:9">
      <c r="A793" s="42" t="s">
        <v>759</v>
      </c>
      <c r="B793" s="42" t="s">
        <v>306</v>
      </c>
      <c r="C793" s="42" t="s">
        <v>799</v>
      </c>
      <c r="D793" s="42" t="s">
        <v>163</v>
      </c>
      <c r="E793" s="42" t="s">
        <v>808</v>
      </c>
      <c r="F793" s="45">
        <v>149691023.7492711</v>
      </c>
      <c r="G793" s="42" t="s">
        <v>763</v>
      </c>
      <c r="H793" s="42" t="s">
        <v>100</v>
      </c>
      <c r="I793" s="42" t="s">
        <v>865</v>
      </c>
    </row>
    <row r="794" spans="1:9">
      <c r="A794" s="42" t="s">
        <v>759</v>
      </c>
      <c r="B794" s="42" t="s">
        <v>307</v>
      </c>
      <c r="C794" s="42" t="s">
        <v>843</v>
      </c>
      <c r="D794" s="42" t="s">
        <v>163</v>
      </c>
      <c r="E794" s="42" t="s">
        <v>808</v>
      </c>
      <c r="F794" s="45">
        <v>250209812.7379966</v>
      </c>
      <c r="G794" s="42" t="s">
        <v>763</v>
      </c>
      <c r="H794" s="42" t="s">
        <v>100</v>
      </c>
      <c r="I794" s="42" t="s">
        <v>865</v>
      </c>
    </row>
    <row r="795" spans="1:9">
      <c r="A795" s="42" t="s">
        <v>759</v>
      </c>
      <c r="B795" s="42" t="s">
        <v>308</v>
      </c>
      <c r="C795" s="42" t="s">
        <v>800</v>
      </c>
      <c r="D795" s="42" t="s">
        <v>163</v>
      </c>
      <c r="E795" s="42" t="s">
        <v>808</v>
      </c>
      <c r="F795" s="45">
        <v>1185928195.634341</v>
      </c>
      <c r="G795" s="42" t="s">
        <v>763</v>
      </c>
      <c r="H795" s="42" t="s">
        <v>100</v>
      </c>
      <c r="I795" s="42" t="s">
        <v>865</v>
      </c>
    </row>
    <row r="796" spans="1:9">
      <c r="A796" s="42" t="s">
        <v>759</v>
      </c>
      <c r="B796" s="42" t="s">
        <v>309</v>
      </c>
      <c r="C796" s="42" t="s">
        <v>801</v>
      </c>
      <c r="D796" s="42" t="s">
        <v>163</v>
      </c>
      <c r="E796" s="42" t="s">
        <v>808</v>
      </c>
      <c r="F796" s="45">
        <v>98790205.01195633</v>
      </c>
      <c r="G796" s="42" t="s">
        <v>763</v>
      </c>
      <c r="H796" s="42" t="s">
        <v>100</v>
      </c>
      <c r="I796" s="42" t="s">
        <v>865</v>
      </c>
    </row>
    <row r="797" spans="1:9">
      <c r="A797" s="42" t="s">
        <v>759</v>
      </c>
      <c r="B797" s="42" t="s">
        <v>310</v>
      </c>
      <c r="C797" s="42" t="s">
        <v>802</v>
      </c>
      <c r="D797" s="42" t="s">
        <v>163</v>
      </c>
      <c r="E797" s="42" t="s">
        <v>808</v>
      </c>
      <c r="F797" s="45">
        <v>1836625911.115866</v>
      </c>
      <c r="G797" s="42" t="s">
        <v>763</v>
      </c>
      <c r="H797" s="42" t="s">
        <v>100</v>
      </c>
      <c r="I797" s="42" t="s">
        <v>865</v>
      </c>
    </row>
    <row r="798" spans="1:9">
      <c r="A798" s="42" t="s">
        <v>759</v>
      </c>
      <c r="B798" s="42" t="s">
        <v>284</v>
      </c>
      <c r="C798" s="42" t="s">
        <v>803</v>
      </c>
      <c r="D798" s="42" t="s">
        <v>163</v>
      </c>
      <c r="E798" s="42" t="s">
        <v>808</v>
      </c>
      <c r="F798" s="45">
        <v>3935105115.71891</v>
      </c>
      <c r="G798" s="42" t="s">
        <v>763</v>
      </c>
      <c r="H798" s="42" t="s">
        <v>100</v>
      </c>
      <c r="I798" s="42" t="s">
        <v>865</v>
      </c>
    </row>
    <row r="799" spans="1:9">
      <c r="A799" s="42" t="s">
        <v>759</v>
      </c>
      <c r="B799" s="42" t="s">
        <v>285</v>
      </c>
      <c r="C799" s="42" t="s">
        <v>804</v>
      </c>
      <c r="D799" s="42" t="s">
        <v>163</v>
      </c>
      <c r="E799" s="42" t="s">
        <v>808</v>
      </c>
      <c r="F799" s="45">
        <v>14550795924.14632</v>
      </c>
      <c r="G799" s="42" t="s">
        <v>763</v>
      </c>
      <c r="H799" s="42" t="s">
        <v>100</v>
      </c>
      <c r="I799" s="42" t="s">
        <v>865</v>
      </c>
    </row>
    <row r="800" spans="1:9">
      <c r="A800" s="42" t="s">
        <v>759</v>
      </c>
      <c r="B800" s="42" t="s">
        <v>805</v>
      </c>
      <c r="C800" s="42" t="s">
        <v>806</v>
      </c>
      <c r="D800" s="42" t="s">
        <v>163</v>
      </c>
      <c r="E800" s="42" t="s">
        <v>808</v>
      </c>
      <c r="F800" s="45">
        <v>22670661516.85789</v>
      </c>
      <c r="G800" s="42" t="s">
        <v>763</v>
      </c>
      <c r="H800" s="42" t="s">
        <v>100</v>
      </c>
      <c r="I800" s="42" t="s">
        <v>865</v>
      </c>
    </row>
    <row r="801" spans="1:9">
      <c r="A801" s="42" t="s">
        <v>759</v>
      </c>
      <c r="B801" s="42" t="s">
        <v>287</v>
      </c>
      <c r="C801" s="42" t="s">
        <v>760</v>
      </c>
      <c r="D801" s="42" t="s">
        <v>164</v>
      </c>
      <c r="E801" s="42" t="s">
        <v>808</v>
      </c>
      <c r="F801" s="45">
        <v>457659344.7145568</v>
      </c>
      <c r="G801" s="42" t="s">
        <v>763</v>
      </c>
      <c r="H801" s="42" t="s">
        <v>102</v>
      </c>
      <c r="I801" s="42" t="s">
        <v>866</v>
      </c>
    </row>
    <row r="802" spans="1:9">
      <c r="A802" s="42" t="s">
        <v>759</v>
      </c>
      <c r="B802" s="42" t="s">
        <v>288</v>
      </c>
      <c r="C802" s="42" t="s">
        <v>765</v>
      </c>
      <c r="D802" s="42" t="s">
        <v>164</v>
      </c>
      <c r="E802" s="42" t="s">
        <v>808</v>
      </c>
      <c r="F802" s="45">
        <v>15871936203.45608</v>
      </c>
      <c r="G802" s="42" t="s">
        <v>763</v>
      </c>
      <c r="H802" s="42" t="s">
        <v>102</v>
      </c>
      <c r="I802" s="42" t="s">
        <v>866</v>
      </c>
    </row>
    <row r="803" spans="1:9">
      <c r="A803" s="42" t="s">
        <v>759</v>
      </c>
      <c r="B803" s="42" t="s">
        <v>289</v>
      </c>
      <c r="C803" s="42" t="s">
        <v>824</v>
      </c>
      <c r="D803" s="42" t="s">
        <v>164</v>
      </c>
      <c r="E803" s="42" t="s">
        <v>808</v>
      </c>
      <c r="F803" s="45">
        <v>487930335.4138438</v>
      </c>
      <c r="G803" s="42" t="s">
        <v>763</v>
      </c>
      <c r="H803" s="42" t="s">
        <v>102</v>
      </c>
      <c r="I803" s="42" t="s">
        <v>866</v>
      </c>
    </row>
    <row r="804" spans="1:9">
      <c r="A804" s="42" t="s">
        <v>759</v>
      </c>
      <c r="B804" s="42" t="s">
        <v>290</v>
      </c>
      <c r="C804" s="42" t="s">
        <v>766</v>
      </c>
      <c r="D804" s="42" t="s">
        <v>164</v>
      </c>
      <c r="E804" s="42" t="s">
        <v>808</v>
      </c>
      <c r="F804" s="45">
        <v>1311767311.493887</v>
      </c>
      <c r="G804" s="42" t="s">
        <v>763</v>
      </c>
      <c r="H804" s="42" t="s">
        <v>102</v>
      </c>
      <c r="I804" s="42" t="s">
        <v>866</v>
      </c>
    </row>
    <row r="805" spans="1:9">
      <c r="A805" s="42" t="s">
        <v>759</v>
      </c>
      <c r="B805" s="42" t="s">
        <v>291</v>
      </c>
      <c r="C805" s="42" t="s">
        <v>767</v>
      </c>
      <c r="D805" s="42" t="s">
        <v>164</v>
      </c>
      <c r="E805" s="42" t="s">
        <v>808</v>
      </c>
      <c r="F805" s="45">
        <v>26457075.75098193</v>
      </c>
      <c r="G805" s="42" t="s">
        <v>763</v>
      </c>
      <c r="H805" s="42" t="s">
        <v>102</v>
      </c>
      <c r="I805" s="42" t="s">
        <v>866</v>
      </c>
    </row>
    <row r="806" spans="1:9">
      <c r="A806" s="42" t="s">
        <v>759</v>
      </c>
      <c r="B806" s="42" t="s">
        <v>292</v>
      </c>
      <c r="C806" s="42" t="s">
        <v>768</v>
      </c>
      <c r="D806" s="42" t="s">
        <v>164</v>
      </c>
      <c r="E806" s="42" t="s">
        <v>808</v>
      </c>
      <c r="F806" s="45">
        <v>174332484.9247167</v>
      </c>
      <c r="G806" s="42" t="s">
        <v>763</v>
      </c>
      <c r="H806" s="42" t="s">
        <v>102</v>
      </c>
      <c r="I806" s="42" t="s">
        <v>866</v>
      </c>
    </row>
    <row r="807" spans="1:9">
      <c r="A807" s="42" t="s">
        <v>759</v>
      </c>
      <c r="B807" s="42" t="s">
        <v>293</v>
      </c>
      <c r="C807" s="42" t="s">
        <v>769</v>
      </c>
      <c r="D807" s="42" t="s">
        <v>164</v>
      </c>
      <c r="E807" s="42" t="s">
        <v>808</v>
      </c>
      <c r="F807" s="45">
        <v>55129356.89659584</v>
      </c>
      <c r="G807" s="42" t="s">
        <v>763</v>
      </c>
      <c r="H807" s="42" t="s">
        <v>102</v>
      </c>
      <c r="I807" s="42" t="s">
        <v>866</v>
      </c>
    </row>
    <row r="808" spans="1:9">
      <c r="A808" s="42" t="s">
        <v>759</v>
      </c>
      <c r="B808" s="42" t="s">
        <v>295</v>
      </c>
      <c r="C808" s="42" t="s">
        <v>770</v>
      </c>
      <c r="D808" s="42" t="s">
        <v>164</v>
      </c>
      <c r="E808" s="42" t="s">
        <v>808</v>
      </c>
      <c r="F808" s="45">
        <v>36017985.82686995</v>
      </c>
      <c r="G808" s="42" t="s">
        <v>763</v>
      </c>
      <c r="H808" s="42" t="s">
        <v>102</v>
      </c>
      <c r="I808" s="42" t="s">
        <v>866</v>
      </c>
    </row>
    <row r="809" spans="1:9">
      <c r="A809" s="42" t="s">
        <v>759</v>
      </c>
      <c r="B809" s="42" t="s">
        <v>296</v>
      </c>
      <c r="C809" s="42" t="s">
        <v>771</v>
      </c>
      <c r="D809" s="42" t="s">
        <v>164</v>
      </c>
      <c r="E809" s="42" t="s">
        <v>808</v>
      </c>
      <c r="F809" s="45">
        <v>18421230098.47753</v>
      </c>
      <c r="G809" s="42" t="s">
        <v>763</v>
      </c>
      <c r="H809" s="42" t="s">
        <v>102</v>
      </c>
      <c r="I809" s="42" t="s">
        <v>866</v>
      </c>
    </row>
    <row r="810" spans="1:9">
      <c r="A810" s="42" t="s">
        <v>759</v>
      </c>
      <c r="B810" s="42" t="s">
        <v>241</v>
      </c>
      <c r="C810" s="42" t="s">
        <v>772</v>
      </c>
      <c r="D810" s="42" t="s">
        <v>164</v>
      </c>
      <c r="E810" s="42" t="s">
        <v>808</v>
      </c>
      <c r="F810" s="45">
        <v>1297744643.382584</v>
      </c>
      <c r="G810" s="42" t="s">
        <v>763</v>
      </c>
      <c r="H810" s="42" t="s">
        <v>102</v>
      </c>
      <c r="I810" s="42" t="s">
        <v>866</v>
      </c>
    </row>
    <row r="811" spans="1:9">
      <c r="A811" s="42" t="s">
        <v>759</v>
      </c>
      <c r="B811" s="42" t="s">
        <v>242</v>
      </c>
      <c r="C811" s="42" t="s">
        <v>773</v>
      </c>
      <c r="D811" s="42" t="s">
        <v>164</v>
      </c>
      <c r="E811" s="42" t="s">
        <v>808</v>
      </c>
      <c r="F811" s="45">
        <v>14639163.95226133</v>
      </c>
      <c r="G811" s="42" t="s">
        <v>763</v>
      </c>
      <c r="H811" s="42" t="s">
        <v>102</v>
      </c>
      <c r="I811" s="42" t="s">
        <v>866</v>
      </c>
    </row>
    <row r="812" spans="1:9">
      <c r="A812" s="42" t="s">
        <v>759</v>
      </c>
      <c r="B812" s="42" t="s">
        <v>292</v>
      </c>
      <c r="C812" s="42" t="s">
        <v>774</v>
      </c>
      <c r="D812" s="42" t="s">
        <v>164</v>
      </c>
      <c r="E812" s="42" t="s">
        <v>808</v>
      </c>
      <c r="F812" s="45">
        <v>462434575.2114757</v>
      </c>
      <c r="G812" s="42" t="s">
        <v>763</v>
      </c>
      <c r="H812" s="42" t="s">
        <v>102</v>
      </c>
      <c r="I812" s="42" t="s">
        <v>866</v>
      </c>
    </row>
    <row r="813" spans="1:9">
      <c r="A813" s="42" t="s">
        <v>759</v>
      </c>
      <c r="B813" s="42" t="s">
        <v>293</v>
      </c>
      <c r="C813" s="42" t="s">
        <v>775</v>
      </c>
      <c r="D813" s="42" t="s">
        <v>164</v>
      </c>
      <c r="E813" s="42" t="s">
        <v>808</v>
      </c>
      <c r="F813" s="45">
        <v>1468096028.046193</v>
      </c>
      <c r="G813" s="42" t="s">
        <v>763</v>
      </c>
      <c r="H813" s="42" t="s">
        <v>102</v>
      </c>
      <c r="I813" s="42" t="s">
        <v>866</v>
      </c>
    </row>
    <row r="814" spans="1:9">
      <c r="A814" s="42" t="s">
        <v>759</v>
      </c>
      <c r="B814" s="42" t="s">
        <v>295</v>
      </c>
      <c r="C814" s="42" t="s">
        <v>776</v>
      </c>
      <c r="D814" s="42" t="s">
        <v>164</v>
      </c>
      <c r="E814" s="42" t="s">
        <v>808</v>
      </c>
      <c r="F814" s="45">
        <v>394243865.7521913</v>
      </c>
      <c r="G814" s="42" t="s">
        <v>763</v>
      </c>
      <c r="H814" s="42" t="s">
        <v>102</v>
      </c>
      <c r="I814" s="42" t="s">
        <v>866</v>
      </c>
    </row>
    <row r="815" spans="1:9">
      <c r="A815" s="42" t="s">
        <v>759</v>
      </c>
      <c r="B815" s="42" t="s">
        <v>246</v>
      </c>
      <c r="C815" s="42" t="s">
        <v>777</v>
      </c>
      <c r="D815" s="42" t="s">
        <v>164</v>
      </c>
      <c r="E815" s="42" t="s">
        <v>808</v>
      </c>
      <c r="F815" s="45">
        <v>539893620.4492438</v>
      </c>
      <c r="G815" s="42" t="s">
        <v>763</v>
      </c>
      <c r="H815" s="42" t="s">
        <v>102</v>
      </c>
      <c r="I815" s="42" t="s">
        <v>866</v>
      </c>
    </row>
    <row r="816" spans="1:9">
      <c r="A816" s="42" t="s">
        <v>759</v>
      </c>
      <c r="B816" s="42" t="s">
        <v>247</v>
      </c>
      <c r="C816" s="42" t="s">
        <v>778</v>
      </c>
      <c r="D816" s="42" t="s">
        <v>164</v>
      </c>
      <c r="E816" s="42" t="s">
        <v>808</v>
      </c>
      <c r="F816" s="45">
        <v>4177051896.79395</v>
      </c>
      <c r="G816" s="42" t="s">
        <v>763</v>
      </c>
      <c r="H816" s="42" t="s">
        <v>102</v>
      </c>
      <c r="I816" s="42" t="s">
        <v>866</v>
      </c>
    </row>
    <row r="817" spans="1:9">
      <c r="A817" s="42" t="s">
        <v>759</v>
      </c>
      <c r="B817" s="42" t="s">
        <v>248</v>
      </c>
      <c r="C817" s="42" t="s">
        <v>779</v>
      </c>
      <c r="D817" s="42" t="s">
        <v>164</v>
      </c>
      <c r="E817" s="42" t="s">
        <v>808</v>
      </c>
      <c r="F817" s="45">
        <v>22598281995.27148</v>
      </c>
      <c r="G817" s="42" t="s">
        <v>763</v>
      </c>
      <c r="H817" s="42" t="s">
        <v>102</v>
      </c>
      <c r="I817" s="42" t="s">
        <v>866</v>
      </c>
    </row>
    <row r="818" spans="1:9">
      <c r="A818" s="42" t="s">
        <v>759</v>
      </c>
      <c r="B818" s="42" t="s">
        <v>780</v>
      </c>
      <c r="C818" s="42" t="s">
        <v>781</v>
      </c>
      <c r="D818" s="42" t="s">
        <v>164</v>
      </c>
      <c r="E818" s="42" t="s">
        <v>808</v>
      </c>
      <c r="F818" s="45">
        <v>110634880.7469971</v>
      </c>
      <c r="G818" s="42" t="s">
        <v>763</v>
      </c>
      <c r="H818" s="42" t="s">
        <v>102</v>
      </c>
      <c r="I818" s="42" t="s">
        <v>866</v>
      </c>
    </row>
    <row r="819" spans="1:9">
      <c r="A819" s="42" t="s">
        <v>759</v>
      </c>
      <c r="B819" s="42" t="s">
        <v>299</v>
      </c>
      <c r="C819" s="42" t="s">
        <v>782</v>
      </c>
      <c r="D819" s="42" t="s">
        <v>164</v>
      </c>
      <c r="E819" s="42" t="s">
        <v>808</v>
      </c>
      <c r="F819" s="45">
        <v>7510371765.284369</v>
      </c>
      <c r="G819" s="42" t="s">
        <v>763</v>
      </c>
      <c r="H819" s="42" t="s">
        <v>102</v>
      </c>
      <c r="I819" s="42" t="s">
        <v>866</v>
      </c>
    </row>
    <row r="820" spans="1:9">
      <c r="A820" s="42" t="s">
        <v>759</v>
      </c>
      <c r="B820" s="42" t="s">
        <v>783</v>
      </c>
      <c r="C820" s="42" t="s">
        <v>784</v>
      </c>
      <c r="D820" s="42" t="s">
        <v>164</v>
      </c>
      <c r="E820" s="42" t="s">
        <v>808</v>
      </c>
      <c r="F820" s="45">
        <v>7621006646.031366</v>
      </c>
      <c r="G820" s="42" t="s">
        <v>763</v>
      </c>
      <c r="H820" s="42" t="s">
        <v>102</v>
      </c>
      <c r="I820" s="42" t="s">
        <v>866</v>
      </c>
    </row>
    <row r="821" spans="1:9">
      <c r="A821" s="42" t="s">
        <v>759</v>
      </c>
      <c r="B821" s="42" t="s">
        <v>261</v>
      </c>
      <c r="C821" s="42" t="s">
        <v>785</v>
      </c>
      <c r="D821" s="42" t="s">
        <v>164</v>
      </c>
      <c r="E821" s="42" t="s">
        <v>808</v>
      </c>
      <c r="F821" s="45">
        <v>65871013.24415091</v>
      </c>
      <c r="G821" s="42" t="s">
        <v>763</v>
      </c>
      <c r="H821" s="42" t="s">
        <v>102</v>
      </c>
      <c r="I821" s="42" t="s">
        <v>866</v>
      </c>
    </row>
    <row r="822" spans="1:9">
      <c r="A822" s="42" t="s">
        <v>759</v>
      </c>
      <c r="B822" s="42" t="s">
        <v>786</v>
      </c>
      <c r="C822" s="42" t="s">
        <v>787</v>
      </c>
      <c r="D822" s="42" t="s">
        <v>164</v>
      </c>
      <c r="E822" s="42" t="s">
        <v>808</v>
      </c>
      <c r="F822" s="45">
        <v>7686877659.275517</v>
      </c>
      <c r="G822" s="42" t="s">
        <v>763</v>
      </c>
      <c r="H822" s="42" t="s">
        <v>102</v>
      </c>
      <c r="I822" s="42" t="s">
        <v>866</v>
      </c>
    </row>
    <row r="823" spans="1:9">
      <c r="A823" s="42" t="s">
        <v>759</v>
      </c>
      <c r="B823" s="42" t="s">
        <v>301</v>
      </c>
      <c r="C823" s="42" t="s">
        <v>788</v>
      </c>
      <c r="D823" s="42" t="s">
        <v>164</v>
      </c>
      <c r="E823" s="42" t="s">
        <v>808</v>
      </c>
      <c r="F823" s="45">
        <v>2289947678.536707</v>
      </c>
      <c r="G823" s="42" t="s">
        <v>763</v>
      </c>
      <c r="H823" s="42" t="s">
        <v>102</v>
      </c>
      <c r="I823" s="42" t="s">
        <v>866</v>
      </c>
    </row>
    <row r="824" spans="1:9">
      <c r="A824" s="42" t="s">
        <v>759</v>
      </c>
      <c r="B824" s="42" t="s">
        <v>303</v>
      </c>
      <c r="C824" s="42" t="s">
        <v>789</v>
      </c>
      <c r="D824" s="42" t="s">
        <v>164</v>
      </c>
      <c r="E824" s="42" t="s">
        <v>808</v>
      </c>
      <c r="F824" s="45">
        <v>2052669923.341882</v>
      </c>
      <c r="G824" s="42" t="s">
        <v>763</v>
      </c>
      <c r="H824" s="42" t="s">
        <v>102</v>
      </c>
      <c r="I824" s="42" t="s">
        <v>866</v>
      </c>
    </row>
    <row r="825" spans="1:9">
      <c r="A825" s="42" t="s">
        <v>759</v>
      </c>
      <c r="B825" s="42" t="s">
        <v>304</v>
      </c>
      <c r="C825" s="42" t="s">
        <v>831</v>
      </c>
      <c r="D825" s="42" t="s">
        <v>164</v>
      </c>
      <c r="E825" s="42" t="s">
        <v>808</v>
      </c>
      <c r="F825" s="45">
        <v>34617808.83214974</v>
      </c>
      <c r="G825" s="42" t="s">
        <v>763</v>
      </c>
      <c r="H825" s="42" t="s">
        <v>102</v>
      </c>
      <c r="I825" s="42" t="s">
        <v>866</v>
      </c>
    </row>
    <row r="826" spans="1:9">
      <c r="A826" s="42" t="s">
        <v>759</v>
      </c>
      <c r="B826" s="42" t="s">
        <v>305</v>
      </c>
      <c r="C826" s="42" t="s">
        <v>790</v>
      </c>
      <c r="D826" s="42" t="s">
        <v>164</v>
      </c>
      <c r="E826" s="42" t="s">
        <v>808</v>
      </c>
      <c r="F826" s="45">
        <v>2027121.917729263</v>
      </c>
      <c r="G826" s="42" t="s">
        <v>763</v>
      </c>
      <c r="H826" s="42" t="s">
        <v>102</v>
      </c>
      <c r="I826" s="42" t="s">
        <v>866</v>
      </c>
    </row>
    <row r="827" spans="1:9">
      <c r="A827" s="42" t="s">
        <v>759</v>
      </c>
      <c r="B827" s="42" t="s">
        <v>306</v>
      </c>
      <c r="C827" s="42" t="s">
        <v>856</v>
      </c>
      <c r="D827" s="42" t="s">
        <v>164</v>
      </c>
      <c r="E827" s="42" t="s">
        <v>808</v>
      </c>
      <c r="F827" s="45">
        <v>46331229.81036884</v>
      </c>
      <c r="G827" s="42" t="s">
        <v>763</v>
      </c>
      <c r="H827" s="42" t="s">
        <v>102</v>
      </c>
      <c r="I827" s="42" t="s">
        <v>866</v>
      </c>
    </row>
    <row r="828" spans="1:9">
      <c r="A828" s="42" t="s">
        <v>759</v>
      </c>
      <c r="B828" s="42" t="s">
        <v>307</v>
      </c>
      <c r="C828" s="42" t="s">
        <v>836</v>
      </c>
      <c r="D828" s="42" t="s">
        <v>164</v>
      </c>
      <c r="E828" s="42" t="s">
        <v>808</v>
      </c>
      <c r="F828" s="45">
        <v>276649896.3597937</v>
      </c>
      <c r="G828" s="42" t="s">
        <v>763</v>
      </c>
      <c r="H828" s="42" t="s">
        <v>102</v>
      </c>
      <c r="I828" s="42" t="s">
        <v>866</v>
      </c>
    </row>
    <row r="829" spans="1:9">
      <c r="A829" s="42" t="s">
        <v>759</v>
      </c>
      <c r="B829" s="42" t="s">
        <v>308</v>
      </c>
      <c r="C829" s="42" t="s">
        <v>791</v>
      </c>
      <c r="D829" s="42" t="s">
        <v>164</v>
      </c>
      <c r="E829" s="42" t="s">
        <v>808</v>
      </c>
      <c r="F829" s="45">
        <v>6154342142.226044</v>
      </c>
      <c r="G829" s="42" t="s">
        <v>763</v>
      </c>
      <c r="H829" s="42" t="s">
        <v>102</v>
      </c>
      <c r="I829" s="42" t="s">
        <v>866</v>
      </c>
    </row>
    <row r="830" spans="1:9">
      <c r="A830" s="42" t="s">
        <v>759</v>
      </c>
      <c r="B830" s="42" t="s">
        <v>309</v>
      </c>
      <c r="C830" s="42" t="s">
        <v>792</v>
      </c>
      <c r="D830" s="42" t="s">
        <v>164</v>
      </c>
      <c r="E830" s="42" t="s">
        <v>808</v>
      </c>
      <c r="F830" s="45">
        <v>9435521.09128621</v>
      </c>
      <c r="G830" s="42" t="s">
        <v>763</v>
      </c>
      <c r="H830" s="42" t="s">
        <v>102</v>
      </c>
      <c r="I830" s="42" t="s">
        <v>866</v>
      </c>
    </row>
    <row r="831" spans="1:9">
      <c r="A831" s="42" t="s">
        <v>759</v>
      </c>
      <c r="B831" s="42" t="s">
        <v>310</v>
      </c>
      <c r="C831" s="42" t="s">
        <v>793</v>
      </c>
      <c r="D831" s="42" t="s">
        <v>164</v>
      </c>
      <c r="E831" s="42" t="s">
        <v>808</v>
      </c>
      <c r="F831" s="45">
        <v>11065577.89110974</v>
      </c>
      <c r="G831" s="42" t="s">
        <v>763</v>
      </c>
      <c r="H831" s="42" t="s">
        <v>102</v>
      </c>
      <c r="I831" s="42" t="s">
        <v>866</v>
      </c>
    </row>
    <row r="832" spans="1:9">
      <c r="A832" s="42" t="s">
        <v>759</v>
      </c>
      <c r="B832" s="42" t="s">
        <v>311</v>
      </c>
      <c r="C832" s="42" t="s">
        <v>794</v>
      </c>
      <c r="D832" s="42" t="s">
        <v>164</v>
      </c>
      <c r="E832" s="42" t="s">
        <v>808</v>
      </c>
      <c r="F832" s="45">
        <v>10877086900.00707</v>
      </c>
      <c r="G832" s="42" t="s">
        <v>763</v>
      </c>
      <c r="H832" s="42" t="s">
        <v>102</v>
      </c>
      <c r="I832" s="42" t="s">
        <v>866</v>
      </c>
    </row>
    <row r="833" spans="1:9">
      <c r="A833" s="42" t="s">
        <v>759</v>
      </c>
      <c r="B833" s="42" t="s">
        <v>301</v>
      </c>
      <c r="C833" s="42" t="s">
        <v>795</v>
      </c>
      <c r="D833" s="42" t="s">
        <v>164</v>
      </c>
      <c r="E833" s="42" t="s">
        <v>808</v>
      </c>
      <c r="F833" s="45">
        <v>77542637.89416941</v>
      </c>
      <c r="G833" s="42" t="s">
        <v>763</v>
      </c>
      <c r="H833" s="42" t="s">
        <v>102</v>
      </c>
      <c r="I833" s="42" t="s">
        <v>866</v>
      </c>
    </row>
    <row r="834" spans="1:9">
      <c r="A834" s="42" t="s">
        <v>759</v>
      </c>
      <c r="B834" s="42" t="s">
        <v>302</v>
      </c>
      <c r="C834" s="42" t="s">
        <v>797</v>
      </c>
      <c r="D834" s="42" t="s">
        <v>164</v>
      </c>
      <c r="E834" s="42" t="s">
        <v>808</v>
      </c>
      <c r="F834" s="45">
        <v>77657577.79672106</v>
      </c>
      <c r="G834" s="42" t="s">
        <v>763</v>
      </c>
      <c r="H834" s="42" t="s">
        <v>102</v>
      </c>
      <c r="I834" s="42" t="s">
        <v>866</v>
      </c>
    </row>
    <row r="835" spans="1:9">
      <c r="A835" s="42" t="s">
        <v>759</v>
      </c>
      <c r="B835" s="42" t="s">
        <v>304</v>
      </c>
      <c r="C835" s="42" t="s">
        <v>796</v>
      </c>
      <c r="D835" s="42" t="s">
        <v>164</v>
      </c>
      <c r="E835" s="42" t="s">
        <v>808</v>
      </c>
      <c r="F835" s="45">
        <v>10114711.42454602</v>
      </c>
      <c r="G835" s="42" t="s">
        <v>763</v>
      </c>
      <c r="H835" s="42" t="s">
        <v>102</v>
      </c>
      <c r="I835" s="42" t="s">
        <v>866</v>
      </c>
    </row>
    <row r="836" spans="1:9">
      <c r="A836" s="42" t="s">
        <v>759</v>
      </c>
      <c r="B836" s="42" t="s">
        <v>305</v>
      </c>
      <c r="C836" s="42" t="s">
        <v>798</v>
      </c>
      <c r="D836" s="42" t="s">
        <v>164</v>
      </c>
      <c r="E836" s="42" t="s">
        <v>808</v>
      </c>
      <c r="F836" s="45">
        <v>207132153.4801401</v>
      </c>
      <c r="G836" s="42" t="s">
        <v>763</v>
      </c>
      <c r="H836" s="42" t="s">
        <v>102</v>
      </c>
      <c r="I836" s="42" t="s">
        <v>866</v>
      </c>
    </row>
    <row r="837" spans="1:9">
      <c r="A837" s="42" t="s">
        <v>759</v>
      </c>
      <c r="B837" s="42" t="s">
        <v>306</v>
      </c>
      <c r="C837" s="42" t="s">
        <v>799</v>
      </c>
      <c r="D837" s="42" t="s">
        <v>164</v>
      </c>
      <c r="E837" s="42" t="s">
        <v>808</v>
      </c>
      <c r="F837" s="45">
        <v>175126615.1605281</v>
      </c>
      <c r="G837" s="42" t="s">
        <v>763</v>
      </c>
      <c r="H837" s="42" t="s">
        <v>102</v>
      </c>
      <c r="I837" s="42" t="s">
        <v>866</v>
      </c>
    </row>
    <row r="838" spans="1:9">
      <c r="A838" s="42" t="s">
        <v>759</v>
      </c>
      <c r="B838" s="42" t="s">
        <v>307</v>
      </c>
      <c r="C838" s="42" t="s">
        <v>843</v>
      </c>
      <c r="D838" s="42" t="s">
        <v>164</v>
      </c>
      <c r="E838" s="42" t="s">
        <v>808</v>
      </c>
      <c r="F838" s="45">
        <v>233819109.0362254</v>
      </c>
      <c r="G838" s="42" t="s">
        <v>763</v>
      </c>
      <c r="H838" s="42" t="s">
        <v>102</v>
      </c>
      <c r="I838" s="42" t="s">
        <v>866</v>
      </c>
    </row>
    <row r="839" spans="1:9">
      <c r="A839" s="42" t="s">
        <v>759</v>
      </c>
      <c r="B839" s="42" t="s">
        <v>308</v>
      </c>
      <c r="C839" s="42" t="s">
        <v>800</v>
      </c>
      <c r="D839" s="42" t="s">
        <v>164</v>
      </c>
      <c r="E839" s="42" t="s">
        <v>808</v>
      </c>
      <c r="F839" s="45">
        <v>1273304240.467281</v>
      </c>
      <c r="G839" s="42" t="s">
        <v>763</v>
      </c>
      <c r="H839" s="42" t="s">
        <v>102</v>
      </c>
      <c r="I839" s="42" t="s">
        <v>866</v>
      </c>
    </row>
    <row r="840" spans="1:9">
      <c r="A840" s="42" t="s">
        <v>759</v>
      </c>
      <c r="B840" s="42" t="s">
        <v>309</v>
      </c>
      <c r="C840" s="42" t="s">
        <v>801</v>
      </c>
      <c r="D840" s="42" t="s">
        <v>164</v>
      </c>
      <c r="E840" s="42" t="s">
        <v>808</v>
      </c>
      <c r="F840" s="45">
        <v>87061751.64185682</v>
      </c>
      <c r="G840" s="42" t="s">
        <v>763</v>
      </c>
      <c r="H840" s="42" t="s">
        <v>102</v>
      </c>
      <c r="I840" s="42" t="s">
        <v>866</v>
      </c>
    </row>
    <row r="841" spans="1:9">
      <c r="A841" s="42" t="s">
        <v>759</v>
      </c>
      <c r="B841" s="42" t="s">
        <v>310</v>
      </c>
      <c r="C841" s="42" t="s">
        <v>802</v>
      </c>
      <c r="D841" s="42" t="s">
        <v>164</v>
      </c>
      <c r="E841" s="42" t="s">
        <v>808</v>
      </c>
      <c r="F841" s="45">
        <v>1892558639.087421</v>
      </c>
      <c r="G841" s="42" t="s">
        <v>763</v>
      </c>
      <c r="H841" s="42" t="s">
        <v>102</v>
      </c>
      <c r="I841" s="42" t="s">
        <v>866</v>
      </c>
    </row>
    <row r="842" spans="1:9">
      <c r="A842" s="42" t="s">
        <v>759</v>
      </c>
      <c r="B842" s="42" t="s">
        <v>284</v>
      </c>
      <c r="C842" s="42" t="s">
        <v>803</v>
      </c>
      <c r="D842" s="42" t="s">
        <v>164</v>
      </c>
      <c r="E842" s="42" t="s">
        <v>808</v>
      </c>
      <c r="F842" s="45">
        <v>4034317435.988889</v>
      </c>
      <c r="G842" s="42" t="s">
        <v>763</v>
      </c>
      <c r="H842" s="42" t="s">
        <v>102</v>
      </c>
      <c r="I842" s="42" t="s">
        <v>866</v>
      </c>
    </row>
    <row r="843" spans="1:9">
      <c r="A843" s="42" t="s">
        <v>759</v>
      </c>
      <c r="B843" s="42" t="s">
        <v>285</v>
      </c>
      <c r="C843" s="42" t="s">
        <v>804</v>
      </c>
      <c r="D843" s="42" t="s">
        <v>164</v>
      </c>
      <c r="E843" s="42" t="s">
        <v>808</v>
      </c>
      <c r="F843" s="45">
        <v>14911404335.99596</v>
      </c>
      <c r="G843" s="42" t="s">
        <v>763</v>
      </c>
      <c r="H843" s="42" t="s">
        <v>102</v>
      </c>
      <c r="I843" s="42" t="s">
        <v>866</v>
      </c>
    </row>
    <row r="844" spans="1:9">
      <c r="A844" s="42" t="s">
        <v>759</v>
      </c>
      <c r="B844" s="42" t="s">
        <v>805</v>
      </c>
      <c r="C844" s="42" t="s">
        <v>806</v>
      </c>
      <c r="D844" s="42" t="s">
        <v>164</v>
      </c>
      <c r="E844" s="42" t="s">
        <v>808</v>
      </c>
      <c r="F844" s="45">
        <v>22598281995.27148</v>
      </c>
      <c r="G844" s="42" t="s">
        <v>763</v>
      </c>
      <c r="H844" s="42" t="s">
        <v>102</v>
      </c>
      <c r="I844" s="42" t="s">
        <v>866</v>
      </c>
    </row>
    <row r="845" spans="1:9">
      <c r="A845" s="42" t="s">
        <v>759</v>
      </c>
      <c r="B845" s="42" t="s">
        <v>287</v>
      </c>
      <c r="C845" s="42" t="s">
        <v>760</v>
      </c>
      <c r="D845" s="42" t="s">
        <v>165</v>
      </c>
      <c r="E845" s="42" t="s">
        <v>808</v>
      </c>
      <c r="F845" s="45">
        <v>437481846.710362</v>
      </c>
      <c r="G845" s="42" t="s">
        <v>763</v>
      </c>
      <c r="H845" s="42" t="s">
        <v>104</v>
      </c>
      <c r="I845" s="42" t="s">
        <v>853</v>
      </c>
    </row>
    <row r="846" spans="1:9">
      <c r="A846" s="42" t="s">
        <v>759</v>
      </c>
      <c r="B846" s="42" t="s">
        <v>288</v>
      </c>
      <c r="C846" s="42" t="s">
        <v>765</v>
      </c>
      <c r="D846" s="42" t="s">
        <v>165</v>
      </c>
      <c r="E846" s="42" t="s">
        <v>808</v>
      </c>
      <c r="F846" s="45">
        <v>15825242700.2745</v>
      </c>
      <c r="G846" s="42" t="s">
        <v>763</v>
      </c>
      <c r="H846" s="42" t="s">
        <v>104</v>
      </c>
      <c r="I846" s="42" t="s">
        <v>853</v>
      </c>
    </row>
    <row r="847" spans="1:9">
      <c r="A847" s="42" t="s">
        <v>759</v>
      </c>
      <c r="B847" s="42" t="s">
        <v>289</v>
      </c>
      <c r="C847" s="42" t="s">
        <v>824</v>
      </c>
      <c r="D847" s="42" t="s">
        <v>165</v>
      </c>
      <c r="E847" s="42" t="s">
        <v>808</v>
      </c>
      <c r="F847" s="45">
        <v>466365755.9359552</v>
      </c>
      <c r="G847" s="42" t="s">
        <v>763</v>
      </c>
      <c r="H847" s="42" t="s">
        <v>104</v>
      </c>
      <c r="I847" s="42" t="s">
        <v>853</v>
      </c>
    </row>
    <row r="848" spans="1:9">
      <c r="A848" s="42" t="s">
        <v>759</v>
      </c>
      <c r="B848" s="42" t="s">
        <v>290</v>
      </c>
      <c r="C848" s="42" t="s">
        <v>766</v>
      </c>
      <c r="D848" s="42" t="s">
        <v>165</v>
      </c>
      <c r="E848" s="42" t="s">
        <v>808</v>
      </c>
      <c r="F848" s="45">
        <v>1368704346.4944</v>
      </c>
      <c r="G848" s="42" t="s">
        <v>763</v>
      </c>
      <c r="H848" s="42" t="s">
        <v>104</v>
      </c>
      <c r="I848" s="42" t="s">
        <v>853</v>
      </c>
    </row>
    <row r="849" spans="1:9">
      <c r="A849" s="42" t="s">
        <v>759</v>
      </c>
      <c r="B849" s="42" t="s">
        <v>291</v>
      </c>
      <c r="C849" s="42" t="s">
        <v>767</v>
      </c>
      <c r="D849" s="42" t="s">
        <v>165</v>
      </c>
      <c r="E849" s="42" t="s">
        <v>808</v>
      </c>
      <c r="F849" s="45">
        <v>21419869.56947046</v>
      </c>
      <c r="G849" s="42" t="s">
        <v>763</v>
      </c>
      <c r="H849" s="42" t="s">
        <v>104</v>
      </c>
      <c r="I849" s="42" t="s">
        <v>853</v>
      </c>
    </row>
    <row r="850" spans="1:9">
      <c r="A850" s="42" t="s">
        <v>759</v>
      </c>
      <c r="B850" s="42" t="s">
        <v>292</v>
      </c>
      <c r="C850" s="42" t="s">
        <v>768</v>
      </c>
      <c r="D850" s="42" t="s">
        <v>165</v>
      </c>
      <c r="E850" s="42" t="s">
        <v>808</v>
      </c>
      <c r="F850" s="45">
        <v>200496055.7289866</v>
      </c>
      <c r="G850" s="42" t="s">
        <v>763</v>
      </c>
      <c r="H850" s="42" t="s">
        <v>104</v>
      </c>
      <c r="I850" s="42" t="s">
        <v>853</v>
      </c>
    </row>
    <row r="851" spans="1:9">
      <c r="A851" s="42" t="s">
        <v>759</v>
      </c>
      <c r="B851" s="42" t="s">
        <v>293</v>
      </c>
      <c r="C851" s="42" t="s">
        <v>769</v>
      </c>
      <c r="D851" s="42" t="s">
        <v>165</v>
      </c>
      <c r="E851" s="42" t="s">
        <v>808</v>
      </c>
      <c r="F851" s="45">
        <v>42616931.98502681</v>
      </c>
      <c r="G851" s="42" t="s">
        <v>763</v>
      </c>
      <c r="H851" s="42" t="s">
        <v>104</v>
      </c>
      <c r="I851" s="42" t="s">
        <v>853</v>
      </c>
    </row>
    <row r="852" spans="1:9">
      <c r="A852" s="42" t="s">
        <v>759</v>
      </c>
      <c r="B852" s="42" t="s">
        <v>295</v>
      </c>
      <c r="C852" s="42" t="s">
        <v>770</v>
      </c>
      <c r="D852" s="42" t="s">
        <v>165</v>
      </c>
      <c r="E852" s="42" t="s">
        <v>808</v>
      </c>
      <c r="F852" s="45">
        <v>143690359.0787928</v>
      </c>
      <c r="G852" s="42" t="s">
        <v>763</v>
      </c>
      <c r="H852" s="42" t="s">
        <v>104</v>
      </c>
      <c r="I852" s="42" t="s">
        <v>853</v>
      </c>
    </row>
    <row r="853" spans="1:9">
      <c r="A853" s="42" t="s">
        <v>759</v>
      </c>
      <c r="B853" s="42" t="s">
        <v>296</v>
      </c>
      <c r="C853" s="42" t="s">
        <v>771</v>
      </c>
      <c r="D853" s="42" t="s">
        <v>165</v>
      </c>
      <c r="E853" s="42" t="s">
        <v>808</v>
      </c>
      <c r="F853" s="45">
        <v>18506017865.77749</v>
      </c>
      <c r="G853" s="42" t="s">
        <v>763</v>
      </c>
      <c r="H853" s="42" t="s">
        <v>104</v>
      </c>
      <c r="I853" s="42" t="s">
        <v>853</v>
      </c>
    </row>
    <row r="854" spans="1:9">
      <c r="A854" s="42" t="s">
        <v>759</v>
      </c>
      <c r="B854" s="42" t="s">
        <v>810</v>
      </c>
      <c r="C854" s="42" t="s">
        <v>818</v>
      </c>
      <c r="D854" s="42" t="s">
        <v>165</v>
      </c>
      <c r="E854" s="42" t="s">
        <v>808</v>
      </c>
      <c r="F854" s="45">
        <v>1002632.192613511</v>
      </c>
      <c r="G854" s="42" t="s">
        <v>763</v>
      </c>
      <c r="H854" s="42" t="s">
        <v>104</v>
      </c>
      <c r="I854" s="42" t="s">
        <v>853</v>
      </c>
    </row>
    <row r="855" spans="1:9">
      <c r="A855" s="42" t="s">
        <v>759</v>
      </c>
      <c r="B855" s="42" t="s">
        <v>241</v>
      </c>
      <c r="C855" s="42" t="s">
        <v>772</v>
      </c>
      <c r="D855" s="42" t="s">
        <v>165</v>
      </c>
      <c r="E855" s="42" t="s">
        <v>808</v>
      </c>
      <c r="F855" s="45">
        <v>1397598383.317898</v>
      </c>
      <c r="G855" s="42" t="s">
        <v>763</v>
      </c>
      <c r="H855" s="42" t="s">
        <v>104</v>
      </c>
      <c r="I855" s="42" t="s">
        <v>853</v>
      </c>
    </row>
    <row r="856" spans="1:9">
      <c r="A856" s="42" t="s">
        <v>759</v>
      </c>
      <c r="B856" s="42" t="s">
        <v>242</v>
      </c>
      <c r="C856" s="42" t="s">
        <v>773</v>
      </c>
      <c r="D856" s="42" t="s">
        <v>165</v>
      </c>
      <c r="E856" s="42" t="s">
        <v>808</v>
      </c>
      <c r="F856" s="45">
        <v>10826402.16064488</v>
      </c>
      <c r="G856" s="42" t="s">
        <v>763</v>
      </c>
      <c r="H856" s="42" t="s">
        <v>104</v>
      </c>
      <c r="I856" s="42" t="s">
        <v>853</v>
      </c>
    </row>
    <row r="857" spans="1:9">
      <c r="A857" s="42" t="s">
        <v>759</v>
      </c>
      <c r="B857" s="42" t="s">
        <v>292</v>
      </c>
      <c r="C857" s="42" t="s">
        <v>774</v>
      </c>
      <c r="D857" s="42" t="s">
        <v>165</v>
      </c>
      <c r="E857" s="42" t="s">
        <v>808</v>
      </c>
      <c r="F857" s="45">
        <v>461939995.6513885</v>
      </c>
      <c r="G857" s="42" t="s">
        <v>763</v>
      </c>
      <c r="H857" s="42" t="s">
        <v>104</v>
      </c>
      <c r="I857" s="42" t="s">
        <v>853</v>
      </c>
    </row>
    <row r="858" spans="1:9">
      <c r="A858" s="42" t="s">
        <v>759</v>
      </c>
      <c r="B858" s="42" t="s">
        <v>293</v>
      </c>
      <c r="C858" s="42" t="s">
        <v>775</v>
      </c>
      <c r="D858" s="42" t="s">
        <v>165</v>
      </c>
      <c r="E858" s="42" t="s">
        <v>808</v>
      </c>
      <c r="F858" s="45">
        <v>1613549153.4502</v>
      </c>
      <c r="G858" s="42" t="s">
        <v>763</v>
      </c>
      <c r="H858" s="42" t="s">
        <v>104</v>
      </c>
      <c r="I858" s="42" t="s">
        <v>853</v>
      </c>
    </row>
    <row r="859" spans="1:9">
      <c r="A859" s="42" t="s">
        <v>759</v>
      </c>
      <c r="B859" s="42" t="s">
        <v>295</v>
      </c>
      <c r="C859" s="42" t="s">
        <v>776</v>
      </c>
      <c r="D859" s="42" t="s">
        <v>165</v>
      </c>
      <c r="E859" s="42" t="s">
        <v>808</v>
      </c>
      <c r="F859" s="45">
        <v>409823376.8312963</v>
      </c>
      <c r="G859" s="42" t="s">
        <v>763</v>
      </c>
      <c r="H859" s="42" t="s">
        <v>104</v>
      </c>
      <c r="I859" s="42" t="s">
        <v>853</v>
      </c>
    </row>
    <row r="860" spans="1:9">
      <c r="A860" s="42" t="s">
        <v>759</v>
      </c>
      <c r="B860" s="42" t="s">
        <v>246</v>
      </c>
      <c r="C860" s="42" t="s">
        <v>777</v>
      </c>
      <c r="D860" s="42" t="s">
        <v>165</v>
      </c>
      <c r="E860" s="42" t="s">
        <v>808</v>
      </c>
      <c r="F860" s="45">
        <v>622827015.9731889</v>
      </c>
      <c r="G860" s="42" t="s">
        <v>763</v>
      </c>
      <c r="H860" s="42" t="s">
        <v>104</v>
      </c>
      <c r="I860" s="42" t="s">
        <v>853</v>
      </c>
    </row>
    <row r="861" spans="1:9">
      <c r="A861" s="42" t="s">
        <v>759</v>
      </c>
      <c r="B861" s="42" t="s">
        <v>247</v>
      </c>
      <c r="C861" s="42" t="s">
        <v>778</v>
      </c>
      <c r="D861" s="42" t="s">
        <v>165</v>
      </c>
      <c r="E861" s="42" t="s">
        <v>808</v>
      </c>
      <c r="F861" s="45">
        <v>4517566959.577229</v>
      </c>
      <c r="G861" s="42" t="s">
        <v>763</v>
      </c>
      <c r="H861" s="42" t="s">
        <v>104</v>
      </c>
      <c r="I861" s="42" t="s">
        <v>853</v>
      </c>
    </row>
    <row r="862" spans="1:9">
      <c r="A862" s="42" t="s">
        <v>759</v>
      </c>
      <c r="B862" s="42" t="s">
        <v>248</v>
      </c>
      <c r="C862" s="42" t="s">
        <v>779</v>
      </c>
      <c r="D862" s="42" t="s">
        <v>165</v>
      </c>
      <c r="E862" s="42" t="s">
        <v>808</v>
      </c>
      <c r="F862" s="45">
        <v>23023584825.35472</v>
      </c>
      <c r="G862" s="42" t="s">
        <v>763</v>
      </c>
      <c r="H862" s="42" t="s">
        <v>104</v>
      </c>
      <c r="I862" s="42" t="s">
        <v>853</v>
      </c>
    </row>
    <row r="863" spans="1:9">
      <c r="A863" s="42" t="s">
        <v>759</v>
      </c>
      <c r="B863" s="42" t="s">
        <v>780</v>
      </c>
      <c r="C863" s="42" t="s">
        <v>781</v>
      </c>
      <c r="D863" s="42" t="s">
        <v>165</v>
      </c>
      <c r="E863" s="42" t="s">
        <v>808</v>
      </c>
      <c r="F863" s="45">
        <v>105904291.2945402</v>
      </c>
      <c r="G863" s="42" t="s">
        <v>763</v>
      </c>
      <c r="H863" s="42" t="s">
        <v>104</v>
      </c>
      <c r="I863" s="42" t="s">
        <v>853</v>
      </c>
    </row>
    <row r="864" spans="1:9">
      <c r="A864" s="42" t="s">
        <v>759</v>
      </c>
      <c r="B864" s="42" t="s">
        <v>299</v>
      </c>
      <c r="C864" s="42" t="s">
        <v>782</v>
      </c>
      <c r="D864" s="42" t="s">
        <v>165</v>
      </c>
      <c r="E864" s="42" t="s">
        <v>808</v>
      </c>
      <c r="F864" s="45">
        <v>7771341359.359892</v>
      </c>
      <c r="G864" s="42" t="s">
        <v>763</v>
      </c>
      <c r="H864" s="42" t="s">
        <v>104</v>
      </c>
      <c r="I864" s="42" t="s">
        <v>853</v>
      </c>
    </row>
    <row r="865" spans="1:9">
      <c r="A865" s="42" t="s">
        <v>759</v>
      </c>
      <c r="B865" s="42" t="s">
        <v>783</v>
      </c>
      <c r="C865" s="42" t="s">
        <v>784</v>
      </c>
      <c r="D865" s="42" t="s">
        <v>165</v>
      </c>
      <c r="E865" s="42" t="s">
        <v>808</v>
      </c>
      <c r="F865" s="45">
        <v>7877245650.654432</v>
      </c>
      <c r="G865" s="42" t="s">
        <v>763</v>
      </c>
      <c r="H865" s="42" t="s">
        <v>104</v>
      </c>
      <c r="I865" s="42" t="s">
        <v>853</v>
      </c>
    </row>
    <row r="866" spans="1:9">
      <c r="A866" s="42" t="s">
        <v>759</v>
      </c>
      <c r="B866" s="42" t="s">
        <v>261</v>
      </c>
      <c r="C866" s="42" t="s">
        <v>785</v>
      </c>
      <c r="D866" s="42" t="s">
        <v>165</v>
      </c>
      <c r="E866" s="42" t="s">
        <v>808</v>
      </c>
      <c r="F866" s="45">
        <v>75673411.54755712</v>
      </c>
      <c r="G866" s="42" t="s">
        <v>763</v>
      </c>
      <c r="H866" s="42" t="s">
        <v>104</v>
      </c>
      <c r="I866" s="42" t="s">
        <v>853</v>
      </c>
    </row>
    <row r="867" spans="1:9">
      <c r="A867" s="42" t="s">
        <v>759</v>
      </c>
      <c r="B867" s="42" t="s">
        <v>786</v>
      </c>
      <c r="C867" s="42" t="s">
        <v>787</v>
      </c>
      <c r="D867" s="42" t="s">
        <v>165</v>
      </c>
      <c r="E867" s="42" t="s">
        <v>808</v>
      </c>
      <c r="F867" s="45">
        <v>7952919062.201989</v>
      </c>
      <c r="G867" s="42" t="s">
        <v>763</v>
      </c>
      <c r="H867" s="42" t="s">
        <v>104</v>
      </c>
      <c r="I867" s="42" t="s">
        <v>853</v>
      </c>
    </row>
    <row r="868" spans="1:9">
      <c r="A868" s="42" t="s">
        <v>759</v>
      </c>
      <c r="B868" s="42" t="s">
        <v>301</v>
      </c>
      <c r="C868" s="42" t="s">
        <v>788</v>
      </c>
      <c r="D868" s="42" t="s">
        <v>165</v>
      </c>
      <c r="E868" s="42" t="s">
        <v>808</v>
      </c>
      <c r="F868" s="45">
        <v>2309244236.351209</v>
      </c>
      <c r="G868" s="42" t="s">
        <v>763</v>
      </c>
      <c r="H868" s="42" t="s">
        <v>104</v>
      </c>
      <c r="I868" s="42" t="s">
        <v>853</v>
      </c>
    </row>
    <row r="869" spans="1:9">
      <c r="A869" s="42" t="s">
        <v>759</v>
      </c>
      <c r="B869" s="42" t="s">
        <v>303</v>
      </c>
      <c r="C869" s="42" t="s">
        <v>789</v>
      </c>
      <c r="D869" s="42" t="s">
        <v>165</v>
      </c>
      <c r="E869" s="42" t="s">
        <v>808</v>
      </c>
      <c r="F869" s="45">
        <v>2136862392.407021</v>
      </c>
      <c r="G869" s="42" t="s">
        <v>763</v>
      </c>
      <c r="H869" s="42" t="s">
        <v>104</v>
      </c>
      <c r="I869" s="42" t="s">
        <v>853</v>
      </c>
    </row>
    <row r="870" spans="1:9">
      <c r="A870" s="42" t="s">
        <v>759</v>
      </c>
      <c r="B870" s="42" t="s">
        <v>304</v>
      </c>
      <c r="C870" s="42" t="s">
        <v>831</v>
      </c>
      <c r="D870" s="42" t="s">
        <v>165</v>
      </c>
      <c r="E870" s="42" t="s">
        <v>808</v>
      </c>
      <c r="F870" s="45">
        <v>32246271.73011534</v>
      </c>
      <c r="G870" s="42" t="s">
        <v>763</v>
      </c>
      <c r="H870" s="42" t="s">
        <v>104</v>
      </c>
      <c r="I870" s="42" t="s">
        <v>853</v>
      </c>
    </row>
    <row r="871" spans="1:9">
      <c r="A871" s="42" t="s">
        <v>759</v>
      </c>
      <c r="B871" s="42" t="s">
        <v>305</v>
      </c>
      <c r="C871" s="42" t="s">
        <v>790</v>
      </c>
      <c r="D871" s="42" t="s">
        <v>165</v>
      </c>
      <c r="E871" s="42" t="s">
        <v>808</v>
      </c>
      <c r="F871" s="45">
        <v>2076157.570563331</v>
      </c>
      <c r="G871" s="42" t="s">
        <v>763</v>
      </c>
      <c r="H871" s="42" t="s">
        <v>104</v>
      </c>
      <c r="I871" s="42" t="s">
        <v>853</v>
      </c>
    </row>
    <row r="872" spans="1:9">
      <c r="A872" s="42" t="s">
        <v>759</v>
      </c>
      <c r="B872" s="42" t="s">
        <v>306</v>
      </c>
      <c r="C872" s="42" t="s">
        <v>856</v>
      </c>
      <c r="D872" s="42" t="s">
        <v>165</v>
      </c>
      <c r="E872" s="42" t="s">
        <v>808</v>
      </c>
      <c r="F872" s="45">
        <v>36074503.73827602</v>
      </c>
      <c r="G872" s="42" t="s">
        <v>763</v>
      </c>
      <c r="H872" s="42" t="s">
        <v>104</v>
      </c>
      <c r="I872" s="42" t="s">
        <v>853</v>
      </c>
    </row>
    <row r="873" spans="1:9">
      <c r="A873" s="42" t="s">
        <v>759</v>
      </c>
      <c r="B873" s="42" t="s">
        <v>307</v>
      </c>
      <c r="C873" s="42" t="s">
        <v>836</v>
      </c>
      <c r="D873" s="42" t="s">
        <v>165</v>
      </c>
      <c r="E873" s="42" t="s">
        <v>808</v>
      </c>
      <c r="F873" s="45">
        <v>260167862.5863483</v>
      </c>
      <c r="G873" s="42" t="s">
        <v>763</v>
      </c>
      <c r="H873" s="42" t="s">
        <v>104</v>
      </c>
      <c r="I873" s="42" t="s">
        <v>853</v>
      </c>
    </row>
    <row r="874" spans="1:9">
      <c r="A874" s="42" t="s">
        <v>759</v>
      </c>
      <c r="B874" s="42" t="s">
        <v>308</v>
      </c>
      <c r="C874" s="42" t="s">
        <v>791</v>
      </c>
      <c r="D874" s="42" t="s">
        <v>165</v>
      </c>
      <c r="E874" s="42" t="s">
        <v>808</v>
      </c>
      <c r="F874" s="45">
        <v>6390463640.183457</v>
      </c>
      <c r="G874" s="42" t="s">
        <v>763</v>
      </c>
      <c r="H874" s="42" t="s">
        <v>104</v>
      </c>
      <c r="I874" s="42" t="s">
        <v>853</v>
      </c>
    </row>
    <row r="875" spans="1:9">
      <c r="A875" s="42" t="s">
        <v>759</v>
      </c>
      <c r="B875" s="42" t="s">
        <v>309</v>
      </c>
      <c r="C875" s="42" t="s">
        <v>792</v>
      </c>
      <c r="D875" s="42" t="s">
        <v>165</v>
      </c>
      <c r="E875" s="42" t="s">
        <v>808</v>
      </c>
      <c r="F875" s="45">
        <v>9428793.649729077</v>
      </c>
      <c r="G875" s="42" t="s">
        <v>763</v>
      </c>
      <c r="H875" s="42" t="s">
        <v>104</v>
      </c>
      <c r="I875" s="42" t="s">
        <v>853</v>
      </c>
    </row>
    <row r="876" spans="1:9">
      <c r="A876" s="42" t="s">
        <v>759</v>
      </c>
      <c r="B876" s="42" t="s">
        <v>310</v>
      </c>
      <c r="C876" s="42" t="s">
        <v>793</v>
      </c>
      <c r="D876" s="42" t="s">
        <v>165</v>
      </c>
      <c r="E876" s="42" t="s">
        <v>808</v>
      </c>
      <c r="F876" s="45">
        <v>15150886.46615972</v>
      </c>
      <c r="G876" s="42" t="s">
        <v>763</v>
      </c>
      <c r="H876" s="42" t="s">
        <v>104</v>
      </c>
      <c r="I876" s="42" t="s">
        <v>853</v>
      </c>
    </row>
    <row r="877" spans="1:9">
      <c r="A877" s="42" t="s">
        <v>759</v>
      </c>
      <c r="B877" s="42" t="s">
        <v>311</v>
      </c>
      <c r="C877" s="42" t="s">
        <v>794</v>
      </c>
      <c r="D877" s="42" t="s">
        <v>165</v>
      </c>
      <c r="E877" s="42" t="s">
        <v>808</v>
      </c>
      <c r="F877" s="45">
        <v>11191714744.68288</v>
      </c>
      <c r="G877" s="42" t="s">
        <v>763</v>
      </c>
      <c r="H877" s="42" t="s">
        <v>104</v>
      </c>
      <c r="I877" s="42" t="s">
        <v>853</v>
      </c>
    </row>
    <row r="878" spans="1:9">
      <c r="A878" s="42" t="s">
        <v>759</v>
      </c>
      <c r="B878" s="42" t="s">
        <v>301</v>
      </c>
      <c r="C878" s="42" t="s">
        <v>795</v>
      </c>
      <c r="D878" s="42" t="s">
        <v>165</v>
      </c>
      <c r="E878" s="42" t="s">
        <v>808</v>
      </c>
      <c r="F878" s="45">
        <v>87269511.1489962</v>
      </c>
      <c r="G878" s="42" t="s">
        <v>763</v>
      </c>
      <c r="H878" s="42" t="s">
        <v>104</v>
      </c>
      <c r="I878" s="42" t="s">
        <v>853</v>
      </c>
    </row>
    <row r="879" spans="1:9">
      <c r="A879" s="42" t="s">
        <v>759</v>
      </c>
      <c r="B879" s="42" t="s">
        <v>302</v>
      </c>
      <c r="C879" s="42" t="s">
        <v>797</v>
      </c>
      <c r="D879" s="42" t="s">
        <v>165</v>
      </c>
      <c r="E879" s="42" t="s">
        <v>808</v>
      </c>
      <c r="F879" s="45">
        <v>176473393.4978831</v>
      </c>
      <c r="G879" s="42" t="s">
        <v>763</v>
      </c>
      <c r="H879" s="42" t="s">
        <v>104</v>
      </c>
      <c r="I879" s="42" t="s">
        <v>853</v>
      </c>
    </row>
    <row r="880" spans="1:9">
      <c r="A880" s="42" t="s">
        <v>759</v>
      </c>
      <c r="B880" s="42" t="s">
        <v>304</v>
      </c>
      <c r="C880" s="42" t="s">
        <v>796</v>
      </c>
      <c r="D880" s="42" t="s">
        <v>165</v>
      </c>
      <c r="E880" s="42" t="s">
        <v>808</v>
      </c>
      <c r="F880" s="45">
        <v>16528239.78126515</v>
      </c>
      <c r="G880" s="42" t="s">
        <v>763</v>
      </c>
      <c r="H880" s="42" t="s">
        <v>104</v>
      </c>
      <c r="I880" s="42" t="s">
        <v>853</v>
      </c>
    </row>
    <row r="881" spans="1:9">
      <c r="A881" s="42" t="s">
        <v>759</v>
      </c>
      <c r="B881" s="42" t="s">
        <v>305</v>
      </c>
      <c r="C881" s="42" t="s">
        <v>798</v>
      </c>
      <c r="D881" s="42" t="s">
        <v>165</v>
      </c>
      <c r="E881" s="42" t="s">
        <v>808</v>
      </c>
      <c r="F881" s="45">
        <v>191117900.0687835</v>
      </c>
      <c r="G881" s="42" t="s">
        <v>763</v>
      </c>
      <c r="H881" s="42" t="s">
        <v>104</v>
      </c>
      <c r="I881" s="42" t="s">
        <v>853</v>
      </c>
    </row>
    <row r="882" spans="1:9">
      <c r="A882" s="42" t="s">
        <v>759</v>
      </c>
      <c r="B882" s="42" t="s">
        <v>306</v>
      </c>
      <c r="C882" s="42" t="s">
        <v>799</v>
      </c>
      <c r="D882" s="42" t="s">
        <v>165</v>
      </c>
      <c r="E882" s="42" t="s">
        <v>808</v>
      </c>
      <c r="F882" s="45">
        <v>199057936.82645</v>
      </c>
      <c r="G882" s="42" t="s">
        <v>763</v>
      </c>
      <c r="H882" s="42" t="s">
        <v>104</v>
      </c>
      <c r="I882" s="42" t="s">
        <v>853</v>
      </c>
    </row>
    <row r="883" spans="1:9">
      <c r="A883" s="42" t="s">
        <v>759</v>
      </c>
      <c r="B883" s="42" t="s">
        <v>307</v>
      </c>
      <c r="C883" s="42" t="s">
        <v>843</v>
      </c>
      <c r="D883" s="42" t="s">
        <v>165</v>
      </c>
      <c r="E883" s="42" t="s">
        <v>808</v>
      </c>
      <c r="F883" s="45">
        <v>228853329.8635102</v>
      </c>
      <c r="G883" s="42" t="s">
        <v>763</v>
      </c>
      <c r="H883" s="42" t="s">
        <v>104</v>
      </c>
      <c r="I883" s="42" t="s">
        <v>853</v>
      </c>
    </row>
    <row r="884" spans="1:9">
      <c r="A884" s="42" t="s">
        <v>759</v>
      </c>
      <c r="B884" s="42" t="s">
        <v>308</v>
      </c>
      <c r="C884" s="42" t="s">
        <v>800</v>
      </c>
      <c r="D884" s="42" t="s">
        <v>165</v>
      </c>
      <c r="E884" s="42" t="s">
        <v>808</v>
      </c>
      <c r="F884" s="45">
        <v>1091086632.717414</v>
      </c>
      <c r="G884" s="42" t="s">
        <v>763</v>
      </c>
      <c r="H884" s="42" t="s">
        <v>104</v>
      </c>
      <c r="I884" s="42" t="s">
        <v>853</v>
      </c>
    </row>
    <row r="885" spans="1:9">
      <c r="A885" s="42" t="s">
        <v>759</v>
      </c>
      <c r="B885" s="42" t="s">
        <v>309</v>
      </c>
      <c r="C885" s="42" t="s">
        <v>801</v>
      </c>
      <c r="D885" s="42" t="s">
        <v>165</v>
      </c>
      <c r="E885" s="42" t="s">
        <v>808</v>
      </c>
      <c r="F885" s="45">
        <v>52045725.63475588</v>
      </c>
      <c r="G885" s="42" t="s">
        <v>763</v>
      </c>
      <c r="H885" s="42" t="s">
        <v>104</v>
      </c>
      <c r="I885" s="42" t="s">
        <v>853</v>
      </c>
    </row>
    <row r="886" spans="1:9">
      <c r="A886" s="42" t="s">
        <v>759</v>
      </c>
      <c r="B886" s="42" t="s">
        <v>310</v>
      </c>
      <c r="C886" s="42" t="s">
        <v>802</v>
      </c>
      <c r="D886" s="42" t="s">
        <v>165</v>
      </c>
      <c r="E886" s="42" t="s">
        <v>808</v>
      </c>
      <c r="F886" s="45">
        <v>1836518348.930796</v>
      </c>
      <c r="G886" s="42" t="s">
        <v>763</v>
      </c>
      <c r="H886" s="42" t="s">
        <v>104</v>
      </c>
      <c r="I886" s="42" t="s">
        <v>853</v>
      </c>
    </row>
    <row r="887" spans="1:9">
      <c r="A887" s="42" t="s">
        <v>759</v>
      </c>
      <c r="B887" s="42" t="s">
        <v>284</v>
      </c>
      <c r="C887" s="42" t="s">
        <v>803</v>
      </c>
      <c r="D887" s="42" t="s">
        <v>165</v>
      </c>
      <c r="E887" s="42" t="s">
        <v>808</v>
      </c>
      <c r="F887" s="45">
        <v>3878951018.469854</v>
      </c>
      <c r="G887" s="42" t="s">
        <v>763</v>
      </c>
      <c r="H887" s="42" t="s">
        <v>104</v>
      </c>
      <c r="I887" s="42" t="s">
        <v>853</v>
      </c>
    </row>
    <row r="888" spans="1:9">
      <c r="A888" s="42" t="s">
        <v>759</v>
      </c>
      <c r="B888" s="42" t="s">
        <v>285</v>
      </c>
      <c r="C888" s="42" t="s">
        <v>804</v>
      </c>
      <c r="D888" s="42" t="s">
        <v>165</v>
      </c>
      <c r="E888" s="42" t="s">
        <v>808</v>
      </c>
      <c r="F888" s="45">
        <v>15070665763.15273</v>
      </c>
      <c r="G888" s="42" t="s">
        <v>763</v>
      </c>
      <c r="H888" s="42" t="s">
        <v>104</v>
      </c>
      <c r="I888" s="42" t="s">
        <v>853</v>
      </c>
    </row>
    <row r="889" spans="1:9">
      <c r="A889" s="42" t="s">
        <v>759</v>
      </c>
      <c r="B889" s="42" t="s">
        <v>805</v>
      </c>
      <c r="C889" s="42" t="s">
        <v>806</v>
      </c>
      <c r="D889" s="42" t="s">
        <v>165</v>
      </c>
      <c r="E889" s="42" t="s">
        <v>808</v>
      </c>
      <c r="F889" s="45">
        <v>23023584825.35472</v>
      </c>
      <c r="G889" s="42" t="s">
        <v>763</v>
      </c>
      <c r="H889" s="42" t="s">
        <v>104</v>
      </c>
      <c r="I889" s="42" t="s">
        <v>853</v>
      </c>
    </row>
    <row r="890" spans="1:9">
      <c r="A890" s="42" t="s">
        <v>759</v>
      </c>
      <c r="B890" s="42" t="s">
        <v>287</v>
      </c>
      <c r="C890" s="42" t="s">
        <v>821</v>
      </c>
      <c r="D890" s="42" t="s">
        <v>166</v>
      </c>
      <c r="E890" s="42" t="s">
        <v>808</v>
      </c>
      <c r="F890" s="45">
        <v>419000000</v>
      </c>
      <c r="G890" s="42" t="s">
        <v>763</v>
      </c>
      <c r="H890" s="42" t="s">
        <v>129</v>
      </c>
      <c r="I890" s="42" t="s">
        <v>861</v>
      </c>
    </row>
    <row r="891" spans="1:9">
      <c r="A891" s="42" t="s">
        <v>759</v>
      </c>
      <c r="B891" s="42" t="s">
        <v>288</v>
      </c>
      <c r="C891" s="42" t="s">
        <v>823</v>
      </c>
      <c r="D891" s="42" t="s">
        <v>166</v>
      </c>
      <c r="E891" s="42" t="s">
        <v>808</v>
      </c>
      <c r="F891" s="45">
        <v>16003000000</v>
      </c>
      <c r="G891" s="42" t="s">
        <v>763</v>
      </c>
      <c r="H891" s="42" t="s">
        <v>129</v>
      </c>
      <c r="I891" s="42" t="s">
        <v>861</v>
      </c>
    </row>
    <row r="892" spans="1:9">
      <c r="A892" s="42" t="s">
        <v>759</v>
      </c>
      <c r="B892" s="42" t="s">
        <v>289</v>
      </c>
      <c r="C892" s="42" t="s">
        <v>825</v>
      </c>
      <c r="D892" s="42" t="s">
        <v>166</v>
      </c>
      <c r="E892" s="42" t="s">
        <v>808</v>
      </c>
      <c r="F892" s="45">
        <v>519000000</v>
      </c>
      <c r="G892" s="42" t="s">
        <v>763</v>
      </c>
      <c r="H892" s="42" t="s">
        <v>129</v>
      </c>
      <c r="I892" s="42" t="s">
        <v>861</v>
      </c>
    </row>
    <row r="893" spans="1:9">
      <c r="A893" s="42" t="s">
        <v>759</v>
      </c>
      <c r="B893" s="42" t="s">
        <v>290</v>
      </c>
      <c r="C893" s="42" t="s">
        <v>826</v>
      </c>
      <c r="D893" s="42" t="s">
        <v>166</v>
      </c>
      <c r="E893" s="42" t="s">
        <v>808</v>
      </c>
      <c r="F893" s="45">
        <v>1529000000</v>
      </c>
      <c r="G893" s="42" t="s">
        <v>763</v>
      </c>
      <c r="H893" s="42" t="s">
        <v>129</v>
      </c>
      <c r="I893" s="42" t="s">
        <v>861</v>
      </c>
    </row>
    <row r="894" spans="1:9">
      <c r="A894" s="42" t="s">
        <v>759</v>
      </c>
      <c r="B894" s="42" t="s">
        <v>291</v>
      </c>
      <c r="C894" s="42" t="s">
        <v>827</v>
      </c>
      <c r="D894" s="42" t="s">
        <v>166</v>
      </c>
      <c r="E894" s="42" t="s">
        <v>808</v>
      </c>
      <c r="F894" s="45">
        <v>19000000</v>
      </c>
      <c r="G894" s="42" t="s">
        <v>763</v>
      </c>
      <c r="H894" s="42" t="s">
        <v>129</v>
      </c>
      <c r="I894" s="42" t="s">
        <v>861</v>
      </c>
    </row>
    <row r="895" spans="1:9">
      <c r="A895" s="42" t="s">
        <v>759</v>
      </c>
      <c r="B895" s="42" t="s">
        <v>292</v>
      </c>
      <c r="C895" s="42" t="s">
        <v>828</v>
      </c>
      <c r="D895" s="42" t="s">
        <v>166</v>
      </c>
      <c r="E895" s="42" t="s">
        <v>808</v>
      </c>
      <c r="F895" s="45">
        <v>190000000</v>
      </c>
      <c r="G895" s="42" t="s">
        <v>763</v>
      </c>
      <c r="H895" s="42" t="s">
        <v>129</v>
      </c>
      <c r="I895" s="42" t="s">
        <v>861</v>
      </c>
    </row>
    <row r="896" spans="1:9">
      <c r="A896" s="42" t="s">
        <v>759</v>
      </c>
      <c r="B896" s="42" t="s">
        <v>293</v>
      </c>
      <c r="C896" s="42" t="s">
        <v>829</v>
      </c>
      <c r="D896" s="42" t="s">
        <v>166</v>
      </c>
      <c r="E896" s="42" t="s">
        <v>808</v>
      </c>
      <c r="F896" s="45">
        <v>43000000</v>
      </c>
      <c r="G896" s="42" t="s">
        <v>763</v>
      </c>
      <c r="H896" s="42" t="s">
        <v>129</v>
      </c>
      <c r="I896" s="42" t="s">
        <v>861</v>
      </c>
    </row>
    <row r="897" spans="1:9">
      <c r="A897" s="42" t="s">
        <v>759</v>
      </c>
      <c r="B897" s="42" t="s">
        <v>862</v>
      </c>
      <c r="C897" s="42" t="s">
        <v>863</v>
      </c>
      <c r="D897" s="42" t="s">
        <v>166</v>
      </c>
      <c r="E897" s="42" t="s">
        <v>808</v>
      </c>
      <c r="F897" s="45">
        <v>25000000</v>
      </c>
      <c r="G897" s="42" t="s">
        <v>763</v>
      </c>
      <c r="H897" s="42" t="s">
        <v>129</v>
      </c>
      <c r="I897" s="42" t="s">
        <v>861</v>
      </c>
    </row>
    <row r="898" spans="1:9">
      <c r="A898" s="42" t="s">
        <v>759</v>
      </c>
      <c r="B898" s="42" t="s">
        <v>239</v>
      </c>
      <c r="C898" s="42" t="s">
        <v>830</v>
      </c>
      <c r="D898" s="42" t="s">
        <v>166</v>
      </c>
      <c r="E898" s="42" t="s">
        <v>808</v>
      </c>
      <c r="F898" s="45">
        <v>18747000000</v>
      </c>
      <c r="G898" s="42" t="s">
        <v>763</v>
      </c>
      <c r="H898" s="42" t="s">
        <v>129</v>
      </c>
      <c r="I898" s="42" t="s">
        <v>861</v>
      </c>
    </row>
    <row r="899" spans="1:9">
      <c r="A899" s="42" t="s">
        <v>759</v>
      </c>
      <c r="B899" s="42" t="s">
        <v>810</v>
      </c>
      <c r="C899" s="42" t="s">
        <v>818</v>
      </c>
      <c r="D899" s="42" t="s">
        <v>166</v>
      </c>
      <c r="E899" s="42" t="s">
        <v>808</v>
      </c>
      <c r="F899" s="45">
        <v>1000000</v>
      </c>
      <c r="G899" s="42" t="s">
        <v>763</v>
      </c>
      <c r="H899" s="42" t="s">
        <v>129</v>
      </c>
      <c r="I899" s="42" t="s">
        <v>861</v>
      </c>
    </row>
    <row r="900" spans="1:9">
      <c r="A900" s="42" t="s">
        <v>759</v>
      </c>
      <c r="B900" s="42" t="s">
        <v>241</v>
      </c>
      <c r="C900" s="42" t="s">
        <v>772</v>
      </c>
      <c r="D900" s="42" t="s">
        <v>166</v>
      </c>
      <c r="E900" s="42" t="s">
        <v>808</v>
      </c>
      <c r="F900" s="45">
        <v>1500000000</v>
      </c>
      <c r="G900" s="42" t="s">
        <v>763</v>
      </c>
      <c r="H900" s="42" t="s">
        <v>129</v>
      </c>
      <c r="I900" s="42" t="s">
        <v>861</v>
      </c>
    </row>
    <row r="901" spans="1:9">
      <c r="A901" s="42" t="s">
        <v>759</v>
      </c>
      <c r="B901" s="42" t="s">
        <v>242</v>
      </c>
      <c r="C901" s="42" t="s">
        <v>773</v>
      </c>
      <c r="D901" s="42" t="s">
        <v>166</v>
      </c>
      <c r="E901" s="42" t="s">
        <v>808</v>
      </c>
      <c r="F901" s="45">
        <v>13000000</v>
      </c>
      <c r="G901" s="42" t="s">
        <v>763</v>
      </c>
      <c r="H901" s="42" t="s">
        <v>129</v>
      </c>
      <c r="I901" s="42" t="s">
        <v>861</v>
      </c>
    </row>
    <row r="902" spans="1:9">
      <c r="A902" s="42" t="s">
        <v>759</v>
      </c>
      <c r="B902" s="42" t="s">
        <v>292</v>
      </c>
      <c r="C902" s="42" t="s">
        <v>774</v>
      </c>
      <c r="D902" s="42" t="s">
        <v>166</v>
      </c>
      <c r="E902" s="42" t="s">
        <v>808</v>
      </c>
      <c r="F902" s="45">
        <v>616000000</v>
      </c>
      <c r="G902" s="42" t="s">
        <v>763</v>
      </c>
      <c r="H902" s="42" t="s">
        <v>129</v>
      </c>
      <c r="I902" s="42" t="s">
        <v>861</v>
      </c>
    </row>
    <row r="903" spans="1:9">
      <c r="A903" s="42" t="s">
        <v>759</v>
      </c>
      <c r="B903" s="42" t="s">
        <v>293</v>
      </c>
      <c r="C903" s="42" t="s">
        <v>775</v>
      </c>
      <c r="D903" s="42" t="s">
        <v>166</v>
      </c>
      <c r="E903" s="42" t="s">
        <v>808</v>
      </c>
      <c r="F903" s="45">
        <v>1305000000</v>
      </c>
      <c r="G903" s="42" t="s">
        <v>763</v>
      </c>
      <c r="H903" s="42" t="s">
        <v>129</v>
      </c>
      <c r="I903" s="42" t="s">
        <v>861</v>
      </c>
    </row>
    <row r="904" spans="1:9">
      <c r="A904" s="42" t="s">
        <v>759</v>
      </c>
      <c r="B904" s="42" t="s">
        <v>862</v>
      </c>
      <c r="C904" s="42" t="s">
        <v>776</v>
      </c>
      <c r="D904" s="42" t="s">
        <v>166</v>
      </c>
      <c r="E904" s="42" t="s">
        <v>808</v>
      </c>
      <c r="F904" s="45">
        <v>497000000</v>
      </c>
      <c r="G904" s="42" t="s">
        <v>763</v>
      </c>
      <c r="H904" s="42" t="s">
        <v>129</v>
      </c>
      <c r="I904" s="42" t="s">
        <v>861</v>
      </c>
    </row>
    <row r="905" spans="1:9">
      <c r="A905" s="42" t="s">
        <v>759</v>
      </c>
      <c r="B905" s="42" t="s">
        <v>246</v>
      </c>
      <c r="C905" s="42" t="s">
        <v>777</v>
      </c>
      <c r="D905" s="42" t="s">
        <v>166</v>
      </c>
      <c r="E905" s="42" t="s">
        <v>808</v>
      </c>
      <c r="F905" s="45">
        <v>611000000</v>
      </c>
      <c r="G905" s="42" t="s">
        <v>763</v>
      </c>
      <c r="H905" s="42" t="s">
        <v>129</v>
      </c>
      <c r="I905" s="42" t="s">
        <v>861</v>
      </c>
    </row>
    <row r="906" spans="1:9">
      <c r="A906" s="42" t="s">
        <v>759</v>
      </c>
      <c r="B906" s="42" t="s">
        <v>247</v>
      </c>
      <c r="C906" s="42" t="s">
        <v>778</v>
      </c>
      <c r="D906" s="42" t="s">
        <v>166</v>
      </c>
      <c r="E906" s="42" t="s">
        <v>808</v>
      </c>
      <c r="F906" s="45">
        <v>4543000000</v>
      </c>
      <c r="G906" s="42" t="s">
        <v>763</v>
      </c>
      <c r="H906" s="42" t="s">
        <v>129</v>
      </c>
      <c r="I906" s="42" t="s">
        <v>861</v>
      </c>
    </row>
    <row r="907" spans="1:9">
      <c r="A907" s="42" t="s">
        <v>759</v>
      </c>
      <c r="B907" s="42" t="s">
        <v>248</v>
      </c>
      <c r="C907" s="42" t="s">
        <v>779</v>
      </c>
      <c r="D907" s="42" t="s">
        <v>166</v>
      </c>
      <c r="E907" s="42" t="s">
        <v>808</v>
      </c>
      <c r="F907" s="45">
        <v>23290000000</v>
      </c>
      <c r="G907" s="42" t="s">
        <v>763</v>
      </c>
      <c r="H907" s="42" t="s">
        <v>129</v>
      </c>
      <c r="I907" s="42" t="s">
        <v>861</v>
      </c>
    </row>
    <row r="908" spans="1:9">
      <c r="A908" s="42" t="s">
        <v>759</v>
      </c>
      <c r="B908" s="42" t="s">
        <v>297</v>
      </c>
      <c r="C908" s="42" t="s">
        <v>781</v>
      </c>
      <c r="D908" s="42" t="s">
        <v>166</v>
      </c>
      <c r="E908" s="42" t="s">
        <v>808</v>
      </c>
      <c r="F908" s="45">
        <v>4535000000</v>
      </c>
      <c r="G908" s="42" t="s">
        <v>763</v>
      </c>
      <c r="H908" s="42" t="s">
        <v>129</v>
      </c>
      <c r="I908" s="42" t="s">
        <v>861</v>
      </c>
    </row>
    <row r="909" spans="1:9">
      <c r="A909" s="42" t="s">
        <v>759</v>
      </c>
      <c r="B909" s="42" t="s">
        <v>299</v>
      </c>
      <c r="C909" s="42" t="s">
        <v>782</v>
      </c>
      <c r="D909" s="42" t="s">
        <v>166</v>
      </c>
      <c r="E909" s="42" t="s">
        <v>808</v>
      </c>
      <c r="F909" s="45">
        <v>8077224859.857221</v>
      </c>
      <c r="G909" s="42" t="s">
        <v>763</v>
      </c>
      <c r="H909" s="42" t="s">
        <v>114</v>
      </c>
      <c r="I909" s="42" t="s">
        <v>864</v>
      </c>
    </row>
    <row r="910" spans="1:9">
      <c r="A910" s="42" t="s">
        <v>759</v>
      </c>
      <c r="B910" s="42" t="s">
        <v>298</v>
      </c>
      <c r="C910" s="42" t="s">
        <v>855</v>
      </c>
      <c r="D910" s="42" t="s">
        <v>166</v>
      </c>
      <c r="E910" s="42" t="s">
        <v>808</v>
      </c>
      <c r="F910" s="45">
        <v>3649000000</v>
      </c>
      <c r="G910" s="42" t="s">
        <v>763</v>
      </c>
      <c r="H910" s="42" t="s">
        <v>129</v>
      </c>
      <c r="I910" s="42" t="s">
        <v>861</v>
      </c>
    </row>
    <row r="911" spans="1:9">
      <c r="A911" s="42" t="s">
        <v>759</v>
      </c>
      <c r="B911" s="42" t="s">
        <v>260</v>
      </c>
      <c r="C911" s="42" t="s">
        <v>784</v>
      </c>
      <c r="D911" s="42" t="s">
        <v>166</v>
      </c>
      <c r="E911" s="42" t="s">
        <v>808</v>
      </c>
      <c r="F911" s="45">
        <v>8184000000</v>
      </c>
      <c r="G911" s="42" t="s">
        <v>763</v>
      </c>
      <c r="H911" s="42" t="s">
        <v>129</v>
      </c>
      <c r="I911" s="42" t="s">
        <v>861</v>
      </c>
    </row>
    <row r="912" spans="1:9">
      <c r="A912" s="42" t="s">
        <v>759</v>
      </c>
      <c r="B912" s="42" t="s">
        <v>261</v>
      </c>
      <c r="C912" s="42" t="s">
        <v>785</v>
      </c>
      <c r="D912" s="42" t="s">
        <v>166</v>
      </c>
      <c r="E912" s="42" t="s">
        <v>808</v>
      </c>
      <c r="F912" s="45">
        <v>80000000</v>
      </c>
      <c r="G912" s="42" t="s">
        <v>763</v>
      </c>
      <c r="H912" s="42" t="s">
        <v>129</v>
      </c>
      <c r="I912" s="42" t="s">
        <v>861</v>
      </c>
    </row>
    <row r="913" spans="1:9">
      <c r="A913" s="42" t="s">
        <v>759</v>
      </c>
      <c r="B913" s="42" t="s">
        <v>262</v>
      </c>
      <c r="C913" s="42" t="s">
        <v>787</v>
      </c>
      <c r="D913" s="42" t="s">
        <v>166</v>
      </c>
      <c r="E913" s="42" t="s">
        <v>808</v>
      </c>
      <c r="F913" s="45">
        <v>8264000000</v>
      </c>
      <c r="G913" s="42" t="s">
        <v>763</v>
      </c>
      <c r="H913" s="42" t="s">
        <v>129</v>
      </c>
      <c r="I913" s="42" t="s">
        <v>861</v>
      </c>
    </row>
    <row r="914" spans="1:9">
      <c r="A914" s="42" t="s">
        <v>759</v>
      </c>
      <c r="B914" s="42" t="s">
        <v>301</v>
      </c>
      <c r="C914" s="42" t="s">
        <v>832</v>
      </c>
      <c r="D914" s="42" t="s">
        <v>166</v>
      </c>
      <c r="E914" s="42" t="s">
        <v>808</v>
      </c>
      <c r="F914" s="45">
        <v>2519000000</v>
      </c>
      <c r="G914" s="42" t="s">
        <v>763</v>
      </c>
      <c r="H914" s="42" t="s">
        <v>129</v>
      </c>
      <c r="I914" s="42" t="s">
        <v>861</v>
      </c>
    </row>
    <row r="915" spans="1:9">
      <c r="A915" s="42" t="s">
        <v>759</v>
      </c>
      <c r="B915" s="42" t="s">
        <v>303</v>
      </c>
      <c r="C915" s="42" t="s">
        <v>833</v>
      </c>
      <c r="D915" s="42" t="s">
        <v>166</v>
      </c>
      <c r="E915" s="42" t="s">
        <v>808</v>
      </c>
      <c r="F915" s="45">
        <v>1805000000</v>
      </c>
      <c r="G915" s="42" t="s">
        <v>763</v>
      </c>
      <c r="H915" s="42" t="s">
        <v>129</v>
      </c>
      <c r="I915" s="42" t="s">
        <v>861</v>
      </c>
    </row>
    <row r="916" spans="1:9">
      <c r="A916" s="42" t="s">
        <v>759</v>
      </c>
      <c r="B916" s="42" t="s">
        <v>304</v>
      </c>
      <c r="C916" s="42" t="s">
        <v>835</v>
      </c>
      <c r="D916" s="42" t="s">
        <v>166</v>
      </c>
      <c r="E916" s="42" t="s">
        <v>808</v>
      </c>
      <c r="F916" s="45">
        <v>29000000</v>
      </c>
      <c r="G916" s="42" t="s">
        <v>763</v>
      </c>
      <c r="H916" s="42" t="s">
        <v>129</v>
      </c>
      <c r="I916" s="42" t="s">
        <v>861</v>
      </c>
    </row>
    <row r="917" spans="1:9">
      <c r="A917" s="42" t="s">
        <v>759</v>
      </c>
      <c r="B917" s="42" t="s">
        <v>305</v>
      </c>
      <c r="C917" s="42" t="s">
        <v>837</v>
      </c>
      <c r="D917" s="42" t="s">
        <v>166</v>
      </c>
      <c r="E917" s="42" t="s">
        <v>808</v>
      </c>
      <c r="F917" s="45">
        <v>2000000</v>
      </c>
      <c r="G917" s="42" t="s">
        <v>763</v>
      </c>
      <c r="H917" s="42" t="s">
        <v>129</v>
      </c>
      <c r="I917" s="42" t="s">
        <v>861</v>
      </c>
    </row>
    <row r="918" spans="1:9">
      <c r="A918" s="42" t="s">
        <v>759</v>
      </c>
      <c r="B918" s="42" t="s">
        <v>306</v>
      </c>
      <c r="C918" s="42" t="s">
        <v>857</v>
      </c>
      <c r="D918" s="42" t="s">
        <v>166</v>
      </c>
      <c r="E918" s="42" t="s">
        <v>808</v>
      </c>
      <c r="F918" s="45">
        <v>32000000</v>
      </c>
      <c r="G918" s="42" t="s">
        <v>763</v>
      </c>
      <c r="H918" s="42" t="s">
        <v>129</v>
      </c>
      <c r="I918" s="42" t="s">
        <v>861</v>
      </c>
    </row>
    <row r="919" spans="1:9">
      <c r="A919" s="42" t="s">
        <v>759</v>
      </c>
      <c r="B919" s="42" t="s">
        <v>307</v>
      </c>
      <c r="C919" s="42" t="s">
        <v>838</v>
      </c>
      <c r="D919" s="42" t="s">
        <v>166</v>
      </c>
      <c r="E919" s="42" t="s">
        <v>808</v>
      </c>
      <c r="F919" s="45">
        <v>276000000</v>
      </c>
      <c r="G919" s="42" t="s">
        <v>763</v>
      </c>
      <c r="H919" s="42" t="s">
        <v>129</v>
      </c>
      <c r="I919" s="42" t="s">
        <v>861</v>
      </c>
    </row>
    <row r="920" spans="1:9">
      <c r="A920" s="42" t="s">
        <v>759</v>
      </c>
      <c r="B920" s="42" t="s">
        <v>308</v>
      </c>
      <c r="C920" s="42" t="s">
        <v>839</v>
      </c>
      <c r="D920" s="42" t="s">
        <v>166</v>
      </c>
      <c r="E920" s="42" t="s">
        <v>808</v>
      </c>
      <c r="F920" s="45">
        <v>6534000000</v>
      </c>
      <c r="G920" s="42" t="s">
        <v>763</v>
      </c>
      <c r="H920" s="42" t="s">
        <v>129</v>
      </c>
      <c r="I920" s="42" t="s">
        <v>861</v>
      </c>
    </row>
    <row r="921" spans="1:9">
      <c r="A921" s="42" t="s">
        <v>759</v>
      </c>
      <c r="B921" s="42" t="s">
        <v>309</v>
      </c>
      <c r="C921" s="42" t="s">
        <v>840</v>
      </c>
      <c r="D921" s="42" t="s">
        <v>166</v>
      </c>
      <c r="E921" s="42" t="s">
        <v>808</v>
      </c>
      <c r="F921" s="45">
        <v>9000000</v>
      </c>
      <c r="G921" s="42" t="s">
        <v>763</v>
      </c>
      <c r="H921" s="42" t="s">
        <v>129</v>
      </c>
      <c r="I921" s="42" t="s">
        <v>861</v>
      </c>
    </row>
    <row r="922" spans="1:9">
      <c r="A922" s="42" t="s">
        <v>759</v>
      </c>
      <c r="B922" s="42" t="s">
        <v>310</v>
      </c>
      <c r="C922" s="42" t="s">
        <v>841</v>
      </c>
      <c r="D922" s="42" t="s">
        <v>166</v>
      </c>
      <c r="E922" s="42" t="s">
        <v>808</v>
      </c>
      <c r="F922" s="45">
        <v>9000000</v>
      </c>
      <c r="G922" s="42" t="s">
        <v>763</v>
      </c>
      <c r="H922" s="42" t="s">
        <v>129</v>
      </c>
      <c r="I922" s="42" t="s">
        <v>861</v>
      </c>
    </row>
    <row r="923" spans="1:9">
      <c r="A923" s="42" t="s">
        <v>759</v>
      </c>
      <c r="B923" s="42" t="s">
        <v>273</v>
      </c>
      <c r="C923" s="42" t="s">
        <v>842</v>
      </c>
      <c r="D923" s="42" t="s">
        <v>166</v>
      </c>
      <c r="E923" s="42" t="s">
        <v>808</v>
      </c>
      <c r="F923" s="45">
        <v>11215000000</v>
      </c>
      <c r="G923" s="42" t="s">
        <v>763</v>
      </c>
      <c r="H923" s="42" t="s">
        <v>129</v>
      </c>
      <c r="I923" s="42" t="s">
        <v>861</v>
      </c>
    </row>
    <row r="924" spans="1:9">
      <c r="A924" s="42" t="s">
        <v>759</v>
      </c>
      <c r="B924" s="42" t="s">
        <v>301</v>
      </c>
      <c r="C924" s="42" t="s">
        <v>795</v>
      </c>
      <c r="D924" s="42" t="s">
        <v>166</v>
      </c>
      <c r="E924" s="42" t="s">
        <v>808</v>
      </c>
      <c r="F924" s="45">
        <v>188000000</v>
      </c>
      <c r="G924" s="42" t="s">
        <v>763</v>
      </c>
      <c r="H924" s="42" t="s">
        <v>129</v>
      </c>
      <c r="I924" s="42" t="s">
        <v>861</v>
      </c>
    </row>
    <row r="925" spans="1:9">
      <c r="A925" s="42" t="s">
        <v>759</v>
      </c>
      <c r="B925" s="42" t="s">
        <v>302</v>
      </c>
      <c r="C925" s="42" t="s">
        <v>797</v>
      </c>
      <c r="D925" s="42" t="s">
        <v>166</v>
      </c>
      <c r="E925" s="42" t="s">
        <v>808</v>
      </c>
      <c r="F925" s="45">
        <v>130000000</v>
      </c>
      <c r="G925" s="42" t="s">
        <v>763</v>
      </c>
      <c r="H925" s="42" t="s">
        <v>129</v>
      </c>
      <c r="I925" s="42" t="s">
        <v>861</v>
      </c>
    </row>
    <row r="926" spans="1:9">
      <c r="A926" s="42" t="s">
        <v>759</v>
      </c>
      <c r="B926" s="42" t="s">
        <v>304</v>
      </c>
      <c r="C926" s="42" t="s">
        <v>796</v>
      </c>
      <c r="D926" s="42" t="s">
        <v>166</v>
      </c>
      <c r="E926" s="42" t="s">
        <v>808</v>
      </c>
      <c r="F926" s="45">
        <v>13000000</v>
      </c>
      <c r="G926" s="42" t="s">
        <v>763</v>
      </c>
      <c r="H926" s="42" t="s">
        <v>129</v>
      </c>
      <c r="I926" s="42" t="s">
        <v>861</v>
      </c>
    </row>
    <row r="927" spans="1:9">
      <c r="A927" s="42" t="s">
        <v>759</v>
      </c>
      <c r="B927" s="42" t="s">
        <v>305</v>
      </c>
      <c r="C927" s="42" t="s">
        <v>798</v>
      </c>
      <c r="D927" s="42" t="s">
        <v>166</v>
      </c>
      <c r="E927" s="42" t="s">
        <v>808</v>
      </c>
      <c r="F927" s="45">
        <v>143000000</v>
      </c>
      <c r="G927" s="42" t="s">
        <v>763</v>
      </c>
      <c r="H927" s="42" t="s">
        <v>129</v>
      </c>
      <c r="I927" s="42" t="s">
        <v>861</v>
      </c>
    </row>
    <row r="928" spans="1:9">
      <c r="A928" s="42" t="s">
        <v>759</v>
      </c>
      <c r="B928" s="42" t="s">
        <v>306</v>
      </c>
      <c r="C928" s="42" t="s">
        <v>799</v>
      </c>
      <c r="D928" s="42" t="s">
        <v>166</v>
      </c>
      <c r="E928" s="42" t="s">
        <v>808</v>
      </c>
      <c r="F928" s="45">
        <v>229000000</v>
      </c>
      <c r="G928" s="42" t="s">
        <v>763</v>
      </c>
      <c r="H928" s="42" t="s">
        <v>129</v>
      </c>
      <c r="I928" s="42" t="s">
        <v>861</v>
      </c>
    </row>
    <row r="929" spans="1:9">
      <c r="A929" s="42" t="s">
        <v>759</v>
      </c>
      <c r="B929" s="42" t="s">
        <v>307</v>
      </c>
      <c r="C929" s="42" t="s">
        <v>843</v>
      </c>
      <c r="D929" s="42" t="s">
        <v>166</v>
      </c>
      <c r="E929" s="42" t="s">
        <v>808</v>
      </c>
      <c r="F929" s="45">
        <v>266000000</v>
      </c>
      <c r="G929" s="42" t="s">
        <v>763</v>
      </c>
      <c r="H929" s="42" t="s">
        <v>129</v>
      </c>
      <c r="I929" s="42" t="s">
        <v>861</v>
      </c>
    </row>
    <row r="930" spans="1:9">
      <c r="A930" s="42" t="s">
        <v>759</v>
      </c>
      <c r="B930" s="42" t="s">
        <v>308</v>
      </c>
      <c r="C930" s="42" t="s">
        <v>800</v>
      </c>
      <c r="D930" s="42" t="s">
        <v>166</v>
      </c>
      <c r="E930" s="42" t="s">
        <v>808</v>
      </c>
      <c r="F930" s="45">
        <v>845000000</v>
      </c>
      <c r="G930" s="42" t="s">
        <v>763</v>
      </c>
      <c r="H930" s="42" t="s">
        <v>129</v>
      </c>
      <c r="I930" s="42" t="s">
        <v>861</v>
      </c>
    </row>
    <row r="931" spans="1:9">
      <c r="A931" s="42" t="s">
        <v>759</v>
      </c>
      <c r="B931" s="42" t="s">
        <v>309</v>
      </c>
      <c r="C931" s="42" t="s">
        <v>801</v>
      </c>
      <c r="D931" s="42" t="s">
        <v>166</v>
      </c>
      <c r="E931" s="42" t="s">
        <v>808</v>
      </c>
      <c r="F931" s="45">
        <v>34000000</v>
      </c>
      <c r="G931" s="42" t="s">
        <v>763</v>
      </c>
      <c r="H931" s="42" t="s">
        <v>129</v>
      </c>
      <c r="I931" s="42" t="s">
        <v>861</v>
      </c>
    </row>
    <row r="932" spans="1:9">
      <c r="A932" s="42" t="s">
        <v>759</v>
      </c>
      <c r="B932" s="42" t="s">
        <v>310</v>
      </c>
      <c r="C932" s="42" t="s">
        <v>802</v>
      </c>
      <c r="D932" s="42" t="s">
        <v>166</v>
      </c>
      <c r="E932" s="42" t="s">
        <v>808</v>
      </c>
      <c r="F932" s="45">
        <v>1963000000</v>
      </c>
      <c r="G932" s="42" t="s">
        <v>763</v>
      </c>
      <c r="H932" s="42" t="s">
        <v>129</v>
      </c>
      <c r="I932" s="42" t="s">
        <v>861</v>
      </c>
    </row>
    <row r="933" spans="1:9">
      <c r="A933" s="42" t="s">
        <v>759</v>
      </c>
      <c r="B933" s="42" t="s">
        <v>284</v>
      </c>
      <c r="C933" s="42" t="s">
        <v>803</v>
      </c>
      <c r="D933" s="42" t="s">
        <v>166</v>
      </c>
      <c r="E933" s="42" t="s">
        <v>808</v>
      </c>
      <c r="F933" s="45">
        <v>3811000000</v>
      </c>
      <c r="G933" s="42" t="s">
        <v>763</v>
      </c>
      <c r="H933" s="42" t="s">
        <v>129</v>
      </c>
      <c r="I933" s="42" t="s">
        <v>861</v>
      </c>
    </row>
    <row r="934" spans="1:9">
      <c r="A934" s="42" t="s">
        <v>759</v>
      </c>
      <c r="B934" s="42" t="s">
        <v>285</v>
      </c>
      <c r="C934" s="42" t="s">
        <v>804</v>
      </c>
      <c r="D934" s="42" t="s">
        <v>166</v>
      </c>
      <c r="E934" s="42" t="s">
        <v>808</v>
      </c>
      <c r="F934" s="45">
        <v>15026000000</v>
      </c>
      <c r="G934" s="42" t="s">
        <v>763</v>
      </c>
      <c r="H934" s="42" t="s">
        <v>129</v>
      </c>
      <c r="I934" s="42" t="s">
        <v>861</v>
      </c>
    </row>
    <row r="935" spans="1:9">
      <c r="A935" s="42" t="s">
        <v>759</v>
      </c>
      <c r="B935" s="42" t="s">
        <v>286</v>
      </c>
      <c r="C935" s="42" t="s">
        <v>806</v>
      </c>
      <c r="D935" s="42" t="s">
        <v>166</v>
      </c>
      <c r="E935" s="42" t="s">
        <v>808</v>
      </c>
      <c r="F935" s="45">
        <v>23290000000</v>
      </c>
      <c r="G935" s="42" t="s">
        <v>763</v>
      </c>
      <c r="H935" s="42" t="s">
        <v>129</v>
      </c>
      <c r="I935" s="42" t="s">
        <v>861</v>
      </c>
    </row>
    <row r="936" spans="1:9">
      <c r="A936" s="42" t="s">
        <v>759</v>
      </c>
      <c r="B936" s="42" t="s">
        <v>287</v>
      </c>
      <c r="C936" s="42" t="s">
        <v>821</v>
      </c>
      <c r="D936" s="42" t="s">
        <v>867</v>
      </c>
      <c r="E936" s="42" t="s">
        <v>762</v>
      </c>
      <c r="F936" s="45">
        <v>384000000</v>
      </c>
      <c r="G936" s="42" t="s">
        <v>763</v>
      </c>
      <c r="H936" s="42" t="s">
        <v>139</v>
      </c>
      <c r="I936" s="42" t="s">
        <v>868</v>
      </c>
    </row>
    <row r="937" spans="1:9">
      <c r="A937" s="42" t="s">
        <v>759</v>
      </c>
      <c r="B937" s="42" t="s">
        <v>288</v>
      </c>
      <c r="C937" s="42" t="s">
        <v>823</v>
      </c>
      <c r="D937" s="42" t="s">
        <v>867</v>
      </c>
      <c r="E937" s="42" t="s">
        <v>762</v>
      </c>
      <c r="F937" s="45">
        <v>17510000000</v>
      </c>
      <c r="G937" s="42" t="s">
        <v>763</v>
      </c>
      <c r="H937" s="42" t="s">
        <v>139</v>
      </c>
      <c r="I937" s="42" t="s">
        <v>868</v>
      </c>
    </row>
    <row r="938" spans="1:9">
      <c r="A938" s="42" t="s">
        <v>759</v>
      </c>
      <c r="B938" s="42" t="s">
        <v>289</v>
      </c>
      <c r="C938" s="42" t="s">
        <v>825</v>
      </c>
      <c r="D938" s="42" t="s">
        <v>867</v>
      </c>
      <c r="E938" s="42" t="s">
        <v>762</v>
      </c>
      <c r="F938" s="45">
        <v>541000000</v>
      </c>
      <c r="G938" s="42" t="s">
        <v>763</v>
      </c>
      <c r="H938" s="42" t="s">
        <v>139</v>
      </c>
      <c r="I938" s="42" t="s">
        <v>868</v>
      </c>
    </row>
    <row r="939" spans="1:9">
      <c r="A939" s="42" t="s">
        <v>759</v>
      </c>
      <c r="B939" s="42" t="s">
        <v>290</v>
      </c>
      <c r="C939" s="42" t="s">
        <v>826</v>
      </c>
      <c r="D939" s="42" t="s">
        <v>867</v>
      </c>
      <c r="E939" s="42" t="s">
        <v>762</v>
      </c>
      <c r="F939" s="45">
        <v>1905000000</v>
      </c>
      <c r="G939" s="42" t="s">
        <v>763</v>
      </c>
      <c r="H939" s="42" t="s">
        <v>139</v>
      </c>
      <c r="I939" s="42" t="s">
        <v>868</v>
      </c>
    </row>
    <row r="940" spans="1:9">
      <c r="A940" s="42" t="s">
        <v>759</v>
      </c>
      <c r="B940" s="42" t="s">
        <v>291</v>
      </c>
      <c r="C940" s="42" t="s">
        <v>827</v>
      </c>
      <c r="D940" s="42" t="s">
        <v>867</v>
      </c>
      <c r="E940" s="42" t="s">
        <v>762</v>
      </c>
      <c r="F940" s="45">
        <v>17000000</v>
      </c>
      <c r="G940" s="42" t="s">
        <v>763</v>
      </c>
      <c r="H940" s="42" t="s">
        <v>139</v>
      </c>
      <c r="I940" s="42" t="s">
        <v>868</v>
      </c>
    </row>
    <row r="941" spans="1:9">
      <c r="A941" s="42" t="s">
        <v>759</v>
      </c>
      <c r="B941" s="42" t="s">
        <v>292</v>
      </c>
      <c r="C941" s="42" t="s">
        <v>828</v>
      </c>
      <c r="D941" s="42" t="s">
        <v>867</v>
      </c>
      <c r="E941" s="42" t="s">
        <v>762</v>
      </c>
      <c r="F941" s="45">
        <v>205000000</v>
      </c>
      <c r="G941" s="42" t="s">
        <v>763</v>
      </c>
      <c r="H941" s="42" t="s">
        <v>139</v>
      </c>
      <c r="I941" s="42" t="s">
        <v>868</v>
      </c>
    </row>
    <row r="942" spans="1:9">
      <c r="A942" s="42" t="s">
        <v>759</v>
      </c>
      <c r="B942" s="42" t="s">
        <v>293</v>
      </c>
      <c r="C942" s="42" t="s">
        <v>829</v>
      </c>
      <c r="D942" s="42" t="s">
        <v>867</v>
      </c>
      <c r="E942" s="42" t="s">
        <v>762</v>
      </c>
      <c r="F942" s="45">
        <v>6000000</v>
      </c>
      <c r="G942" s="42" t="s">
        <v>763</v>
      </c>
      <c r="H942" s="42" t="s">
        <v>139</v>
      </c>
      <c r="I942" s="42" t="s">
        <v>868</v>
      </c>
    </row>
    <row r="943" spans="1:9">
      <c r="A943" s="42" t="s">
        <v>759</v>
      </c>
      <c r="B943" s="42" t="s">
        <v>862</v>
      </c>
      <c r="C943" s="42" t="s">
        <v>863</v>
      </c>
      <c r="D943" s="42" t="s">
        <v>867</v>
      </c>
      <c r="E943" s="42" t="s">
        <v>762</v>
      </c>
      <c r="F943" s="45">
        <v>201000000</v>
      </c>
      <c r="G943" s="42" t="s">
        <v>763</v>
      </c>
      <c r="H943" s="42" t="s">
        <v>139</v>
      </c>
      <c r="I943" s="42" t="s">
        <v>868</v>
      </c>
    </row>
    <row r="944" spans="1:9">
      <c r="A944" s="42" t="s">
        <v>759</v>
      </c>
      <c r="B944" s="42" t="s">
        <v>239</v>
      </c>
      <c r="C944" s="42" t="s">
        <v>830</v>
      </c>
      <c r="D944" s="42" t="s">
        <v>867</v>
      </c>
      <c r="E944" s="42" t="s">
        <v>762</v>
      </c>
      <c r="F944" s="45">
        <v>20769000000</v>
      </c>
      <c r="G944" s="42" t="s">
        <v>763</v>
      </c>
      <c r="H944" s="42" t="s">
        <v>139</v>
      </c>
      <c r="I944" s="42" t="s">
        <v>868</v>
      </c>
    </row>
    <row r="945" spans="1:9">
      <c r="A945" s="42" t="s">
        <v>759</v>
      </c>
      <c r="B945" s="42" t="s">
        <v>241</v>
      </c>
      <c r="C945" s="42" t="s">
        <v>772</v>
      </c>
      <c r="D945" s="42" t="s">
        <v>867</v>
      </c>
      <c r="E945" s="42" t="s">
        <v>762</v>
      </c>
      <c r="F945" s="45">
        <v>1738000000</v>
      </c>
      <c r="G945" s="42" t="s">
        <v>763</v>
      </c>
      <c r="H945" s="42" t="s">
        <v>139</v>
      </c>
      <c r="I945" s="42" t="s">
        <v>868</v>
      </c>
    </row>
    <row r="946" spans="1:9">
      <c r="A946" s="42" t="s">
        <v>759</v>
      </c>
      <c r="B946" s="42" t="s">
        <v>242</v>
      </c>
      <c r="C946" s="42" t="s">
        <v>773</v>
      </c>
      <c r="D946" s="42" t="s">
        <v>867</v>
      </c>
      <c r="E946" s="42" t="s">
        <v>762</v>
      </c>
      <c r="F946" s="45">
        <v>1000000</v>
      </c>
      <c r="G946" s="42" t="s">
        <v>763</v>
      </c>
      <c r="H946" s="42" t="s">
        <v>139</v>
      </c>
      <c r="I946" s="42" t="s">
        <v>868</v>
      </c>
    </row>
    <row r="947" spans="1:9">
      <c r="A947" s="42" t="s">
        <v>759</v>
      </c>
      <c r="B947" s="42" t="s">
        <v>292</v>
      </c>
      <c r="C947" s="42" t="s">
        <v>774</v>
      </c>
      <c r="D947" s="42" t="s">
        <v>867</v>
      </c>
      <c r="E947" s="42" t="s">
        <v>762</v>
      </c>
      <c r="F947" s="45">
        <v>808000000</v>
      </c>
      <c r="G947" s="42" t="s">
        <v>763</v>
      </c>
      <c r="H947" s="42" t="s">
        <v>139</v>
      </c>
      <c r="I947" s="42" t="s">
        <v>868</v>
      </c>
    </row>
    <row r="948" spans="1:9">
      <c r="A948" s="42" t="s">
        <v>759</v>
      </c>
      <c r="B948" s="42" t="s">
        <v>293</v>
      </c>
      <c r="C948" s="42" t="s">
        <v>775</v>
      </c>
      <c r="D948" s="42" t="s">
        <v>867</v>
      </c>
      <c r="E948" s="42" t="s">
        <v>762</v>
      </c>
      <c r="F948" s="45">
        <v>1504000000</v>
      </c>
      <c r="G948" s="42" t="s">
        <v>763</v>
      </c>
      <c r="H948" s="42" t="s">
        <v>139</v>
      </c>
      <c r="I948" s="42" t="s">
        <v>868</v>
      </c>
    </row>
    <row r="949" spans="1:9">
      <c r="A949" s="42" t="s">
        <v>759</v>
      </c>
      <c r="B949" s="42" t="s">
        <v>862</v>
      </c>
      <c r="C949" s="42" t="s">
        <v>776</v>
      </c>
      <c r="D949" s="42" t="s">
        <v>867</v>
      </c>
      <c r="E949" s="42" t="s">
        <v>762</v>
      </c>
      <c r="F949" s="45">
        <v>319000000</v>
      </c>
      <c r="G949" s="42" t="s">
        <v>763</v>
      </c>
      <c r="H949" s="42" t="s">
        <v>139</v>
      </c>
      <c r="I949" s="42" t="s">
        <v>868</v>
      </c>
    </row>
    <row r="950" spans="1:9">
      <c r="A950" s="42" t="s">
        <v>759</v>
      </c>
      <c r="B950" s="42" t="s">
        <v>246</v>
      </c>
      <c r="C950" s="42" t="s">
        <v>777</v>
      </c>
      <c r="D950" s="42" t="s">
        <v>867</v>
      </c>
      <c r="E950" s="42" t="s">
        <v>762</v>
      </c>
      <c r="F950" s="45">
        <v>773000000</v>
      </c>
      <c r="G950" s="42" t="s">
        <v>763</v>
      </c>
      <c r="H950" s="42" t="s">
        <v>139</v>
      </c>
      <c r="I950" s="42" t="s">
        <v>868</v>
      </c>
    </row>
    <row r="951" spans="1:9">
      <c r="A951" s="42" t="s">
        <v>759</v>
      </c>
      <c r="B951" s="42" t="s">
        <v>247</v>
      </c>
      <c r="C951" s="42" t="s">
        <v>778</v>
      </c>
      <c r="D951" s="42" t="s">
        <v>867</v>
      </c>
      <c r="E951" s="42" t="s">
        <v>762</v>
      </c>
      <c r="F951" s="45">
        <v>5143000000</v>
      </c>
      <c r="G951" s="42" t="s">
        <v>763</v>
      </c>
      <c r="H951" s="42" t="s">
        <v>139</v>
      </c>
      <c r="I951" s="42" t="s">
        <v>868</v>
      </c>
    </row>
    <row r="952" spans="1:9">
      <c r="A952" s="42" t="s">
        <v>759</v>
      </c>
      <c r="B952" s="42" t="s">
        <v>248</v>
      </c>
      <c r="C952" s="42" t="s">
        <v>779</v>
      </c>
      <c r="D952" s="42" t="s">
        <v>867</v>
      </c>
      <c r="E952" s="42" t="s">
        <v>762</v>
      </c>
      <c r="F952" s="45">
        <v>25912000000</v>
      </c>
      <c r="G952" s="42" t="s">
        <v>763</v>
      </c>
      <c r="H952" s="42" t="s">
        <v>139</v>
      </c>
      <c r="I952" s="42" t="s">
        <v>868</v>
      </c>
    </row>
    <row r="953" spans="1:9">
      <c r="A953" s="42" t="s">
        <v>759</v>
      </c>
      <c r="B953" s="42" t="s">
        <v>297</v>
      </c>
      <c r="C953" s="42" t="s">
        <v>781</v>
      </c>
      <c r="D953" s="42" t="s">
        <v>867</v>
      </c>
      <c r="E953" s="42" t="s">
        <v>762</v>
      </c>
      <c r="F953" s="45">
        <v>4507000000</v>
      </c>
      <c r="G953" s="42" t="s">
        <v>763</v>
      </c>
      <c r="H953" s="42" t="s">
        <v>139</v>
      </c>
      <c r="I953" s="42" t="s">
        <v>868</v>
      </c>
    </row>
    <row r="954" spans="1:9">
      <c r="A954" s="42" t="s">
        <v>759</v>
      </c>
      <c r="B954" s="42" t="s">
        <v>298</v>
      </c>
      <c r="C954" s="42" t="s">
        <v>855</v>
      </c>
      <c r="D954" s="42" t="s">
        <v>867</v>
      </c>
      <c r="E954" s="42" t="s">
        <v>762</v>
      </c>
      <c r="F954" s="45">
        <v>5947000000</v>
      </c>
      <c r="G954" s="42" t="s">
        <v>763</v>
      </c>
      <c r="H954" s="42" t="s">
        <v>139</v>
      </c>
      <c r="I954" s="42" t="s">
        <v>868</v>
      </c>
    </row>
    <row r="955" spans="1:9">
      <c r="A955" s="42" t="s">
        <v>759</v>
      </c>
      <c r="B955" s="42" t="s">
        <v>260</v>
      </c>
      <c r="C955" s="42" t="s">
        <v>784</v>
      </c>
      <c r="D955" s="42" t="s">
        <v>867</v>
      </c>
      <c r="E955" s="42" t="s">
        <v>762</v>
      </c>
      <c r="F955" s="45">
        <v>10454000000</v>
      </c>
      <c r="G955" s="42" t="s">
        <v>763</v>
      </c>
      <c r="H955" s="42" t="s">
        <v>139</v>
      </c>
      <c r="I955" s="42" t="s">
        <v>868</v>
      </c>
    </row>
    <row r="956" spans="1:9">
      <c r="A956" s="42" t="s">
        <v>759</v>
      </c>
      <c r="B956" s="42" t="s">
        <v>261</v>
      </c>
      <c r="C956" s="42" t="s">
        <v>785</v>
      </c>
      <c r="D956" s="42" t="s">
        <v>867</v>
      </c>
      <c r="E956" s="42" t="s">
        <v>762</v>
      </c>
      <c r="F956" s="45">
        <v>98000000</v>
      </c>
      <c r="G956" s="42" t="s">
        <v>763</v>
      </c>
      <c r="H956" s="42" t="s">
        <v>139</v>
      </c>
      <c r="I956" s="42" t="s">
        <v>868</v>
      </c>
    </row>
    <row r="957" spans="1:9">
      <c r="A957" s="42" t="s">
        <v>759</v>
      </c>
      <c r="B957" s="42" t="s">
        <v>262</v>
      </c>
      <c r="C957" s="42" t="s">
        <v>787</v>
      </c>
      <c r="D957" s="42" t="s">
        <v>867</v>
      </c>
      <c r="E957" s="42" t="s">
        <v>762</v>
      </c>
      <c r="F957" s="45">
        <v>10552000000</v>
      </c>
      <c r="G957" s="42" t="s">
        <v>763</v>
      </c>
      <c r="H957" s="42" t="s">
        <v>139</v>
      </c>
      <c r="I957" s="42" t="s">
        <v>868</v>
      </c>
    </row>
    <row r="958" spans="1:9">
      <c r="A958" s="42" t="s">
        <v>759</v>
      </c>
      <c r="B958" s="42" t="s">
        <v>301</v>
      </c>
      <c r="C958" s="42" t="s">
        <v>832</v>
      </c>
      <c r="D958" s="42" t="s">
        <v>867</v>
      </c>
      <c r="E958" s="42" t="s">
        <v>762</v>
      </c>
      <c r="F958" s="45">
        <v>2571000000</v>
      </c>
      <c r="G958" s="42" t="s">
        <v>763</v>
      </c>
      <c r="H958" s="42" t="s">
        <v>139</v>
      </c>
      <c r="I958" s="42" t="s">
        <v>868</v>
      </c>
    </row>
    <row r="959" spans="1:9">
      <c r="A959" s="42" t="s">
        <v>759</v>
      </c>
      <c r="B959" s="42" t="s">
        <v>303</v>
      </c>
      <c r="C959" s="42" t="s">
        <v>833</v>
      </c>
      <c r="D959" s="42" t="s">
        <v>867</v>
      </c>
      <c r="E959" s="42" t="s">
        <v>762</v>
      </c>
      <c r="F959" s="45">
        <v>1733000000</v>
      </c>
      <c r="G959" s="42" t="s">
        <v>763</v>
      </c>
      <c r="H959" s="42" t="s">
        <v>139</v>
      </c>
      <c r="I959" s="42" t="s">
        <v>868</v>
      </c>
    </row>
    <row r="960" spans="1:9">
      <c r="A960" s="42" t="s">
        <v>759</v>
      </c>
      <c r="B960" s="42" t="s">
        <v>304</v>
      </c>
      <c r="C960" s="42" t="s">
        <v>835</v>
      </c>
      <c r="D960" s="42" t="s">
        <v>867</v>
      </c>
      <c r="E960" s="42" t="s">
        <v>762</v>
      </c>
      <c r="F960" s="45">
        <v>26000000</v>
      </c>
      <c r="G960" s="42" t="s">
        <v>763</v>
      </c>
      <c r="H960" s="42" t="s">
        <v>139</v>
      </c>
      <c r="I960" s="42" t="s">
        <v>868</v>
      </c>
    </row>
    <row r="961" spans="1:9">
      <c r="A961" s="42" t="s">
        <v>759</v>
      </c>
      <c r="B961" s="42" t="s">
        <v>305</v>
      </c>
      <c r="C961" s="42" t="s">
        <v>837</v>
      </c>
      <c r="D961" s="42" t="s">
        <v>867</v>
      </c>
      <c r="E961" s="42" t="s">
        <v>762</v>
      </c>
      <c r="F961" s="45">
        <v>1000000</v>
      </c>
      <c r="G961" s="42" t="s">
        <v>763</v>
      </c>
      <c r="H961" s="42" t="s">
        <v>139</v>
      </c>
      <c r="I961" s="42" t="s">
        <v>868</v>
      </c>
    </row>
    <row r="962" spans="1:9">
      <c r="A962" s="42" t="s">
        <v>759</v>
      </c>
      <c r="B962" s="42" t="s">
        <v>306</v>
      </c>
      <c r="C962" s="42" t="s">
        <v>857</v>
      </c>
      <c r="D962" s="42" t="s">
        <v>867</v>
      </c>
      <c r="E962" s="42" t="s">
        <v>762</v>
      </c>
      <c r="F962" s="45">
        <v>1000000</v>
      </c>
      <c r="G962" s="42" t="s">
        <v>763</v>
      </c>
      <c r="H962" s="42" t="s">
        <v>139</v>
      </c>
      <c r="I962" s="42" t="s">
        <v>868</v>
      </c>
    </row>
    <row r="963" spans="1:9">
      <c r="A963" s="42" t="s">
        <v>759</v>
      </c>
      <c r="B963" s="42" t="s">
        <v>307</v>
      </c>
      <c r="C963" s="42" t="s">
        <v>838</v>
      </c>
      <c r="D963" s="42" t="s">
        <v>867</v>
      </c>
      <c r="E963" s="42" t="s">
        <v>762</v>
      </c>
      <c r="F963" s="45">
        <v>272000000</v>
      </c>
      <c r="G963" s="42" t="s">
        <v>763</v>
      </c>
      <c r="H963" s="42" t="s">
        <v>139</v>
      </c>
      <c r="I963" s="42" t="s">
        <v>868</v>
      </c>
    </row>
    <row r="964" spans="1:9">
      <c r="A964" s="42" t="s">
        <v>759</v>
      </c>
      <c r="B964" s="42" t="s">
        <v>308</v>
      </c>
      <c r="C964" s="42" t="s">
        <v>839</v>
      </c>
      <c r="D964" s="42" t="s">
        <v>867</v>
      </c>
      <c r="E964" s="42" t="s">
        <v>762</v>
      </c>
      <c r="F964" s="45">
        <v>5948000000</v>
      </c>
      <c r="G964" s="42" t="s">
        <v>763</v>
      </c>
      <c r="H964" s="42" t="s">
        <v>139</v>
      </c>
      <c r="I964" s="42" t="s">
        <v>868</v>
      </c>
    </row>
    <row r="965" spans="1:9">
      <c r="A965" s="42" t="s">
        <v>759</v>
      </c>
      <c r="B965" s="42" t="s">
        <v>309</v>
      </c>
      <c r="C965" s="42" t="s">
        <v>840</v>
      </c>
      <c r="D965" s="42" t="s">
        <v>867</v>
      </c>
      <c r="E965" s="42" t="s">
        <v>762</v>
      </c>
      <c r="F965" s="45">
        <v>19000000</v>
      </c>
      <c r="G965" s="42" t="s">
        <v>763</v>
      </c>
      <c r="H965" s="42" t="s">
        <v>139</v>
      </c>
      <c r="I965" s="42" t="s">
        <v>868</v>
      </c>
    </row>
    <row r="966" spans="1:9">
      <c r="A966" s="42" t="s">
        <v>759</v>
      </c>
      <c r="B966" s="42" t="s">
        <v>310</v>
      </c>
      <c r="C966" s="42" t="s">
        <v>841</v>
      </c>
      <c r="D966" s="42" t="s">
        <v>867</v>
      </c>
      <c r="E966" s="42" t="s">
        <v>762</v>
      </c>
      <c r="F966" s="45">
        <v>6000000</v>
      </c>
      <c r="G966" s="42" t="s">
        <v>763</v>
      </c>
      <c r="H966" s="42" t="s">
        <v>139</v>
      </c>
      <c r="I966" s="42" t="s">
        <v>868</v>
      </c>
    </row>
    <row r="967" spans="1:9">
      <c r="A967" s="42" t="s">
        <v>759</v>
      </c>
      <c r="B967" s="42" t="s">
        <v>273</v>
      </c>
      <c r="C967" s="42" t="s">
        <v>842</v>
      </c>
      <c r="D967" s="42" t="s">
        <v>867</v>
      </c>
      <c r="E967" s="42" t="s">
        <v>762</v>
      </c>
      <c r="F967" s="45">
        <v>10577000000</v>
      </c>
      <c r="G967" s="42" t="s">
        <v>763</v>
      </c>
      <c r="H967" s="42" t="s">
        <v>139</v>
      </c>
      <c r="I967" s="42" t="s">
        <v>868</v>
      </c>
    </row>
    <row r="968" spans="1:9">
      <c r="A968" s="42" t="s">
        <v>759</v>
      </c>
      <c r="B968" s="42" t="s">
        <v>301</v>
      </c>
      <c r="C968" s="42" t="s">
        <v>795</v>
      </c>
      <c r="D968" s="42" t="s">
        <v>867</v>
      </c>
      <c r="E968" s="42" t="s">
        <v>762</v>
      </c>
      <c r="F968" s="45">
        <v>199000000</v>
      </c>
      <c r="G968" s="42" t="s">
        <v>763</v>
      </c>
      <c r="H968" s="42" t="s">
        <v>139</v>
      </c>
      <c r="I968" s="42" t="s">
        <v>868</v>
      </c>
    </row>
    <row r="969" spans="1:9">
      <c r="A969" s="42" t="s">
        <v>759</v>
      </c>
      <c r="B969" s="42" t="s">
        <v>302</v>
      </c>
      <c r="C969" s="42" t="s">
        <v>797</v>
      </c>
      <c r="D969" s="42" t="s">
        <v>867</v>
      </c>
      <c r="E969" s="42" t="s">
        <v>762</v>
      </c>
      <c r="F969" s="45">
        <v>77000000</v>
      </c>
      <c r="G969" s="42" t="s">
        <v>763</v>
      </c>
      <c r="H969" s="42" t="s">
        <v>139</v>
      </c>
      <c r="I969" s="42" t="s">
        <v>868</v>
      </c>
    </row>
    <row r="970" spans="1:9">
      <c r="A970" s="42" t="s">
        <v>759</v>
      </c>
      <c r="B970" s="42" t="s">
        <v>304</v>
      </c>
      <c r="C970" s="42" t="s">
        <v>796</v>
      </c>
      <c r="D970" s="42" t="s">
        <v>867</v>
      </c>
      <c r="E970" s="42" t="s">
        <v>762</v>
      </c>
      <c r="F970" s="45">
        <v>27000000</v>
      </c>
      <c r="G970" s="42" t="s">
        <v>763</v>
      </c>
      <c r="H970" s="42" t="s">
        <v>139</v>
      </c>
      <c r="I970" s="42" t="s">
        <v>868</v>
      </c>
    </row>
    <row r="971" spans="1:9">
      <c r="A971" s="42" t="s">
        <v>759</v>
      </c>
      <c r="B971" s="42" t="s">
        <v>305</v>
      </c>
      <c r="C971" s="42" t="s">
        <v>798</v>
      </c>
      <c r="D971" s="42" t="s">
        <v>867</v>
      </c>
      <c r="E971" s="42" t="s">
        <v>762</v>
      </c>
      <c r="F971" s="45">
        <v>173000000</v>
      </c>
      <c r="G971" s="42" t="s">
        <v>763</v>
      </c>
      <c r="H971" s="42" t="s">
        <v>139</v>
      </c>
      <c r="I971" s="42" t="s">
        <v>868</v>
      </c>
    </row>
    <row r="972" spans="1:9">
      <c r="A972" s="42" t="s">
        <v>759</v>
      </c>
      <c r="B972" s="42" t="s">
        <v>306</v>
      </c>
      <c r="C972" s="42" t="s">
        <v>799</v>
      </c>
      <c r="D972" s="42" t="s">
        <v>867</v>
      </c>
      <c r="E972" s="42" t="s">
        <v>762</v>
      </c>
      <c r="F972" s="45">
        <v>297000000</v>
      </c>
      <c r="G972" s="42" t="s">
        <v>763</v>
      </c>
      <c r="H972" s="42" t="s">
        <v>139</v>
      </c>
      <c r="I972" s="42" t="s">
        <v>868</v>
      </c>
    </row>
    <row r="973" spans="1:9">
      <c r="A973" s="42" t="s">
        <v>759</v>
      </c>
      <c r="B973" s="42" t="s">
        <v>307</v>
      </c>
      <c r="C973" s="42" t="s">
        <v>843</v>
      </c>
      <c r="D973" s="42" t="s">
        <v>867</v>
      </c>
      <c r="E973" s="42" t="s">
        <v>762</v>
      </c>
      <c r="F973" s="45">
        <v>294000000</v>
      </c>
      <c r="G973" s="42" t="s">
        <v>763</v>
      </c>
      <c r="H973" s="42" t="s">
        <v>139</v>
      </c>
      <c r="I973" s="42" t="s">
        <v>868</v>
      </c>
    </row>
    <row r="974" spans="1:9">
      <c r="A974" s="42" t="s">
        <v>759</v>
      </c>
      <c r="B974" s="42" t="s">
        <v>308</v>
      </c>
      <c r="C974" s="42" t="s">
        <v>800</v>
      </c>
      <c r="D974" s="42" t="s">
        <v>867</v>
      </c>
      <c r="E974" s="42" t="s">
        <v>762</v>
      </c>
      <c r="F974" s="45">
        <v>1140000000</v>
      </c>
      <c r="G974" s="42" t="s">
        <v>763</v>
      </c>
      <c r="H974" s="42" t="s">
        <v>139</v>
      </c>
      <c r="I974" s="42" t="s">
        <v>868</v>
      </c>
    </row>
    <row r="975" spans="1:9">
      <c r="A975" s="42" t="s">
        <v>759</v>
      </c>
      <c r="B975" s="42" t="s">
        <v>309</v>
      </c>
      <c r="C975" s="42" t="s">
        <v>801</v>
      </c>
      <c r="D975" s="42" t="s">
        <v>867</v>
      </c>
      <c r="E975" s="42" t="s">
        <v>762</v>
      </c>
      <c r="F975" s="45">
        <v>12000000</v>
      </c>
      <c r="G975" s="42" t="s">
        <v>763</v>
      </c>
      <c r="H975" s="42" t="s">
        <v>139</v>
      </c>
      <c r="I975" s="42" t="s">
        <v>868</v>
      </c>
    </row>
    <row r="976" spans="1:9">
      <c r="A976" s="42" t="s">
        <v>759</v>
      </c>
      <c r="B976" s="42" t="s">
        <v>310</v>
      </c>
      <c r="C976" s="42" t="s">
        <v>802</v>
      </c>
      <c r="D976" s="42" t="s">
        <v>867</v>
      </c>
      <c r="E976" s="42" t="s">
        <v>762</v>
      </c>
      <c r="F976" s="45">
        <v>2564000000</v>
      </c>
      <c r="G976" s="42" t="s">
        <v>763</v>
      </c>
      <c r="H976" s="42" t="s">
        <v>139</v>
      </c>
      <c r="I976" s="42" t="s">
        <v>868</v>
      </c>
    </row>
    <row r="977" spans="1:9">
      <c r="A977" s="42" t="s">
        <v>759</v>
      </c>
      <c r="B977" s="42" t="s">
        <v>284</v>
      </c>
      <c r="C977" s="42" t="s">
        <v>803</v>
      </c>
      <c r="D977" s="42" t="s">
        <v>867</v>
      </c>
      <c r="E977" s="42" t="s">
        <v>762</v>
      </c>
      <c r="F977" s="45">
        <v>4783000000</v>
      </c>
      <c r="G977" s="42" t="s">
        <v>763</v>
      </c>
      <c r="H977" s="42" t="s">
        <v>139</v>
      </c>
      <c r="I977" s="42" t="s">
        <v>868</v>
      </c>
    </row>
    <row r="978" spans="1:9">
      <c r="A978" s="42" t="s">
        <v>759</v>
      </c>
      <c r="B978" s="42" t="s">
        <v>285</v>
      </c>
      <c r="C978" s="42" t="s">
        <v>804</v>
      </c>
      <c r="D978" s="42" t="s">
        <v>867</v>
      </c>
      <c r="E978" s="42" t="s">
        <v>762</v>
      </c>
      <c r="F978" s="45">
        <v>15360000000</v>
      </c>
      <c r="G978" s="42" t="s">
        <v>763</v>
      </c>
      <c r="H978" s="42" t="s">
        <v>139</v>
      </c>
      <c r="I978" s="42" t="s">
        <v>868</v>
      </c>
    </row>
    <row r="979" spans="1:9">
      <c r="A979" s="42" t="s">
        <v>759</v>
      </c>
      <c r="B979" s="42" t="s">
        <v>286</v>
      </c>
      <c r="C979" s="42" t="s">
        <v>806</v>
      </c>
      <c r="D979" s="42" t="s">
        <v>867</v>
      </c>
      <c r="E979" s="42" t="s">
        <v>762</v>
      </c>
      <c r="F979" s="45">
        <v>25912000000</v>
      </c>
      <c r="G979" s="42" t="s">
        <v>763</v>
      </c>
      <c r="H979" s="42" t="s">
        <v>139</v>
      </c>
      <c r="I979" s="42" t="s">
        <v>868</v>
      </c>
    </row>
    <row r="980" spans="1:9">
      <c r="A980" s="42" t="s">
        <v>759</v>
      </c>
      <c r="B980" s="42" t="s">
        <v>287</v>
      </c>
      <c r="C980" s="42" t="s">
        <v>821</v>
      </c>
      <c r="D980" s="42" t="s">
        <v>167</v>
      </c>
      <c r="E980" s="42" t="s">
        <v>808</v>
      </c>
      <c r="F980" s="45">
        <v>416060458.9367681</v>
      </c>
      <c r="G980" s="42" t="s">
        <v>763</v>
      </c>
      <c r="H980" s="42" t="s">
        <v>110</v>
      </c>
      <c r="I980" s="42" t="s">
        <v>869</v>
      </c>
    </row>
    <row r="981" spans="1:9">
      <c r="A981" s="42" t="s">
        <v>759</v>
      </c>
      <c r="B981" s="42" t="s">
        <v>288</v>
      </c>
      <c r="C981" s="42" t="s">
        <v>823</v>
      </c>
      <c r="D981" s="42" t="s">
        <v>167</v>
      </c>
      <c r="E981" s="42" t="s">
        <v>808</v>
      </c>
      <c r="F981" s="45">
        <v>16101992930.79477</v>
      </c>
      <c r="G981" s="42" t="s">
        <v>763</v>
      </c>
      <c r="H981" s="42" t="s">
        <v>110</v>
      </c>
      <c r="I981" s="42" t="s">
        <v>869</v>
      </c>
    </row>
    <row r="982" spans="1:9">
      <c r="A982" s="42" t="s">
        <v>759</v>
      </c>
      <c r="B982" s="42" t="s">
        <v>289</v>
      </c>
      <c r="C982" s="42" t="s">
        <v>825</v>
      </c>
      <c r="D982" s="42" t="s">
        <v>167</v>
      </c>
      <c r="E982" s="42" t="s">
        <v>808</v>
      </c>
      <c r="F982" s="45">
        <v>495369703.4316982</v>
      </c>
      <c r="G982" s="42" t="s">
        <v>763</v>
      </c>
      <c r="H982" s="42" t="s">
        <v>110</v>
      </c>
      <c r="I982" s="42" t="s">
        <v>869</v>
      </c>
    </row>
    <row r="983" spans="1:9">
      <c r="A983" s="42" t="s">
        <v>759</v>
      </c>
      <c r="B983" s="42" t="s">
        <v>290</v>
      </c>
      <c r="C983" s="42" t="s">
        <v>826</v>
      </c>
      <c r="D983" s="42" t="s">
        <v>167</v>
      </c>
      <c r="E983" s="42" t="s">
        <v>808</v>
      </c>
      <c r="F983" s="45">
        <v>1649538588.329632</v>
      </c>
      <c r="G983" s="42" t="s">
        <v>763</v>
      </c>
      <c r="H983" s="42" t="s">
        <v>110</v>
      </c>
      <c r="I983" s="42" t="s">
        <v>869</v>
      </c>
    </row>
    <row r="984" spans="1:9">
      <c r="A984" s="42" t="s">
        <v>759</v>
      </c>
      <c r="B984" s="42" t="s">
        <v>291</v>
      </c>
      <c r="C984" s="42" t="s">
        <v>827</v>
      </c>
      <c r="D984" s="42" t="s">
        <v>167</v>
      </c>
      <c r="E984" s="42" t="s">
        <v>808</v>
      </c>
      <c r="F984" s="45">
        <v>14640182.01797813</v>
      </c>
      <c r="G984" s="42" t="s">
        <v>763</v>
      </c>
      <c r="H984" s="42" t="s">
        <v>110</v>
      </c>
      <c r="I984" s="42" t="s">
        <v>869</v>
      </c>
    </row>
    <row r="985" spans="1:9">
      <c r="A985" s="42" t="s">
        <v>759</v>
      </c>
      <c r="B985" s="42" t="s">
        <v>292</v>
      </c>
      <c r="C985" s="42" t="s">
        <v>828</v>
      </c>
      <c r="D985" s="42" t="s">
        <v>167</v>
      </c>
      <c r="E985" s="42" t="s">
        <v>808</v>
      </c>
      <c r="F985" s="45">
        <v>54011009.96786393</v>
      </c>
      <c r="G985" s="42" t="s">
        <v>763</v>
      </c>
      <c r="H985" s="42" t="s">
        <v>110</v>
      </c>
      <c r="I985" s="42" t="s">
        <v>869</v>
      </c>
    </row>
    <row r="986" spans="1:9">
      <c r="A986" s="42" t="s">
        <v>759</v>
      </c>
      <c r="B986" s="42" t="s">
        <v>293</v>
      </c>
      <c r="C986" s="42" t="s">
        <v>829</v>
      </c>
      <c r="D986" s="42" t="s">
        <v>167</v>
      </c>
      <c r="E986" s="42" t="s">
        <v>808</v>
      </c>
      <c r="F986" s="45">
        <v>42397967.12406467</v>
      </c>
      <c r="G986" s="42" t="s">
        <v>763</v>
      </c>
      <c r="H986" s="42" t="s">
        <v>110</v>
      </c>
      <c r="I986" s="42" t="s">
        <v>869</v>
      </c>
    </row>
    <row r="987" spans="1:9">
      <c r="A987" s="42" t="s">
        <v>759</v>
      </c>
      <c r="B987" s="42" t="s">
        <v>295</v>
      </c>
      <c r="C987" s="42" t="s">
        <v>863</v>
      </c>
      <c r="D987" s="42" t="s">
        <v>167</v>
      </c>
      <c r="E987" s="42" t="s">
        <v>808</v>
      </c>
      <c r="F987" s="45">
        <v>34821109.84583722</v>
      </c>
      <c r="G987" s="42" t="s">
        <v>763</v>
      </c>
      <c r="H987" s="42" t="s">
        <v>110</v>
      </c>
      <c r="I987" s="42" t="s">
        <v>869</v>
      </c>
    </row>
    <row r="988" spans="1:9">
      <c r="A988" s="42" t="s">
        <v>759</v>
      </c>
      <c r="B988" s="42" t="s">
        <v>239</v>
      </c>
      <c r="C988" s="42" t="s">
        <v>830</v>
      </c>
      <c r="D988" s="42" t="s">
        <v>167</v>
      </c>
      <c r="E988" s="42" t="s">
        <v>808</v>
      </c>
      <c r="F988" s="45">
        <v>18808831950.44861</v>
      </c>
      <c r="G988" s="42" t="s">
        <v>763</v>
      </c>
      <c r="H988" s="42" t="s">
        <v>110</v>
      </c>
      <c r="I988" s="42" t="s">
        <v>869</v>
      </c>
    </row>
    <row r="989" spans="1:9">
      <c r="A989" s="42" t="s">
        <v>759</v>
      </c>
      <c r="B989" s="42" t="s">
        <v>810</v>
      </c>
      <c r="C989" s="42" t="s">
        <v>818</v>
      </c>
      <c r="D989" s="42" t="s">
        <v>167</v>
      </c>
      <c r="E989" s="42" t="s">
        <v>808</v>
      </c>
      <c r="F989" s="45">
        <v>1000037.04861266</v>
      </c>
      <c r="G989" s="42" t="s">
        <v>763</v>
      </c>
      <c r="H989" s="42" t="s">
        <v>110</v>
      </c>
      <c r="I989" s="42" t="s">
        <v>869</v>
      </c>
    </row>
    <row r="990" spans="1:9">
      <c r="A990" s="42" t="s">
        <v>759</v>
      </c>
      <c r="B990" s="42" t="s">
        <v>241</v>
      </c>
      <c r="C990" s="42" t="s">
        <v>772</v>
      </c>
      <c r="D990" s="42" t="s">
        <v>167</v>
      </c>
      <c r="E990" s="42" t="s">
        <v>808</v>
      </c>
      <c r="F990" s="45">
        <v>1509064915.699284</v>
      </c>
      <c r="G990" s="42" t="s">
        <v>763</v>
      </c>
      <c r="H990" s="42" t="s">
        <v>110</v>
      </c>
      <c r="I990" s="42" t="s">
        <v>869</v>
      </c>
    </row>
    <row r="991" spans="1:9">
      <c r="A991" s="42" t="s">
        <v>759</v>
      </c>
      <c r="B991" s="42" t="s">
        <v>242</v>
      </c>
      <c r="C991" s="42" t="s">
        <v>773</v>
      </c>
      <c r="D991" s="42" t="s">
        <v>167</v>
      </c>
      <c r="E991" s="42" t="s">
        <v>808</v>
      </c>
      <c r="F991" s="45">
        <v>15901490.00721932</v>
      </c>
      <c r="G991" s="42" t="s">
        <v>763</v>
      </c>
      <c r="H991" s="42" t="s">
        <v>110</v>
      </c>
      <c r="I991" s="42" t="s">
        <v>869</v>
      </c>
    </row>
    <row r="992" spans="1:9">
      <c r="A992" s="42" t="s">
        <v>759</v>
      </c>
      <c r="B992" s="42" t="s">
        <v>292</v>
      </c>
      <c r="C992" s="42" t="s">
        <v>774</v>
      </c>
      <c r="D992" s="42" t="s">
        <v>167</v>
      </c>
      <c r="E992" s="42" t="s">
        <v>808</v>
      </c>
      <c r="F992" s="45">
        <v>506280017.5386345</v>
      </c>
      <c r="G992" s="42" t="s">
        <v>763</v>
      </c>
      <c r="H992" s="42" t="s">
        <v>110</v>
      </c>
      <c r="I992" s="42" t="s">
        <v>869</v>
      </c>
    </row>
    <row r="993" spans="1:9">
      <c r="A993" s="42" t="s">
        <v>759</v>
      </c>
      <c r="B993" s="42" t="s">
        <v>293</v>
      </c>
      <c r="C993" s="42" t="s">
        <v>775</v>
      </c>
      <c r="D993" s="42" t="s">
        <v>167</v>
      </c>
      <c r="E993" s="42" t="s">
        <v>808</v>
      </c>
      <c r="F993" s="45">
        <v>1393114674.116898</v>
      </c>
      <c r="G993" s="42" t="s">
        <v>763</v>
      </c>
      <c r="H993" s="42" t="s">
        <v>110</v>
      </c>
      <c r="I993" s="42" t="s">
        <v>869</v>
      </c>
    </row>
    <row r="994" spans="1:9">
      <c r="A994" s="42" t="s">
        <v>759</v>
      </c>
      <c r="B994" s="42" t="s">
        <v>295</v>
      </c>
      <c r="C994" s="42" t="s">
        <v>776</v>
      </c>
      <c r="D994" s="42" t="s">
        <v>167</v>
      </c>
      <c r="E994" s="42" t="s">
        <v>808</v>
      </c>
      <c r="F994" s="45">
        <v>533190924.4233734</v>
      </c>
      <c r="G994" s="42" t="s">
        <v>763</v>
      </c>
      <c r="H994" s="42" t="s">
        <v>110</v>
      </c>
      <c r="I994" s="42" t="s">
        <v>869</v>
      </c>
    </row>
    <row r="995" spans="1:9">
      <c r="A995" s="42" t="s">
        <v>759</v>
      </c>
      <c r="B995" s="42" t="s">
        <v>246</v>
      </c>
      <c r="C995" s="42" t="s">
        <v>777</v>
      </c>
      <c r="D995" s="42" t="s">
        <v>167</v>
      </c>
      <c r="E995" s="42" t="s">
        <v>808</v>
      </c>
      <c r="F995" s="45">
        <v>794714126.6497544</v>
      </c>
      <c r="G995" s="42" t="s">
        <v>763</v>
      </c>
      <c r="H995" s="42" t="s">
        <v>110</v>
      </c>
      <c r="I995" s="42" t="s">
        <v>869</v>
      </c>
    </row>
    <row r="996" spans="1:9">
      <c r="A996" s="42" t="s">
        <v>759</v>
      </c>
      <c r="B996" s="42" t="s">
        <v>247</v>
      </c>
      <c r="C996" s="42" t="s">
        <v>778</v>
      </c>
      <c r="D996" s="42" t="s">
        <v>167</v>
      </c>
      <c r="E996" s="42" t="s">
        <v>808</v>
      </c>
      <c r="F996" s="45">
        <v>4753266185.483776</v>
      </c>
      <c r="G996" s="42" t="s">
        <v>763</v>
      </c>
      <c r="H996" s="42" t="s">
        <v>110</v>
      </c>
      <c r="I996" s="42" t="s">
        <v>869</v>
      </c>
    </row>
    <row r="997" spans="1:9">
      <c r="A997" s="42" t="s">
        <v>759</v>
      </c>
      <c r="B997" s="42" t="s">
        <v>248</v>
      </c>
      <c r="C997" s="42" t="s">
        <v>779</v>
      </c>
      <c r="D997" s="42" t="s">
        <v>167</v>
      </c>
      <c r="E997" s="42" t="s">
        <v>808</v>
      </c>
      <c r="F997" s="45">
        <v>23562098135.93239</v>
      </c>
      <c r="G997" s="42" t="s">
        <v>763</v>
      </c>
      <c r="H997" s="42" t="s">
        <v>110</v>
      </c>
      <c r="I997" s="42" t="s">
        <v>869</v>
      </c>
    </row>
    <row r="998" spans="1:9">
      <c r="A998" s="42" t="s">
        <v>759</v>
      </c>
      <c r="B998" s="42" t="s">
        <v>780</v>
      </c>
      <c r="C998" s="42" t="s">
        <v>781</v>
      </c>
      <c r="D998" s="42" t="s">
        <v>167</v>
      </c>
      <c r="E998" s="42" t="s">
        <v>808</v>
      </c>
      <c r="F998" s="45">
        <v>95093613.04600564</v>
      </c>
      <c r="G998" s="42" t="s">
        <v>763</v>
      </c>
      <c r="H998" s="42" t="s">
        <v>110</v>
      </c>
      <c r="I998" s="42" t="s">
        <v>869</v>
      </c>
    </row>
    <row r="999" spans="1:9">
      <c r="A999" s="42" t="s">
        <v>759</v>
      </c>
      <c r="B999" s="42" t="s">
        <v>299</v>
      </c>
      <c r="C999" s="42" t="s">
        <v>782</v>
      </c>
      <c r="D999" s="42" t="s">
        <v>167</v>
      </c>
      <c r="E999" s="42" t="s">
        <v>808</v>
      </c>
      <c r="F999" s="45">
        <v>8384418727.681905</v>
      </c>
      <c r="G999" s="42" t="s">
        <v>763</v>
      </c>
      <c r="H999" s="42" t="s">
        <v>110</v>
      </c>
      <c r="I999" s="42" t="s">
        <v>869</v>
      </c>
    </row>
    <row r="1000" spans="1:9">
      <c r="A1000" s="42" t="s">
        <v>759</v>
      </c>
      <c r="B1000" s="42" t="s">
        <v>783</v>
      </c>
      <c r="C1000" s="42" t="s">
        <v>784</v>
      </c>
      <c r="D1000" s="42" t="s">
        <v>167</v>
      </c>
      <c r="E1000" s="42" t="s">
        <v>808</v>
      </c>
      <c r="F1000" s="45">
        <v>8479512340.727912</v>
      </c>
      <c r="G1000" s="42" t="s">
        <v>763</v>
      </c>
      <c r="H1000" s="42" t="s">
        <v>110</v>
      </c>
      <c r="I1000" s="42" t="s">
        <v>869</v>
      </c>
    </row>
    <row r="1001" spans="1:9">
      <c r="A1001" s="42" t="s">
        <v>759</v>
      </c>
      <c r="B1001" s="42" t="s">
        <v>261</v>
      </c>
      <c r="C1001" s="42" t="s">
        <v>785</v>
      </c>
      <c r="D1001" s="42" t="s">
        <v>167</v>
      </c>
      <c r="E1001" s="42" t="s">
        <v>808</v>
      </c>
      <c r="F1001" s="45">
        <v>84183298.93906933</v>
      </c>
      <c r="G1001" s="42" t="s">
        <v>763</v>
      </c>
      <c r="H1001" s="42" t="s">
        <v>110</v>
      </c>
      <c r="I1001" s="42" t="s">
        <v>869</v>
      </c>
    </row>
    <row r="1002" spans="1:9">
      <c r="A1002" s="42" t="s">
        <v>759</v>
      </c>
      <c r="B1002" s="42" t="s">
        <v>786</v>
      </c>
      <c r="C1002" s="42" t="s">
        <v>787</v>
      </c>
      <c r="D1002" s="42" t="s">
        <v>167</v>
      </c>
      <c r="E1002" s="42" t="s">
        <v>808</v>
      </c>
      <c r="F1002" s="45">
        <v>8563695639.666981</v>
      </c>
      <c r="G1002" s="42" t="s">
        <v>763</v>
      </c>
      <c r="H1002" s="42" t="s">
        <v>110</v>
      </c>
      <c r="I1002" s="42" t="s">
        <v>869</v>
      </c>
    </row>
    <row r="1003" spans="1:9">
      <c r="A1003" s="42" t="s">
        <v>759</v>
      </c>
      <c r="B1003" s="42" t="s">
        <v>301</v>
      </c>
      <c r="C1003" s="42" t="s">
        <v>832</v>
      </c>
      <c r="D1003" s="42" t="s">
        <v>167</v>
      </c>
      <c r="E1003" s="42" t="s">
        <v>808</v>
      </c>
      <c r="F1003" s="45">
        <v>2499029519.083575</v>
      </c>
      <c r="G1003" s="42" t="s">
        <v>763</v>
      </c>
      <c r="H1003" s="42" t="s">
        <v>110</v>
      </c>
      <c r="I1003" s="42" t="s">
        <v>869</v>
      </c>
    </row>
    <row r="1004" spans="1:9">
      <c r="A1004" s="42" t="s">
        <v>759</v>
      </c>
      <c r="B1004" s="42" t="s">
        <v>303</v>
      </c>
      <c r="C1004" s="42" t="s">
        <v>833</v>
      </c>
      <c r="D1004" s="42" t="s">
        <v>167</v>
      </c>
      <c r="E1004" s="42" t="s">
        <v>808</v>
      </c>
      <c r="F1004" s="45">
        <v>1663755331.236936</v>
      </c>
      <c r="G1004" s="42" t="s">
        <v>763</v>
      </c>
      <c r="H1004" s="42" t="s">
        <v>110</v>
      </c>
      <c r="I1004" s="42" t="s">
        <v>869</v>
      </c>
    </row>
    <row r="1005" spans="1:9">
      <c r="A1005" s="42" t="s">
        <v>759</v>
      </c>
      <c r="B1005" s="42" t="s">
        <v>304</v>
      </c>
      <c r="C1005" s="42" t="s">
        <v>835</v>
      </c>
      <c r="D1005" s="42" t="s">
        <v>167</v>
      </c>
      <c r="E1005" s="42" t="s">
        <v>808</v>
      </c>
      <c r="F1005" s="45">
        <v>48632432.32802828</v>
      </c>
      <c r="G1005" s="42" t="s">
        <v>763</v>
      </c>
      <c r="H1005" s="42" t="s">
        <v>110</v>
      </c>
      <c r="I1005" s="42" t="s">
        <v>869</v>
      </c>
    </row>
    <row r="1006" spans="1:9">
      <c r="A1006" s="42" t="s">
        <v>759</v>
      </c>
      <c r="B1006" s="42" t="s">
        <v>305</v>
      </c>
      <c r="C1006" s="42" t="s">
        <v>837</v>
      </c>
      <c r="D1006" s="42" t="s">
        <v>167</v>
      </c>
      <c r="E1006" s="42" t="s">
        <v>808</v>
      </c>
      <c r="F1006" s="45">
        <v>1828896.58439973</v>
      </c>
      <c r="G1006" s="42" t="s">
        <v>763</v>
      </c>
      <c r="H1006" s="42" t="s">
        <v>110</v>
      </c>
      <c r="I1006" s="42" t="s">
        <v>869</v>
      </c>
    </row>
    <row r="1007" spans="1:9">
      <c r="A1007" s="42" t="s">
        <v>759</v>
      </c>
      <c r="B1007" s="42" t="s">
        <v>306</v>
      </c>
      <c r="C1007" s="42" t="s">
        <v>857</v>
      </c>
      <c r="D1007" s="42" t="s">
        <v>167</v>
      </c>
      <c r="E1007" s="42" t="s">
        <v>808</v>
      </c>
      <c r="F1007" s="45">
        <v>20712479.05189645</v>
      </c>
      <c r="G1007" s="42" t="s">
        <v>763</v>
      </c>
      <c r="H1007" s="42" t="s">
        <v>110</v>
      </c>
      <c r="I1007" s="42" t="s">
        <v>869</v>
      </c>
    </row>
    <row r="1008" spans="1:9">
      <c r="A1008" s="42" t="s">
        <v>759</v>
      </c>
      <c r="B1008" s="42" t="s">
        <v>307</v>
      </c>
      <c r="C1008" s="42" t="s">
        <v>838</v>
      </c>
      <c r="D1008" s="42" t="s">
        <v>167</v>
      </c>
      <c r="E1008" s="42" t="s">
        <v>808</v>
      </c>
      <c r="F1008" s="45">
        <v>240621526.9760984</v>
      </c>
      <c r="G1008" s="42" t="s">
        <v>763</v>
      </c>
      <c r="H1008" s="42" t="s">
        <v>110</v>
      </c>
      <c r="I1008" s="42" t="s">
        <v>869</v>
      </c>
    </row>
    <row r="1009" spans="1:9">
      <c r="A1009" s="42" t="s">
        <v>759</v>
      </c>
      <c r="B1009" s="42" t="s">
        <v>308</v>
      </c>
      <c r="C1009" s="42" t="s">
        <v>839</v>
      </c>
      <c r="D1009" s="42" t="s">
        <v>167</v>
      </c>
      <c r="E1009" s="42" t="s">
        <v>808</v>
      </c>
      <c r="F1009" s="45">
        <v>6713645118.41912</v>
      </c>
      <c r="G1009" s="42" t="s">
        <v>763</v>
      </c>
      <c r="H1009" s="42" t="s">
        <v>110</v>
      </c>
      <c r="I1009" s="42" t="s">
        <v>869</v>
      </c>
    </row>
    <row r="1010" spans="1:9">
      <c r="A1010" s="42" t="s">
        <v>759</v>
      </c>
      <c r="B1010" s="42" t="s">
        <v>309</v>
      </c>
      <c r="C1010" s="42" t="s">
        <v>840</v>
      </c>
      <c r="D1010" s="42" t="s">
        <v>167</v>
      </c>
      <c r="E1010" s="42" t="s">
        <v>808</v>
      </c>
      <c r="F1010" s="45">
        <v>8414726.156794814</v>
      </c>
      <c r="G1010" s="42" t="s">
        <v>763</v>
      </c>
      <c r="H1010" s="42" t="s">
        <v>110</v>
      </c>
      <c r="I1010" s="42" t="s">
        <v>869</v>
      </c>
    </row>
    <row r="1011" spans="1:9">
      <c r="A1011" s="42" t="s">
        <v>759</v>
      </c>
      <c r="B1011" s="42" t="s">
        <v>310</v>
      </c>
      <c r="C1011" s="42" t="s">
        <v>841</v>
      </c>
      <c r="D1011" s="42" t="s">
        <v>167</v>
      </c>
      <c r="E1011" s="42" t="s">
        <v>808</v>
      </c>
      <c r="F1011" s="45">
        <v>8315623.386211579</v>
      </c>
      <c r="G1011" s="42" t="s">
        <v>763</v>
      </c>
      <c r="H1011" s="42" t="s">
        <v>110</v>
      </c>
      <c r="I1011" s="42" t="s">
        <v>869</v>
      </c>
    </row>
    <row r="1012" spans="1:9">
      <c r="A1012" s="42" t="s">
        <v>759</v>
      </c>
      <c r="B1012" s="42" t="s">
        <v>273</v>
      </c>
      <c r="C1012" s="42" t="s">
        <v>842</v>
      </c>
      <c r="D1012" s="42" t="s">
        <v>167</v>
      </c>
      <c r="E1012" s="42" t="s">
        <v>808</v>
      </c>
      <c r="F1012" s="45">
        <v>11204955653.22306</v>
      </c>
      <c r="G1012" s="42" t="s">
        <v>763</v>
      </c>
      <c r="H1012" s="42" t="s">
        <v>110</v>
      </c>
      <c r="I1012" s="42" t="s">
        <v>869</v>
      </c>
    </row>
    <row r="1013" spans="1:9">
      <c r="A1013" s="42" t="s">
        <v>759</v>
      </c>
      <c r="B1013" s="42" t="s">
        <v>301</v>
      </c>
      <c r="C1013" s="42" t="s">
        <v>795</v>
      </c>
      <c r="D1013" s="42" t="s">
        <v>167</v>
      </c>
      <c r="E1013" s="42" t="s">
        <v>808</v>
      </c>
      <c r="F1013" s="45">
        <v>173546969.9768078</v>
      </c>
      <c r="G1013" s="42" t="s">
        <v>763</v>
      </c>
      <c r="H1013" s="42" t="s">
        <v>110</v>
      </c>
      <c r="I1013" s="42" t="s">
        <v>869</v>
      </c>
    </row>
    <row r="1014" spans="1:9">
      <c r="A1014" s="42" t="s">
        <v>759</v>
      </c>
      <c r="B1014" s="42" t="s">
        <v>302</v>
      </c>
      <c r="C1014" s="42" t="s">
        <v>797</v>
      </c>
      <c r="D1014" s="42" t="s">
        <v>167</v>
      </c>
      <c r="E1014" s="42" t="s">
        <v>808</v>
      </c>
      <c r="F1014" s="45">
        <v>281424840.4280511</v>
      </c>
      <c r="G1014" s="42" t="s">
        <v>763</v>
      </c>
      <c r="H1014" s="42" t="s">
        <v>110</v>
      </c>
      <c r="I1014" s="42" t="s">
        <v>869</v>
      </c>
    </row>
    <row r="1015" spans="1:9">
      <c r="A1015" s="42" t="s">
        <v>759</v>
      </c>
      <c r="B1015" s="42" t="s">
        <v>304</v>
      </c>
      <c r="C1015" s="42" t="s">
        <v>796</v>
      </c>
      <c r="D1015" s="42" t="s">
        <v>167</v>
      </c>
      <c r="E1015" s="42" t="s">
        <v>808</v>
      </c>
      <c r="F1015" s="45">
        <v>109814879.1490064</v>
      </c>
      <c r="G1015" s="42" t="s">
        <v>763</v>
      </c>
      <c r="H1015" s="42" t="s">
        <v>110</v>
      </c>
      <c r="I1015" s="42" t="s">
        <v>869</v>
      </c>
    </row>
    <row r="1016" spans="1:9">
      <c r="A1016" s="42" t="s">
        <v>759</v>
      </c>
      <c r="B1016" s="42" t="s">
        <v>305</v>
      </c>
      <c r="C1016" s="42" t="s">
        <v>798</v>
      </c>
      <c r="D1016" s="42" t="s">
        <v>167</v>
      </c>
      <c r="E1016" s="42" t="s">
        <v>808</v>
      </c>
      <c r="F1016" s="45">
        <v>312200755.3655361</v>
      </c>
      <c r="G1016" s="42" t="s">
        <v>763</v>
      </c>
      <c r="H1016" s="42" t="s">
        <v>110</v>
      </c>
      <c r="I1016" s="42" t="s">
        <v>869</v>
      </c>
    </row>
    <row r="1017" spans="1:9">
      <c r="A1017" s="42" t="s">
        <v>759</v>
      </c>
      <c r="B1017" s="42" t="s">
        <v>306</v>
      </c>
      <c r="C1017" s="42" t="s">
        <v>799</v>
      </c>
      <c r="D1017" s="42" t="s">
        <v>167</v>
      </c>
      <c r="E1017" s="42" t="s">
        <v>808</v>
      </c>
      <c r="F1017" s="45">
        <v>197953279.5686249</v>
      </c>
      <c r="G1017" s="42" t="s">
        <v>763</v>
      </c>
      <c r="H1017" s="42" t="s">
        <v>110</v>
      </c>
      <c r="I1017" s="42" t="s">
        <v>869</v>
      </c>
    </row>
    <row r="1018" spans="1:9">
      <c r="A1018" s="42" t="s">
        <v>759</v>
      </c>
      <c r="B1018" s="42" t="s">
        <v>307</v>
      </c>
      <c r="C1018" s="42" t="s">
        <v>843</v>
      </c>
      <c r="D1018" s="42" t="s">
        <v>167</v>
      </c>
      <c r="E1018" s="42" t="s">
        <v>808</v>
      </c>
      <c r="F1018" s="45">
        <v>278929252.4779095</v>
      </c>
      <c r="G1018" s="42" t="s">
        <v>763</v>
      </c>
      <c r="H1018" s="42" t="s">
        <v>110</v>
      </c>
      <c r="I1018" s="42" t="s">
        <v>869</v>
      </c>
    </row>
    <row r="1019" spans="1:9">
      <c r="A1019" s="42" t="s">
        <v>759</v>
      </c>
      <c r="B1019" s="42" t="s">
        <v>308</v>
      </c>
      <c r="C1019" s="42" t="s">
        <v>800</v>
      </c>
      <c r="D1019" s="42" t="s">
        <v>167</v>
      </c>
      <c r="E1019" s="42" t="s">
        <v>808</v>
      </c>
      <c r="F1019" s="45">
        <v>522109432.8036115</v>
      </c>
      <c r="G1019" s="42" t="s">
        <v>763</v>
      </c>
      <c r="H1019" s="42" t="s">
        <v>110</v>
      </c>
      <c r="I1019" s="42" t="s">
        <v>869</v>
      </c>
    </row>
    <row r="1020" spans="1:9">
      <c r="A1020" s="42" t="s">
        <v>759</v>
      </c>
      <c r="B1020" s="42" t="s">
        <v>309</v>
      </c>
      <c r="C1020" s="42" t="s">
        <v>801</v>
      </c>
      <c r="D1020" s="42" t="s">
        <v>167</v>
      </c>
      <c r="E1020" s="42" t="s">
        <v>808</v>
      </c>
      <c r="F1020" s="45">
        <v>15793377.89385579</v>
      </c>
      <c r="G1020" s="42" t="s">
        <v>763</v>
      </c>
      <c r="H1020" s="42" t="s">
        <v>110</v>
      </c>
      <c r="I1020" s="42" t="s">
        <v>869</v>
      </c>
    </row>
    <row r="1021" spans="1:9">
      <c r="A1021" s="42" t="s">
        <v>759</v>
      </c>
      <c r="B1021" s="42" t="s">
        <v>310</v>
      </c>
      <c r="C1021" s="42" t="s">
        <v>802</v>
      </c>
      <c r="D1021" s="42" t="s">
        <v>167</v>
      </c>
      <c r="E1021" s="42" t="s">
        <v>808</v>
      </c>
      <c r="F1021" s="45">
        <v>1901674055.378946</v>
      </c>
      <c r="G1021" s="42" t="s">
        <v>763</v>
      </c>
      <c r="H1021" s="42" t="s">
        <v>110</v>
      </c>
      <c r="I1021" s="42" t="s">
        <v>869</v>
      </c>
    </row>
    <row r="1022" spans="1:9">
      <c r="A1022" s="42" t="s">
        <v>759</v>
      </c>
      <c r="B1022" s="42" t="s">
        <v>284</v>
      </c>
      <c r="C1022" s="42" t="s">
        <v>803</v>
      </c>
      <c r="D1022" s="42" t="s">
        <v>167</v>
      </c>
      <c r="E1022" s="42" t="s">
        <v>808</v>
      </c>
      <c r="F1022" s="45">
        <v>3793446843.042349</v>
      </c>
      <c r="G1022" s="42" t="s">
        <v>763</v>
      </c>
      <c r="H1022" s="42" t="s">
        <v>110</v>
      </c>
      <c r="I1022" s="42" t="s">
        <v>869</v>
      </c>
    </row>
    <row r="1023" spans="1:9">
      <c r="A1023" s="42" t="s">
        <v>759</v>
      </c>
      <c r="B1023" s="42" t="s">
        <v>285</v>
      </c>
      <c r="C1023" s="42" t="s">
        <v>804</v>
      </c>
      <c r="D1023" s="42" t="s">
        <v>167</v>
      </c>
      <c r="E1023" s="42" t="s">
        <v>808</v>
      </c>
      <c r="F1023" s="45">
        <v>14998402496.26541</v>
      </c>
      <c r="G1023" s="42" t="s">
        <v>763</v>
      </c>
      <c r="H1023" s="42" t="s">
        <v>110</v>
      </c>
      <c r="I1023" s="42" t="s">
        <v>869</v>
      </c>
    </row>
    <row r="1024" spans="1:9">
      <c r="A1024" s="42" t="s">
        <v>759</v>
      </c>
      <c r="B1024" s="42" t="s">
        <v>805</v>
      </c>
      <c r="C1024" s="42" t="s">
        <v>806</v>
      </c>
      <c r="D1024" s="42" t="s">
        <v>167</v>
      </c>
      <c r="E1024" s="42" t="s">
        <v>808</v>
      </c>
      <c r="F1024" s="45">
        <v>23562098135.93239</v>
      </c>
      <c r="G1024" s="42" t="s">
        <v>763</v>
      </c>
      <c r="H1024" s="42" t="s">
        <v>110</v>
      </c>
      <c r="I1024" s="42" t="s">
        <v>869</v>
      </c>
    </row>
    <row r="1025" spans="1:9">
      <c r="A1025" s="42" t="s">
        <v>759</v>
      </c>
      <c r="B1025" s="42" t="s">
        <v>287</v>
      </c>
      <c r="C1025" s="42" t="s">
        <v>821</v>
      </c>
      <c r="D1025" s="42" t="s">
        <v>168</v>
      </c>
      <c r="E1025" s="42" t="s">
        <v>808</v>
      </c>
      <c r="F1025" s="45">
        <v>413827720.8520128</v>
      </c>
      <c r="G1025" s="42" t="s">
        <v>763</v>
      </c>
      <c r="H1025" s="42" t="s">
        <v>112</v>
      </c>
      <c r="I1025" s="42" t="s">
        <v>870</v>
      </c>
    </row>
    <row r="1026" spans="1:9">
      <c r="A1026" s="42" t="s">
        <v>759</v>
      </c>
      <c r="B1026" s="42" t="s">
        <v>288</v>
      </c>
      <c r="C1026" s="42" t="s">
        <v>823</v>
      </c>
      <c r="D1026" s="42" t="s">
        <v>168</v>
      </c>
      <c r="E1026" s="42" t="s">
        <v>808</v>
      </c>
      <c r="F1026" s="45">
        <v>16312308316.64557</v>
      </c>
      <c r="G1026" s="42" t="s">
        <v>763</v>
      </c>
      <c r="H1026" s="42" t="s">
        <v>112</v>
      </c>
      <c r="I1026" s="42" t="s">
        <v>870</v>
      </c>
    </row>
    <row r="1027" spans="1:9">
      <c r="A1027" s="42" t="s">
        <v>759</v>
      </c>
      <c r="B1027" s="42" t="s">
        <v>289</v>
      </c>
      <c r="C1027" s="42" t="s">
        <v>825</v>
      </c>
      <c r="D1027" s="42" t="s">
        <v>168</v>
      </c>
      <c r="E1027" s="42" t="s">
        <v>808</v>
      </c>
      <c r="F1027" s="45">
        <v>520423339.7768974</v>
      </c>
      <c r="G1027" s="42" t="s">
        <v>763</v>
      </c>
      <c r="H1027" s="42" t="s">
        <v>112</v>
      </c>
      <c r="I1027" s="42" t="s">
        <v>870</v>
      </c>
    </row>
    <row r="1028" spans="1:9">
      <c r="A1028" s="42" t="s">
        <v>759</v>
      </c>
      <c r="B1028" s="42" t="s">
        <v>290</v>
      </c>
      <c r="C1028" s="42" t="s">
        <v>826</v>
      </c>
      <c r="D1028" s="42" t="s">
        <v>168</v>
      </c>
      <c r="E1028" s="42" t="s">
        <v>808</v>
      </c>
      <c r="F1028" s="45">
        <v>1714346982.538399</v>
      </c>
      <c r="G1028" s="42" t="s">
        <v>763</v>
      </c>
      <c r="H1028" s="42" t="s">
        <v>112</v>
      </c>
      <c r="I1028" s="42" t="s">
        <v>870</v>
      </c>
    </row>
    <row r="1029" spans="1:9">
      <c r="A1029" s="42" t="s">
        <v>759</v>
      </c>
      <c r="B1029" s="42" t="s">
        <v>291</v>
      </c>
      <c r="C1029" s="42" t="s">
        <v>827</v>
      </c>
      <c r="D1029" s="42" t="s">
        <v>168</v>
      </c>
      <c r="E1029" s="42" t="s">
        <v>808</v>
      </c>
      <c r="F1029" s="45">
        <v>14455538.34225226</v>
      </c>
      <c r="G1029" s="42" t="s">
        <v>763</v>
      </c>
      <c r="H1029" s="42" t="s">
        <v>112</v>
      </c>
      <c r="I1029" s="42" t="s">
        <v>870</v>
      </c>
    </row>
    <row r="1030" spans="1:9">
      <c r="A1030" s="42" t="s">
        <v>759</v>
      </c>
      <c r="B1030" s="42" t="s">
        <v>292</v>
      </c>
      <c r="C1030" s="42" t="s">
        <v>828</v>
      </c>
      <c r="D1030" s="42" t="s">
        <v>168</v>
      </c>
      <c r="E1030" s="42" t="s">
        <v>808</v>
      </c>
      <c r="F1030" s="45">
        <v>50147141.02265301</v>
      </c>
      <c r="G1030" s="42" t="s">
        <v>763</v>
      </c>
      <c r="H1030" s="42" t="s">
        <v>112</v>
      </c>
      <c r="I1030" s="42" t="s">
        <v>870</v>
      </c>
    </row>
    <row r="1031" spans="1:9">
      <c r="A1031" s="42" t="s">
        <v>759</v>
      </c>
      <c r="B1031" s="42" t="s">
        <v>293</v>
      </c>
      <c r="C1031" s="42" t="s">
        <v>829</v>
      </c>
      <c r="D1031" s="42" t="s">
        <v>168</v>
      </c>
      <c r="E1031" s="42" t="s">
        <v>808</v>
      </c>
      <c r="F1031" s="45">
        <v>40283831.71177923</v>
      </c>
      <c r="G1031" s="42" t="s">
        <v>763</v>
      </c>
      <c r="H1031" s="42" t="s">
        <v>112</v>
      </c>
      <c r="I1031" s="42" t="s">
        <v>870</v>
      </c>
    </row>
    <row r="1032" spans="1:9">
      <c r="A1032" s="42" t="s">
        <v>759</v>
      </c>
      <c r="B1032" s="42" t="s">
        <v>295</v>
      </c>
      <c r="C1032" s="42" t="s">
        <v>863</v>
      </c>
      <c r="D1032" s="42" t="s">
        <v>168</v>
      </c>
      <c r="E1032" s="42" t="s">
        <v>808</v>
      </c>
      <c r="F1032" s="45">
        <v>178809418.7539701</v>
      </c>
      <c r="G1032" s="42" t="s">
        <v>763</v>
      </c>
      <c r="H1032" s="42" t="s">
        <v>112</v>
      </c>
      <c r="I1032" s="42" t="s">
        <v>870</v>
      </c>
    </row>
    <row r="1033" spans="1:9">
      <c r="A1033" s="42" t="s">
        <v>759</v>
      </c>
      <c r="B1033" s="42" t="s">
        <v>239</v>
      </c>
      <c r="C1033" s="42" t="s">
        <v>830</v>
      </c>
      <c r="D1033" s="42" t="s">
        <v>168</v>
      </c>
      <c r="E1033" s="42" t="s">
        <v>808</v>
      </c>
      <c r="F1033" s="45">
        <v>19244602289.64353</v>
      </c>
      <c r="G1033" s="42" t="s">
        <v>763</v>
      </c>
      <c r="H1033" s="42" t="s">
        <v>112</v>
      </c>
      <c r="I1033" s="42" t="s">
        <v>870</v>
      </c>
    </row>
    <row r="1034" spans="1:9">
      <c r="A1034" s="42" t="s">
        <v>759</v>
      </c>
      <c r="B1034" s="42" t="s">
        <v>810</v>
      </c>
      <c r="C1034" s="42" t="s">
        <v>818</v>
      </c>
      <c r="D1034" s="42" t="s">
        <v>168</v>
      </c>
      <c r="E1034" s="42" t="s">
        <v>808</v>
      </c>
      <c r="F1034" s="45">
        <v>998310.658995322</v>
      </c>
      <c r="G1034" s="42" t="s">
        <v>763</v>
      </c>
      <c r="H1034" s="42" t="s">
        <v>112</v>
      </c>
      <c r="I1034" s="42" t="s">
        <v>870</v>
      </c>
    </row>
    <row r="1035" spans="1:9">
      <c r="A1035" s="42" t="s">
        <v>759</v>
      </c>
      <c r="B1035" s="42" t="s">
        <v>241</v>
      </c>
      <c r="C1035" s="42" t="s">
        <v>772</v>
      </c>
      <c r="D1035" s="42" t="s">
        <v>168</v>
      </c>
      <c r="E1035" s="42" t="s">
        <v>808</v>
      </c>
      <c r="F1035" s="45">
        <v>1721702535.473876</v>
      </c>
      <c r="G1035" s="42" t="s">
        <v>763</v>
      </c>
      <c r="H1035" s="42" t="s">
        <v>112</v>
      </c>
      <c r="I1035" s="42" t="s">
        <v>870</v>
      </c>
    </row>
    <row r="1036" spans="1:9">
      <c r="A1036" s="42" t="s">
        <v>759</v>
      </c>
      <c r="B1036" s="42" t="s">
        <v>242</v>
      </c>
      <c r="C1036" s="42" t="s">
        <v>773</v>
      </c>
      <c r="D1036" s="42" t="s">
        <v>168</v>
      </c>
      <c r="E1036" s="42" t="s">
        <v>808</v>
      </c>
      <c r="F1036" s="45">
        <v>17314700.06961486</v>
      </c>
      <c r="G1036" s="42" t="s">
        <v>763</v>
      </c>
      <c r="H1036" s="42" t="s">
        <v>112</v>
      </c>
      <c r="I1036" s="42" t="s">
        <v>870</v>
      </c>
    </row>
    <row r="1037" spans="1:9">
      <c r="A1037" s="42" t="s">
        <v>759</v>
      </c>
      <c r="B1037" s="42" t="s">
        <v>292</v>
      </c>
      <c r="C1037" s="42" t="s">
        <v>774</v>
      </c>
      <c r="D1037" s="42" t="s">
        <v>168</v>
      </c>
      <c r="E1037" s="42" t="s">
        <v>808</v>
      </c>
      <c r="F1037" s="45">
        <v>603163327.1944296</v>
      </c>
      <c r="G1037" s="42" t="s">
        <v>763</v>
      </c>
      <c r="H1037" s="42" t="s">
        <v>112</v>
      </c>
      <c r="I1037" s="42" t="s">
        <v>870</v>
      </c>
    </row>
    <row r="1038" spans="1:9">
      <c r="A1038" s="42" t="s">
        <v>759</v>
      </c>
      <c r="B1038" s="42" t="s">
        <v>293</v>
      </c>
      <c r="C1038" s="42" t="s">
        <v>775</v>
      </c>
      <c r="D1038" s="42" t="s">
        <v>168</v>
      </c>
      <c r="E1038" s="42" t="s">
        <v>808</v>
      </c>
      <c r="F1038" s="45">
        <v>1545728318.991453</v>
      </c>
      <c r="G1038" s="42" t="s">
        <v>763</v>
      </c>
      <c r="H1038" s="42" t="s">
        <v>112</v>
      </c>
      <c r="I1038" s="42" t="s">
        <v>870</v>
      </c>
    </row>
    <row r="1039" spans="1:9">
      <c r="A1039" s="42" t="s">
        <v>759</v>
      </c>
      <c r="B1039" s="42" t="s">
        <v>295</v>
      </c>
      <c r="C1039" s="42" t="s">
        <v>776</v>
      </c>
      <c r="D1039" s="42" t="s">
        <v>168</v>
      </c>
      <c r="E1039" s="42" t="s">
        <v>808</v>
      </c>
      <c r="F1039" s="45">
        <v>575082844.9782093</v>
      </c>
      <c r="G1039" s="42" t="s">
        <v>763</v>
      </c>
      <c r="H1039" s="42" t="s">
        <v>112</v>
      </c>
      <c r="I1039" s="42" t="s">
        <v>870</v>
      </c>
    </row>
    <row r="1040" spans="1:9">
      <c r="A1040" s="42" t="s">
        <v>759</v>
      </c>
      <c r="B1040" s="42" t="s">
        <v>246</v>
      </c>
      <c r="C1040" s="42" t="s">
        <v>777</v>
      </c>
      <c r="D1040" s="42" t="s">
        <v>168</v>
      </c>
      <c r="E1040" s="42" t="s">
        <v>808</v>
      </c>
      <c r="F1040" s="45">
        <v>666879506.694147</v>
      </c>
      <c r="G1040" s="42" t="s">
        <v>763</v>
      </c>
      <c r="H1040" s="42" t="s">
        <v>112</v>
      </c>
      <c r="I1040" s="42" t="s">
        <v>870</v>
      </c>
    </row>
    <row r="1041" spans="1:9">
      <c r="A1041" s="42" t="s">
        <v>759</v>
      </c>
      <c r="B1041" s="42" t="s">
        <v>247</v>
      </c>
      <c r="C1041" s="42" t="s">
        <v>778</v>
      </c>
      <c r="D1041" s="42" t="s">
        <v>168</v>
      </c>
      <c r="E1041" s="42" t="s">
        <v>808</v>
      </c>
      <c r="F1041" s="45">
        <v>5130869544.060725</v>
      </c>
      <c r="G1041" s="42" t="s">
        <v>763</v>
      </c>
      <c r="H1041" s="42" t="s">
        <v>112</v>
      </c>
      <c r="I1041" s="42" t="s">
        <v>870</v>
      </c>
    </row>
    <row r="1042" spans="1:9">
      <c r="A1042" s="42" t="s">
        <v>759</v>
      </c>
      <c r="B1042" s="42" t="s">
        <v>248</v>
      </c>
      <c r="C1042" s="42" t="s">
        <v>779</v>
      </c>
      <c r="D1042" s="42" t="s">
        <v>168</v>
      </c>
      <c r="E1042" s="42" t="s">
        <v>808</v>
      </c>
      <c r="F1042" s="45">
        <v>24375471833.70426</v>
      </c>
      <c r="G1042" s="42" t="s">
        <v>763</v>
      </c>
      <c r="H1042" s="42" t="s">
        <v>112</v>
      </c>
      <c r="I1042" s="42" t="s">
        <v>870</v>
      </c>
    </row>
    <row r="1043" spans="1:9">
      <c r="A1043" s="42" t="s">
        <v>759</v>
      </c>
      <c r="B1043" s="42" t="s">
        <v>780</v>
      </c>
      <c r="C1043" s="42" t="s">
        <v>781</v>
      </c>
      <c r="D1043" s="42" t="s">
        <v>168</v>
      </c>
      <c r="E1043" s="42" t="s">
        <v>808</v>
      </c>
      <c r="F1043" s="45">
        <v>84465068.23627619</v>
      </c>
      <c r="G1043" s="42" t="s">
        <v>763</v>
      </c>
      <c r="H1043" s="42" t="s">
        <v>112</v>
      </c>
      <c r="I1043" s="42" t="s">
        <v>870</v>
      </c>
    </row>
    <row r="1044" spans="1:9">
      <c r="A1044" s="42" t="s">
        <v>759</v>
      </c>
      <c r="B1044" s="42" t="s">
        <v>299</v>
      </c>
      <c r="C1044" s="42" t="s">
        <v>782</v>
      </c>
      <c r="D1044" s="42" t="s">
        <v>168</v>
      </c>
      <c r="E1044" s="42" t="s">
        <v>808</v>
      </c>
      <c r="F1044" s="45">
        <v>9214479260.89427</v>
      </c>
      <c r="G1044" s="42" t="s">
        <v>763</v>
      </c>
      <c r="H1044" s="42" t="s">
        <v>112</v>
      </c>
      <c r="I1044" s="42" t="s">
        <v>870</v>
      </c>
    </row>
    <row r="1045" spans="1:9">
      <c r="A1045" s="42" t="s">
        <v>759</v>
      </c>
      <c r="B1045" s="42" t="s">
        <v>783</v>
      </c>
      <c r="C1045" s="42" t="s">
        <v>784</v>
      </c>
      <c r="D1045" s="42" t="s">
        <v>168</v>
      </c>
      <c r="E1045" s="42" t="s">
        <v>808</v>
      </c>
      <c r="F1045" s="45">
        <v>9298944329.130545</v>
      </c>
      <c r="G1045" s="42" t="s">
        <v>763</v>
      </c>
      <c r="H1045" s="42" t="s">
        <v>112</v>
      </c>
      <c r="I1045" s="42" t="s">
        <v>870</v>
      </c>
    </row>
    <row r="1046" spans="1:9">
      <c r="A1046" s="42" t="s">
        <v>759</v>
      </c>
      <c r="B1046" s="42" t="s">
        <v>261</v>
      </c>
      <c r="C1046" s="42" t="s">
        <v>785</v>
      </c>
      <c r="D1046" s="42" t="s">
        <v>168</v>
      </c>
      <c r="E1046" s="42" t="s">
        <v>808</v>
      </c>
      <c r="F1046" s="45">
        <v>95901715.14572661</v>
      </c>
      <c r="G1046" s="42" t="s">
        <v>763</v>
      </c>
      <c r="H1046" s="42" t="s">
        <v>112</v>
      </c>
      <c r="I1046" s="42" t="s">
        <v>870</v>
      </c>
    </row>
    <row r="1047" spans="1:9">
      <c r="A1047" s="42" t="s">
        <v>759</v>
      </c>
      <c r="B1047" s="42" t="s">
        <v>786</v>
      </c>
      <c r="C1047" s="42" t="s">
        <v>787</v>
      </c>
      <c r="D1047" s="42" t="s">
        <v>168</v>
      </c>
      <c r="E1047" s="42" t="s">
        <v>808</v>
      </c>
      <c r="F1047" s="45">
        <v>9394846044.276272</v>
      </c>
      <c r="G1047" s="42" t="s">
        <v>763</v>
      </c>
      <c r="H1047" s="42" t="s">
        <v>112</v>
      </c>
      <c r="I1047" s="42" t="s">
        <v>870</v>
      </c>
    </row>
    <row r="1048" spans="1:9">
      <c r="A1048" s="42" t="s">
        <v>759</v>
      </c>
      <c r="B1048" s="42" t="s">
        <v>301</v>
      </c>
      <c r="C1048" s="42" t="s">
        <v>832</v>
      </c>
      <c r="D1048" s="42" t="s">
        <v>168</v>
      </c>
      <c r="E1048" s="42" t="s">
        <v>808</v>
      </c>
      <c r="F1048" s="45">
        <v>2536507722.375314</v>
      </c>
      <c r="G1048" s="42" t="s">
        <v>763</v>
      </c>
      <c r="H1048" s="42" t="s">
        <v>112</v>
      </c>
      <c r="I1048" s="42" t="s">
        <v>870</v>
      </c>
    </row>
    <row r="1049" spans="1:9">
      <c r="A1049" s="42" t="s">
        <v>759</v>
      </c>
      <c r="B1049" s="42" t="s">
        <v>303</v>
      </c>
      <c r="C1049" s="42" t="s">
        <v>833</v>
      </c>
      <c r="D1049" s="42" t="s">
        <v>168</v>
      </c>
      <c r="E1049" s="42" t="s">
        <v>808</v>
      </c>
      <c r="F1049" s="45">
        <v>1332073864.99591</v>
      </c>
      <c r="G1049" s="42" t="s">
        <v>763</v>
      </c>
      <c r="H1049" s="42" t="s">
        <v>112</v>
      </c>
      <c r="I1049" s="42" t="s">
        <v>870</v>
      </c>
    </row>
    <row r="1050" spans="1:9">
      <c r="A1050" s="42" t="s">
        <v>759</v>
      </c>
      <c r="B1050" s="42" t="s">
        <v>304</v>
      </c>
      <c r="C1050" s="42" t="s">
        <v>835</v>
      </c>
      <c r="D1050" s="42" t="s">
        <v>168</v>
      </c>
      <c r="E1050" s="42" t="s">
        <v>808</v>
      </c>
      <c r="F1050" s="45">
        <v>40954696.47462408</v>
      </c>
      <c r="G1050" s="42" t="s">
        <v>763</v>
      </c>
      <c r="H1050" s="42" t="s">
        <v>112</v>
      </c>
      <c r="I1050" s="42" t="s">
        <v>870</v>
      </c>
    </row>
    <row r="1051" spans="1:9">
      <c r="A1051" s="42" t="s">
        <v>759</v>
      </c>
      <c r="B1051" s="42" t="s">
        <v>305</v>
      </c>
      <c r="C1051" s="42" t="s">
        <v>837</v>
      </c>
      <c r="D1051" s="42" t="s">
        <v>168</v>
      </c>
      <c r="E1051" s="42" t="s">
        <v>808</v>
      </c>
      <c r="F1051" s="45">
        <v>1613270.02493644</v>
      </c>
      <c r="G1051" s="42" t="s">
        <v>763</v>
      </c>
      <c r="H1051" s="42" t="s">
        <v>112</v>
      </c>
      <c r="I1051" s="42" t="s">
        <v>870</v>
      </c>
    </row>
    <row r="1052" spans="1:9">
      <c r="A1052" s="42" t="s">
        <v>759</v>
      </c>
      <c r="B1052" s="42" t="s">
        <v>306</v>
      </c>
      <c r="C1052" s="42" t="s">
        <v>857</v>
      </c>
      <c r="D1052" s="42" t="s">
        <v>168</v>
      </c>
      <c r="E1052" s="42" t="s">
        <v>808</v>
      </c>
      <c r="F1052" s="45">
        <v>13481187.13907283</v>
      </c>
      <c r="G1052" s="42" t="s">
        <v>763</v>
      </c>
      <c r="H1052" s="42" t="s">
        <v>112</v>
      </c>
      <c r="I1052" s="42" t="s">
        <v>870</v>
      </c>
    </row>
    <row r="1053" spans="1:9">
      <c r="A1053" s="42" t="s">
        <v>759</v>
      </c>
      <c r="B1053" s="42" t="s">
        <v>307</v>
      </c>
      <c r="C1053" s="42" t="s">
        <v>838</v>
      </c>
      <c r="D1053" s="42" t="s">
        <v>168</v>
      </c>
      <c r="E1053" s="42" t="s">
        <v>808</v>
      </c>
      <c r="F1053" s="45">
        <v>258921852.5170267</v>
      </c>
      <c r="G1053" s="42" t="s">
        <v>763</v>
      </c>
      <c r="H1053" s="42" t="s">
        <v>112</v>
      </c>
      <c r="I1053" s="42" t="s">
        <v>870</v>
      </c>
    </row>
    <row r="1054" spans="1:9">
      <c r="A1054" s="42" t="s">
        <v>759</v>
      </c>
      <c r="B1054" s="42" t="s">
        <v>308</v>
      </c>
      <c r="C1054" s="42" t="s">
        <v>839</v>
      </c>
      <c r="D1054" s="42" t="s">
        <v>168</v>
      </c>
      <c r="E1054" s="42" t="s">
        <v>808</v>
      </c>
      <c r="F1054" s="45">
        <v>6315433026.083486</v>
      </c>
      <c r="G1054" s="42" t="s">
        <v>763</v>
      </c>
      <c r="H1054" s="42" t="s">
        <v>112</v>
      </c>
      <c r="I1054" s="42" t="s">
        <v>870</v>
      </c>
    </row>
    <row r="1055" spans="1:9">
      <c r="A1055" s="42" t="s">
        <v>759</v>
      </c>
      <c r="B1055" s="42" t="s">
        <v>309</v>
      </c>
      <c r="C1055" s="42" t="s">
        <v>840</v>
      </c>
      <c r="D1055" s="42" t="s">
        <v>168</v>
      </c>
      <c r="E1055" s="42" t="s">
        <v>808</v>
      </c>
      <c r="F1055" s="45">
        <v>8417755.476648554</v>
      </c>
      <c r="G1055" s="42" t="s">
        <v>763</v>
      </c>
      <c r="H1055" s="42" t="s">
        <v>112</v>
      </c>
      <c r="I1055" s="42" t="s">
        <v>870</v>
      </c>
    </row>
    <row r="1056" spans="1:9">
      <c r="A1056" s="42" t="s">
        <v>759</v>
      </c>
      <c r="B1056" s="42" t="s">
        <v>310</v>
      </c>
      <c r="C1056" s="42" t="s">
        <v>841</v>
      </c>
      <c r="D1056" s="42" t="s">
        <v>168</v>
      </c>
      <c r="E1056" s="42" t="s">
        <v>808</v>
      </c>
      <c r="F1056" s="45">
        <v>7890647.448699025</v>
      </c>
      <c r="G1056" s="42" t="s">
        <v>763</v>
      </c>
      <c r="H1056" s="42" t="s">
        <v>112</v>
      </c>
      <c r="I1056" s="42" t="s">
        <v>870</v>
      </c>
    </row>
    <row r="1057" spans="1:9">
      <c r="A1057" s="42" t="s">
        <v>759</v>
      </c>
      <c r="B1057" s="42" t="s">
        <v>273</v>
      </c>
      <c r="C1057" s="42" t="s">
        <v>842</v>
      </c>
      <c r="D1057" s="42" t="s">
        <v>168</v>
      </c>
      <c r="E1057" s="42" t="s">
        <v>808</v>
      </c>
      <c r="F1057" s="45">
        <v>10515294022.53572</v>
      </c>
      <c r="G1057" s="42" t="s">
        <v>763</v>
      </c>
      <c r="H1057" s="42" t="s">
        <v>112</v>
      </c>
      <c r="I1057" s="42" t="s">
        <v>870</v>
      </c>
    </row>
    <row r="1058" spans="1:9">
      <c r="A1058" s="42" t="s">
        <v>759</v>
      </c>
      <c r="B1058" s="42" t="s">
        <v>301</v>
      </c>
      <c r="C1058" s="42" t="s">
        <v>795</v>
      </c>
      <c r="D1058" s="42" t="s">
        <v>168</v>
      </c>
      <c r="E1058" s="42" t="s">
        <v>808</v>
      </c>
      <c r="F1058" s="45">
        <v>180917850.8657682</v>
      </c>
      <c r="G1058" s="42" t="s">
        <v>763</v>
      </c>
      <c r="H1058" s="42" t="s">
        <v>112</v>
      </c>
      <c r="I1058" s="42" t="s">
        <v>870</v>
      </c>
    </row>
    <row r="1059" spans="1:9">
      <c r="A1059" s="42" t="s">
        <v>759</v>
      </c>
      <c r="B1059" s="42" t="s">
        <v>302</v>
      </c>
      <c r="C1059" s="42" t="s">
        <v>797</v>
      </c>
      <c r="D1059" s="42" t="s">
        <v>168</v>
      </c>
      <c r="E1059" s="42" t="s">
        <v>808</v>
      </c>
      <c r="F1059" s="45">
        <v>231671964.7690904</v>
      </c>
      <c r="G1059" s="42" t="s">
        <v>763</v>
      </c>
      <c r="H1059" s="42" t="s">
        <v>112</v>
      </c>
      <c r="I1059" s="42" t="s">
        <v>870</v>
      </c>
    </row>
    <row r="1060" spans="1:9">
      <c r="A1060" s="42" t="s">
        <v>759</v>
      </c>
      <c r="B1060" s="42" t="s">
        <v>304</v>
      </c>
      <c r="C1060" s="42" t="s">
        <v>796</v>
      </c>
      <c r="D1060" s="42" t="s">
        <v>168</v>
      </c>
      <c r="E1060" s="42" t="s">
        <v>808</v>
      </c>
      <c r="F1060" s="45">
        <v>418475855.280295</v>
      </c>
      <c r="G1060" s="42" t="s">
        <v>763</v>
      </c>
      <c r="H1060" s="42" t="s">
        <v>112</v>
      </c>
      <c r="I1060" s="42" t="s">
        <v>870</v>
      </c>
    </row>
    <row r="1061" spans="1:9">
      <c r="A1061" s="42" t="s">
        <v>759</v>
      </c>
      <c r="B1061" s="42" t="s">
        <v>305</v>
      </c>
      <c r="C1061" s="42" t="s">
        <v>798</v>
      </c>
      <c r="D1061" s="42" t="s">
        <v>168</v>
      </c>
      <c r="E1061" s="42" t="s">
        <v>808</v>
      </c>
      <c r="F1061" s="45">
        <v>235689166.8608876</v>
      </c>
      <c r="G1061" s="42" t="s">
        <v>763</v>
      </c>
      <c r="H1061" s="42" t="s">
        <v>112</v>
      </c>
      <c r="I1061" s="42" t="s">
        <v>870</v>
      </c>
    </row>
    <row r="1062" spans="1:9">
      <c r="A1062" s="42" t="s">
        <v>759</v>
      </c>
      <c r="B1062" s="42" t="s">
        <v>306</v>
      </c>
      <c r="C1062" s="42" t="s">
        <v>799</v>
      </c>
      <c r="D1062" s="42" t="s">
        <v>168</v>
      </c>
      <c r="E1062" s="42" t="s">
        <v>808</v>
      </c>
      <c r="F1062" s="45">
        <v>221744763.5760409</v>
      </c>
      <c r="G1062" s="42" t="s">
        <v>763</v>
      </c>
      <c r="H1062" s="42" t="s">
        <v>112</v>
      </c>
      <c r="I1062" s="42" t="s">
        <v>870</v>
      </c>
    </row>
    <row r="1063" spans="1:9">
      <c r="A1063" s="42" t="s">
        <v>759</v>
      </c>
      <c r="B1063" s="42" t="s">
        <v>307</v>
      </c>
      <c r="C1063" s="42" t="s">
        <v>843</v>
      </c>
      <c r="D1063" s="42" t="s">
        <v>168</v>
      </c>
      <c r="E1063" s="42" t="s">
        <v>808</v>
      </c>
      <c r="F1063" s="45">
        <v>285373091.7377667</v>
      </c>
      <c r="G1063" s="42" t="s">
        <v>763</v>
      </c>
      <c r="H1063" s="42" t="s">
        <v>112</v>
      </c>
      <c r="I1063" s="42" t="s">
        <v>870</v>
      </c>
    </row>
    <row r="1064" spans="1:9">
      <c r="A1064" s="42" t="s">
        <v>759</v>
      </c>
      <c r="B1064" s="42" t="s">
        <v>308</v>
      </c>
      <c r="C1064" s="42" t="s">
        <v>800</v>
      </c>
      <c r="D1064" s="42" t="s">
        <v>168</v>
      </c>
      <c r="E1064" s="42" t="s">
        <v>808</v>
      </c>
      <c r="F1064" s="45">
        <v>765416761.9796213</v>
      </c>
      <c r="G1064" s="42" t="s">
        <v>763</v>
      </c>
      <c r="H1064" s="42" t="s">
        <v>112</v>
      </c>
      <c r="I1064" s="42" t="s">
        <v>870</v>
      </c>
    </row>
    <row r="1065" spans="1:9">
      <c r="A1065" s="42" t="s">
        <v>759</v>
      </c>
      <c r="B1065" s="42" t="s">
        <v>309</v>
      </c>
      <c r="C1065" s="42" t="s">
        <v>801</v>
      </c>
      <c r="D1065" s="42" t="s">
        <v>168</v>
      </c>
      <c r="E1065" s="42" t="s">
        <v>808</v>
      </c>
      <c r="F1065" s="45">
        <v>11620336.07070555</v>
      </c>
      <c r="G1065" s="42" t="s">
        <v>763</v>
      </c>
      <c r="H1065" s="42" t="s">
        <v>112</v>
      </c>
      <c r="I1065" s="42" t="s">
        <v>870</v>
      </c>
    </row>
    <row r="1066" spans="1:9">
      <c r="A1066" s="42" t="s">
        <v>759</v>
      </c>
      <c r="B1066" s="42" t="s">
        <v>310</v>
      </c>
      <c r="C1066" s="42" t="s">
        <v>802</v>
      </c>
      <c r="D1066" s="42" t="s">
        <v>168</v>
      </c>
      <c r="E1066" s="42" t="s">
        <v>808</v>
      </c>
      <c r="F1066" s="45">
        <v>2114421975.752092</v>
      </c>
      <c r="G1066" s="42" t="s">
        <v>763</v>
      </c>
      <c r="H1066" s="42" t="s">
        <v>112</v>
      </c>
      <c r="I1066" s="42" t="s">
        <v>870</v>
      </c>
    </row>
    <row r="1067" spans="1:9">
      <c r="A1067" s="42" t="s">
        <v>759</v>
      </c>
      <c r="B1067" s="42" t="s">
        <v>284</v>
      </c>
      <c r="C1067" s="42" t="s">
        <v>803</v>
      </c>
      <c r="D1067" s="42" t="s">
        <v>168</v>
      </c>
      <c r="E1067" s="42" t="s">
        <v>808</v>
      </c>
      <c r="F1067" s="45">
        <v>4465331766.892267</v>
      </c>
      <c r="G1067" s="42" t="s">
        <v>763</v>
      </c>
      <c r="H1067" s="42" t="s">
        <v>112</v>
      </c>
      <c r="I1067" s="42" t="s">
        <v>870</v>
      </c>
    </row>
    <row r="1068" spans="1:9">
      <c r="A1068" s="42" t="s">
        <v>759</v>
      </c>
      <c r="B1068" s="42" t="s">
        <v>285</v>
      </c>
      <c r="C1068" s="42" t="s">
        <v>804</v>
      </c>
      <c r="D1068" s="42" t="s">
        <v>168</v>
      </c>
      <c r="E1068" s="42" t="s">
        <v>808</v>
      </c>
      <c r="F1068" s="45">
        <v>14980625789.42798</v>
      </c>
      <c r="G1068" s="42" t="s">
        <v>763</v>
      </c>
      <c r="H1068" s="42" t="s">
        <v>112</v>
      </c>
      <c r="I1068" s="42" t="s">
        <v>870</v>
      </c>
    </row>
    <row r="1069" spans="1:9">
      <c r="A1069" s="42" t="s">
        <v>759</v>
      </c>
      <c r="B1069" s="42" t="s">
        <v>805</v>
      </c>
      <c r="C1069" s="42" t="s">
        <v>806</v>
      </c>
      <c r="D1069" s="42" t="s">
        <v>168</v>
      </c>
      <c r="E1069" s="42" t="s">
        <v>808</v>
      </c>
      <c r="F1069" s="45">
        <v>24375471833.70426</v>
      </c>
      <c r="G1069" s="42" t="s">
        <v>763</v>
      </c>
      <c r="H1069" s="42" t="s">
        <v>112</v>
      </c>
      <c r="I1069" s="42" t="s">
        <v>870</v>
      </c>
    </row>
    <row r="1070" spans="1:9">
      <c r="A1070" s="42" t="s">
        <v>759</v>
      </c>
      <c r="B1070" s="42" t="s">
        <v>287</v>
      </c>
      <c r="C1070" s="42" t="s">
        <v>821</v>
      </c>
      <c r="D1070" s="42" t="s">
        <v>169</v>
      </c>
      <c r="E1070" s="42" t="s">
        <v>808</v>
      </c>
      <c r="F1070" s="45">
        <v>412169813.7111924</v>
      </c>
      <c r="G1070" s="42" t="s">
        <v>763</v>
      </c>
      <c r="H1070" s="42" t="s">
        <v>114</v>
      </c>
      <c r="I1070" s="42" t="s">
        <v>864</v>
      </c>
    </row>
    <row r="1071" spans="1:9">
      <c r="A1071" s="42" t="s">
        <v>759</v>
      </c>
      <c r="B1071" s="42" t="s">
        <v>288</v>
      </c>
      <c r="C1071" s="42" t="s">
        <v>823</v>
      </c>
      <c r="D1071" s="42" t="s">
        <v>169</v>
      </c>
      <c r="E1071" s="42" t="s">
        <v>808</v>
      </c>
      <c r="F1071" s="45">
        <v>16643161664.56808</v>
      </c>
      <c r="G1071" s="42" t="s">
        <v>763</v>
      </c>
      <c r="H1071" s="42" t="s">
        <v>114</v>
      </c>
      <c r="I1071" s="42" t="s">
        <v>864</v>
      </c>
    </row>
    <row r="1072" spans="1:9">
      <c r="A1072" s="42" t="s">
        <v>759</v>
      </c>
      <c r="B1072" s="42" t="s">
        <v>289</v>
      </c>
      <c r="C1072" s="42" t="s">
        <v>825</v>
      </c>
      <c r="D1072" s="42" t="s">
        <v>169</v>
      </c>
      <c r="E1072" s="42" t="s">
        <v>808</v>
      </c>
      <c r="F1072" s="45">
        <v>500047964.9451022</v>
      </c>
      <c r="G1072" s="42" t="s">
        <v>763</v>
      </c>
      <c r="H1072" s="42" t="s">
        <v>114</v>
      </c>
      <c r="I1072" s="42" t="s">
        <v>864</v>
      </c>
    </row>
    <row r="1073" spans="1:9">
      <c r="A1073" s="42" t="s">
        <v>759</v>
      </c>
      <c r="B1073" s="42" t="s">
        <v>290</v>
      </c>
      <c r="C1073" s="42" t="s">
        <v>826</v>
      </c>
      <c r="D1073" s="42" t="s">
        <v>169</v>
      </c>
      <c r="E1073" s="42" t="s">
        <v>808</v>
      </c>
      <c r="F1073" s="45">
        <v>1867806821.614212</v>
      </c>
      <c r="G1073" s="42" t="s">
        <v>763</v>
      </c>
      <c r="H1073" s="42" t="s">
        <v>114</v>
      </c>
      <c r="I1073" s="42" t="s">
        <v>864</v>
      </c>
    </row>
    <row r="1074" spans="1:9">
      <c r="A1074" s="42" t="s">
        <v>759</v>
      </c>
      <c r="B1074" s="42" t="s">
        <v>291</v>
      </c>
      <c r="C1074" s="42" t="s">
        <v>827</v>
      </c>
      <c r="D1074" s="42" t="s">
        <v>169</v>
      </c>
      <c r="E1074" s="42" t="s">
        <v>808</v>
      </c>
      <c r="F1074" s="45">
        <v>6194923.452301463</v>
      </c>
      <c r="G1074" s="42" t="s">
        <v>763</v>
      </c>
      <c r="H1074" s="42" t="s">
        <v>114</v>
      </c>
      <c r="I1074" s="42" t="s">
        <v>864</v>
      </c>
    </row>
    <row r="1075" spans="1:9">
      <c r="A1075" s="42" t="s">
        <v>759</v>
      </c>
      <c r="B1075" s="42" t="s">
        <v>292</v>
      </c>
      <c r="C1075" s="42" t="s">
        <v>828</v>
      </c>
      <c r="D1075" s="42" t="s">
        <v>169</v>
      </c>
      <c r="E1075" s="42" t="s">
        <v>808</v>
      </c>
      <c r="F1075" s="45">
        <v>45186900.48358202</v>
      </c>
      <c r="G1075" s="42" t="s">
        <v>763</v>
      </c>
      <c r="H1075" s="42" t="s">
        <v>114</v>
      </c>
      <c r="I1075" s="42" t="s">
        <v>864</v>
      </c>
    </row>
    <row r="1076" spans="1:9">
      <c r="A1076" s="42" t="s">
        <v>759</v>
      </c>
      <c r="B1076" s="42" t="s">
        <v>293</v>
      </c>
      <c r="C1076" s="42" t="s">
        <v>829</v>
      </c>
      <c r="D1076" s="42" t="s">
        <v>169</v>
      </c>
      <c r="E1076" s="42" t="s">
        <v>808</v>
      </c>
      <c r="F1076" s="45">
        <v>10050600.28814661</v>
      </c>
      <c r="G1076" s="42" t="s">
        <v>763</v>
      </c>
      <c r="H1076" s="42" t="s">
        <v>114</v>
      </c>
      <c r="I1076" s="42" t="s">
        <v>864</v>
      </c>
    </row>
    <row r="1077" spans="1:9">
      <c r="A1077" s="42" t="s">
        <v>759</v>
      </c>
      <c r="B1077" s="42" t="s">
        <v>295</v>
      </c>
      <c r="C1077" s="42" t="s">
        <v>863</v>
      </c>
      <c r="D1077" s="42" t="s">
        <v>169</v>
      </c>
      <c r="E1077" s="42" t="s">
        <v>808</v>
      </c>
      <c r="F1077" s="45">
        <v>201392813.3516577</v>
      </c>
      <c r="G1077" s="42" t="s">
        <v>763</v>
      </c>
      <c r="H1077" s="42" t="s">
        <v>114</v>
      </c>
      <c r="I1077" s="42" t="s">
        <v>864</v>
      </c>
    </row>
    <row r="1078" spans="1:9">
      <c r="A1078" s="42" t="s">
        <v>759</v>
      </c>
      <c r="B1078" s="42" t="s">
        <v>239</v>
      </c>
      <c r="C1078" s="42" t="s">
        <v>830</v>
      </c>
      <c r="D1078" s="42" t="s">
        <v>169</v>
      </c>
      <c r="E1078" s="42" t="s">
        <v>808</v>
      </c>
      <c r="F1078" s="45">
        <v>19686011502.41428</v>
      </c>
      <c r="G1078" s="42" t="s">
        <v>763</v>
      </c>
      <c r="H1078" s="42" t="s">
        <v>114</v>
      </c>
      <c r="I1078" s="42" t="s">
        <v>864</v>
      </c>
    </row>
    <row r="1079" spans="1:9">
      <c r="A1079" s="42" t="s">
        <v>759</v>
      </c>
      <c r="B1079" s="42" t="s">
        <v>241</v>
      </c>
      <c r="C1079" s="42" t="s">
        <v>772</v>
      </c>
      <c r="D1079" s="42" t="s">
        <v>169</v>
      </c>
      <c r="E1079" s="42" t="s">
        <v>808</v>
      </c>
      <c r="F1079" s="45">
        <v>2002741910.597767</v>
      </c>
      <c r="G1079" s="42" t="s">
        <v>763</v>
      </c>
      <c r="H1079" s="42" t="s">
        <v>114</v>
      </c>
      <c r="I1079" s="42" t="s">
        <v>864</v>
      </c>
    </row>
    <row r="1080" spans="1:9">
      <c r="A1080" s="42" t="s">
        <v>759</v>
      </c>
      <c r="B1080" s="42" t="s">
        <v>242</v>
      </c>
      <c r="C1080" s="42" t="s">
        <v>773</v>
      </c>
      <c r="D1080" s="42" t="s">
        <v>169</v>
      </c>
      <c r="E1080" s="42" t="s">
        <v>808</v>
      </c>
      <c r="F1080" s="45">
        <v>1251224.93438361</v>
      </c>
      <c r="G1080" s="42" t="s">
        <v>763</v>
      </c>
      <c r="H1080" s="42" t="s">
        <v>114</v>
      </c>
      <c r="I1080" s="42" t="s">
        <v>864</v>
      </c>
    </row>
    <row r="1081" spans="1:9">
      <c r="A1081" s="42" t="s">
        <v>759</v>
      </c>
      <c r="B1081" s="42" t="s">
        <v>292</v>
      </c>
      <c r="C1081" s="42" t="s">
        <v>774</v>
      </c>
      <c r="D1081" s="42" t="s">
        <v>169</v>
      </c>
      <c r="E1081" s="42" t="s">
        <v>808</v>
      </c>
      <c r="F1081" s="45">
        <v>614337842.5113269</v>
      </c>
      <c r="G1081" s="42" t="s">
        <v>763</v>
      </c>
      <c r="H1081" s="42" t="s">
        <v>114</v>
      </c>
      <c r="I1081" s="42" t="s">
        <v>864</v>
      </c>
    </row>
    <row r="1082" spans="1:9">
      <c r="A1082" s="42" t="s">
        <v>759</v>
      </c>
      <c r="B1082" s="42" t="s">
        <v>293</v>
      </c>
      <c r="C1082" s="42" t="s">
        <v>775</v>
      </c>
      <c r="D1082" s="42" t="s">
        <v>169</v>
      </c>
      <c r="E1082" s="42" t="s">
        <v>808</v>
      </c>
      <c r="F1082" s="45">
        <v>1675206583.480805</v>
      </c>
      <c r="G1082" s="42" t="s">
        <v>763</v>
      </c>
      <c r="H1082" s="42" t="s">
        <v>114</v>
      </c>
      <c r="I1082" s="42" t="s">
        <v>864</v>
      </c>
    </row>
    <row r="1083" spans="1:9">
      <c r="A1083" s="42" t="s">
        <v>759</v>
      </c>
      <c r="B1083" s="42" t="s">
        <v>295</v>
      </c>
      <c r="C1083" s="42" t="s">
        <v>776</v>
      </c>
      <c r="D1083" s="42" t="s">
        <v>169</v>
      </c>
      <c r="E1083" s="42" t="s">
        <v>808</v>
      </c>
      <c r="F1083" s="45">
        <v>501006784.0524288</v>
      </c>
      <c r="G1083" s="42" t="s">
        <v>763</v>
      </c>
      <c r="H1083" s="42" t="s">
        <v>114</v>
      </c>
      <c r="I1083" s="42" t="s">
        <v>864</v>
      </c>
    </row>
    <row r="1084" spans="1:9">
      <c r="A1084" s="42" t="s">
        <v>759</v>
      </c>
      <c r="B1084" s="42" t="s">
        <v>246</v>
      </c>
      <c r="C1084" s="42" t="s">
        <v>777</v>
      </c>
      <c r="D1084" s="42" t="s">
        <v>169</v>
      </c>
      <c r="E1084" s="42" t="s">
        <v>808</v>
      </c>
      <c r="F1084" s="45">
        <v>835009040.0422103</v>
      </c>
      <c r="G1084" s="42" t="s">
        <v>763</v>
      </c>
      <c r="H1084" s="42" t="s">
        <v>114</v>
      </c>
      <c r="I1084" s="42" t="s">
        <v>864</v>
      </c>
    </row>
    <row r="1085" spans="1:9">
      <c r="A1085" s="42" t="s">
        <v>759</v>
      </c>
      <c r="B1085" s="42" t="s">
        <v>247</v>
      </c>
      <c r="C1085" s="42" t="s">
        <v>778</v>
      </c>
      <c r="D1085" s="42" t="s">
        <v>169</v>
      </c>
      <c r="E1085" s="42" t="s">
        <v>808</v>
      </c>
      <c r="F1085" s="45">
        <v>5629553385.618921</v>
      </c>
      <c r="G1085" s="42" t="s">
        <v>763</v>
      </c>
      <c r="H1085" s="42" t="s">
        <v>114</v>
      </c>
      <c r="I1085" s="42" t="s">
        <v>864</v>
      </c>
    </row>
    <row r="1086" spans="1:9">
      <c r="A1086" s="42" t="s">
        <v>759</v>
      </c>
      <c r="B1086" s="42" t="s">
        <v>248</v>
      </c>
      <c r="C1086" s="42" t="s">
        <v>779</v>
      </c>
      <c r="D1086" s="42" t="s">
        <v>169</v>
      </c>
      <c r="E1086" s="42" t="s">
        <v>808</v>
      </c>
      <c r="F1086" s="45">
        <v>25315564888.0332</v>
      </c>
      <c r="G1086" s="42" t="s">
        <v>763</v>
      </c>
      <c r="H1086" s="42" t="s">
        <v>114</v>
      </c>
      <c r="I1086" s="42" t="s">
        <v>864</v>
      </c>
    </row>
    <row r="1087" spans="1:9">
      <c r="A1087" s="42" t="s">
        <v>759</v>
      </c>
      <c r="B1087" s="42" t="s">
        <v>780</v>
      </c>
      <c r="C1087" s="42" t="s">
        <v>781</v>
      </c>
      <c r="D1087" s="42" t="s">
        <v>169</v>
      </c>
      <c r="E1087" s="42" t="s">
        <v>808</v>
      </c>
      <c r="F1087" s="45">
        <v>65016095.63935708</v>
      </c>
      <c r="G1087" s="42" t="s">
        <v>763</v>
      </c>
      <c r="H1087" s="42" t="s">
        <v>114</v>
      </c>
      <c r="I1087" s="42" t="s">
        <v>864</v>
      </c>
    </row>
    <row r="1088" spans="1:9">
      <c r="A1088" s="42" t="s">
        <v>759</v>
      </c>
      <c r="B1088" s="42" t="s">
        <v>299</v>
      </c>
      <c r="C1088" s="42" t="s">
        <v>782</v>
      </c>
      <c r="D1088" s="42" t="s">
        <v>169</v>
      </c>
      <c r="E1088" s="42" t="s">
        <v>808</v>
      </c>
      <c r="F1088" s="45">
        <v>9963653755.477978</v>
      </c>
      <c r="G1088" s="42" t="s">
        <v>763</v>
      </c>
      <c r="H1088" s="42" t="s">
        <v>114</v>
      </c>
      <c r="I1088" s="42" t="s">
        <v>864</v>
      </c>
    </row>
    <row r="1089" spans="1:9">
      <c r="A1089" s="42" t="s">
        <v>759</v>
      </c>
      <c r="B1089" s="42" t="s">
        <v>783</v>
      </c>
      <c r="C1089" s="42" t="s">
        <v>784</v>
      </c>
      <c r="D1089" s="42" t="s">
        <v>169</v>
      </c>
      <c r="E1089" s="42" t="s">
        <v>808</v>
      </c>
      <c r="F1089" s="45">
        <v>10028669851.11733</v>
      </c>
      <c r="G1089" s="42" t="s">
        <v>763</v>
      </c>
      <c r="H1089" s="42" t="s">
        <v>114</v>
      </c>
      <c r="I1089" s="42" t="s">
        <v>864</v>
      </c>
    </row>
    <row r="1090" spans="1:9">
      <c r="A1090" s="42" t="s">
        <v>759</v>
      </c>
      <c r="B1090" s="42" t="s">
        <v>261</v>
      </c>
      <c r="C1090" s="42" t="s">
        <v>785</v>
      </c>
      <c r="D1090" s="42" t="s">
        <v>169</v>
      </c>
      <c r="E1090" s="42" t="s">
        <v>808</v>
      </c>
      <c r="F1090" s="45">
        <v>100689606.5403159</v>
      </c>
      <c r="G1090" s="42" t="s">
        <v>763</v>
      </c>
      <c r="H1090" s="42" t="s">
        <v>114</v>
      </c>
      <c r="I1090" s="42" t="s">
        <v>864</v>
      </c>
    </row>
    <row r="1091" spans="1:9">
      <c r="A1091" s="42" t="s">
        <v>759</v>
      </c>
      <c r="B1091" s="42" t="s">
        <v>786</v>
      </c>
      <c r="C1091" s="42" t="s">
        <v>787</v>
      </c>
      <c r="D1091" s="42" t="s">
        <v>169</v>
      </c>
      <c r="E1091" s="42" t="s">
        <v>808</v>
      </c>
      <c r="F1091" s="45">
        <v>10129359457.65765</v>
      </c>
      <c r="G1091" s="42" t="s">
        <v>763</v>
      </c>
      <c r="H1091" s="42" t="s">
        <v>114</v>
      </c>
      <c r="I1091" s="42" t="s">
        <v>864</v>
      </c>
    </row>
    <row r="1092" spans="1:9">
      <c r="A1092" s="42" t="s">
        <v>759</v>
      </c>
      <c r="B1092" s="42" t="s">
        <v>301</v>
      </c>
      <c r="C1092" s="42" t="s">
        <v>832</v>
      </c>
      <c r="D1092" s="42" t="s">
        <v>169</v>
      </c>
      <c r="E1092" s="42" t="s">
        <v>808</v>
      </c>
      <c r="F1092" s="45">
        <v>2551138839.039975</v>
      </c>
      <c r="G1092" s="42" t="s">
        <v>763</v>
      </c>
      <c r="H1092" s="42" t="s">
        <v>114</v>
      </c>
      <c r="I1092" s="42" t="s">
        <v>864</v>
      </c>
    </row>
    <row r="1093" spans="1:9">
      <c r="A1093" s="42" t="s">
        <v>759</v>
      </c>
      <c r="B1093" s="42" t="s">
        <v>303</v>
      </c>
      <c r="C1093" s="42" t="s">
        <v>833</v>
      </c>
      <c r="D1093" s="42" t="s">
        <v>169</v>
      </c>
      <c r="E1093" s="42" t="s">
        <v>808</v>
      </c>
      <c r="F1093" s="45">
        <v>796975882.1182563</v>
      </c>
      <c r="G1093" s="42" t="s">
        <v>763</v>
      </c>
      <c r="H1093" s="42" t="s">
        <v>114</v>
      </c>
      <c r="I1093" s="42" t="s">
        <v>864</v>
      </c>
    </row>
    <row r="1094" spans="1:9">
      <c r="A1094" s="42" t="s">
        <v>759</v>
      </c>
      <c r="B1094" s="42" t="s">
        <v>304</v>
      </c>
      <c r="C1094" s="42" t="s">
        <v>835</v>
      </c>
      <c r="D1094" s="42" t="s">
        <v>169</v>
      </c>
      <c r="E1094" s="42" t="s">
        <v>808</v>
      </c>
      <c r="F1094" s="45">
        <v>33035058.3219325</v>
      </c>
      <c r="G1094" s="42" t="s">
        <v>763</v>
      </c>
      <c r="H1094" s="42" t="s">
        <v>114</v>
      </c>
      <c r="I1094" s="42" t="s">
        <v>864</v>
      </c>
    </row>
    <row r="1095" spans="1:9">
      <c r="A1095" s="42" t="s">
        <v>759</v>
      </c>
      <c r="B1095" s="42" t="s">
        <v>305</v>
      </c>
      <c r="C1095" s="42" t="s">
        <v>837</v>
      </c>
      <c r="D1095" s="42" t="s">
        <v>169</v>
      </c>
      <c r="E1095" s="42" t="s">
        <v>808</v>
      </c>
      <c r="F1095" s="45">
        <v>1319226.289513155</v>
      </c>
      <c r="G1095" s="42" t="s">
        <v>763</v>
      </c>
      <c r="H1095" s="42" t="s">
        <v>114</v>
      </c>
      <c r="I1095" s="42" t="s">
        <v>864</v>
      </c>
    </row>
    <row r="1096" spans="1:9">
      <c r="A1096" s="42" t="s">
        <v>759</v>
      </c>
      <c r="B1096" s="42" t="s">
        <v>306</v>
      </c>
      <c r="C1096" s="42" t="s">
        <v>857</v>
      </c>
      <c r="D1096" s="42" t="s">
        <v>169</v>
      </c>
      <c r="E1096" s="42" t="s">
        <v>808</v>
      </c>
      <c r="F1096" s="45">
        <v>3780875.345202649</v>
      </c>
      <c r="G1096" s="42" t="s">
        <v>763</v>
      </c>
      <c r="H1096" s="42" t="s">
        <v>114</v>
      </c>
      <c r="I1096" s="42" t="s">
        <v>864</v>
      </c>
    </row>
    <row r="1097" spans="1:9">
      <c r="A1097" s="42" t="s">
        <v>759</v>
      </c>
      <c r="B1097" s="42" t="s">
        <v>307</v>
      </c>
      <c r="C1097" s="42" t="s">
        <v>838</v>
      </c>
      <c r="D1097" s="42" t="s">
        <v>169</v>
      </c>
      <c r="E1097" s="42" t="s">
        <v>808</v>
      </c>
      <c r="F1097" s="45">
        <v>246953721.2884522</v>
      </c>
      <c r="G1097" s="42" t="s">
        <v>763</v>
      </c>
      <c r="H1097" s="42" t="s">
        <v>114</v>
      </c>
      <c r="I1097" s="42" t="s">
        <v>864</v>
      </c>
    </row>
    <row r="1098" spans="1:9">
      <c r="A1098" s="42" t="s">
        <v>759</v>
      </c>
      <c r="B1098" s="42" t="s">
        <v>308</v>
      </c>
      <c r="C1098" s="42" t="s">
        <v>839</v>
      </c>
      <c r="D1098" s="42" t="s">
        <v>169</v>
      </c>
      <c r="E1098" s="42" t="s">
        <v>808</v>
      </c>
      <c r="F1098" s="45">
        <v>6139706351.936274</v>
      </c>
      <c r="G1098" s="42" t="s">
        <v>763</v>
      </c>
      <c r="H1098" s="42" t="s">
        <v>114</v>
      </c>
      <c r="I1098" s="42" t="s">
        <v>864</v>
      </c>
    </row>
    <row r="1099" spans="1:9">
      <c r="A1099" s="42" t="s">
        <v>759</v>
      </c>
      <c r="B1099" s="42" t="s">
        <v>309</v>
      </c>
      <c r="C1099" s="42" t="s">
        <v>840</v>
      </c>
      <c r="D1099" s="42" t="s">
        <v>169</v>
      </c>
      <c r="E1099" s="42" t="s">
        <v>808</v>
      </c>
      <c r="F1099" s="45">
        <v>8425367.900550509</v>
      </c>
      <c r="G1099" s="42" t="s">
        <v>763</v>
      </c>
      <c r="H1099" s="42" t="s">
        <v>114</v>
      </c>
      <c r="I1099" s="42" t="s">
        <v>864</v>
      </c>
    </row>
    <row r="1100" spans="1:9">
      <c r="A1100" s="42" t="s">
        <v>759</v>
      </c>
      <c r="B1100" s="42" t="s">
        <v>310</v>
      </c>
      <c r="C1100" s="42" t="s">
        <v>841</v>
      </c>
      <c r="D1100" s="42" t="s">
        <v>169</v>
      </c>
      <c r="E1100" s="42" t="s">
        <v>808</v>
      </c>
      <c r="F1100" s="45">
        <v>8058160.58285097</v>
      </c>
      <c r="G1100" s="42" t="s">
        <v>763</v>
      </c>
      <c r="H1100" s="42" t="s">
        <v>114</v>
      </c>
      <c r="I1100" s="42" t="s">
        <v>864</v>
      </c>
    </row>
    <row r="1101" spans="1:9">
      <c r="A1101" s="42" t="s">
        <v>759</v>
      </c>
      <c r="B1101" s="42" t="s">
        <v>273</v>
      </c>
      <c r="C1101" s="42" t="s">
        <v>842</v>
      </c>
      <c r="D1101" s="42" t="s">
        <v>169</v>
      </c>
      <c r="E1101" s="42" t="s">
        <v>808</v>
      </c>
      <c r="F1101" s="45">
        <v>9789393482.823008</v>
      </c>
      <c r="G1101" s="42" t="s">
        <v>763</v>
      </c>
      <c r="H1101" s="42" t="s">
        <v>114</v>
      </c>
      <c r="I1101" s="42" t="s">
        <v>864</v>
      </c>
    </row>
    <row r="1102" spans="1:9">
      <c r="A1102" s="42" t="s">
        <v>759</v>
      </c>
      <c r="B1102" s="42" t="s">
        <v>301</v>
      </c>
      <c r="C1102" s="42" t="s">
        <v>795</v>
      </c>
      <c r="D1102" s="42" t="s">
        <v>169</v>
      </c>
      <c r="E1102" s="42" t="s">
        <v>808</v>
      </c>
      <c r="F1102" s="45">
        <v>178170350.5749184</v>
      </c>
      <c r="G1102" s="42" t="s">
        <v>763</v>
      </c>
      <c r="H1102" s="42" t="s">
        <v>114</v>
      </c>
      <c r="I1102" s="42" t="s">
        <v>864</v>
      </c>
    </row>
    <row r="1103" spans="1:9">
      <c r="A1103" s="42" t="s">
        <v>759</v>
      </c>
      <c r="B1103" s="42" t="s">
        <v>302</v>
      </c>
      <c r="C1103" s="42" t="s">
        <v>797</v>
      </c>
      <c r="D1103" s="42" t="s">
        <v>169</v>
      </c>
      <c r="E1103" s="42" t="s">
        <v>808</v>
      </c>
      <c r="F1103" s="45">
        <v>254066663.0350025</v>
      </c>
      <c r="G1103" s="42" t="s">
        <v>763</v>
      </c>
      <c r="H1103" s="42" t="s">
        <v>114</v>
      </c>
      <c r="I1103" s="42" t="s">
        <v>864</v>
      </c>
    </row>
    <row r="1104" spans="1:9">
      <c r="A1104" s="42" t="s">
        <v>759</v>
      </c>
      <c r="B1104" s="42" t="s">
        <v>304</v>
      </c>
      <c r="C1104" s="42" t="s">
        <v>796</v>
      </c>
      <c r="D1104" s="42" t="s">
        <v>169</v>
      </c>
      <c r="E1104" s="42" t="s">
        <v>808</v>
      </c>
      <c r="F1104" s="45">
        <v>961314757.0598254</v>
      </c>
      <c r="G1104" s="42" t="s">
        <v>763</v>
      </c>
      <c r="H1104" s="42" t="s">
        <v>114</v>
      </c>
      <c r="I1104" s="42" t="s">
        <v>864</v>
      </c>
    </row>
    <row r="1105" spans="1:9">
      <c r="A1105" s="42" t="s">
        <v>759</v>
      </c>
      <c r="B1105" s="42" t="s">
        <v>305</v>
      </c>
      <c r="C1105" s="42" t="s">
        <v>798</v>
      </c>
      <c r="D1105" s="42" t="s">
        <v>169</v>
      </c>
      <c r="E1105" s="42" t="s">
        <v>808</v>
      </c>
      <c r="F1105" s="45">
        <v>246341709.0922863</v>
      </c>
      <c r="G1105" s="42" t="s">
        <v>763</v>
      </c>
      <c r="H1105" s="42" t="s">
        <v>114</v>
      </c>
      <c r="I1105" s="42" t="s">
        <v>864</v>
      </c>
    </row>
    <row r="1106" spans="1:9">
      <c r="A1106" s="42" t="s">
        <v>759</v>
      </c>
      <c r="B1106" s="42" t="s">
        <v>306</v>
      </c>
      <c r="C1106" s="42" t="s">
        <v>799</v>
      </c>
      <c r="D1106" s="42" t="s">
        <v>169</v>
      </c>
      <c r="E1106" s="42" t="s">
        <v>808</v>
      </c>
      <c r="F1106" s="45">
        <v>245627694.8634261</v>
      </c>
      <c r="G1106" s="42" t="s">
        <v>763</v>
      </c>
      <c r="H1106" s="42" t="s">
        <v>114</v>
      </c>
      <c r="I1106" s="42" t="s">
        <v>864</v>
      </c>
    </row>
    <row r="1107" spans="1:9">
      <c r="A1107" s="42" t="s">
        <v>759</v>
      </c>
      <c r="B1107" s="42" t="s">
        <v>307</v>
      </c>
      <c r="C1107" s="42" t="s">
        <v>843</v>
      </c>
      <c r="D1107" s="42" t="s">
        <v>169</v>
      </c>
      <c r="E1107" s="42" t="s">
        <v>808</v>
      </c>
      <c r="F1107" s="45">
        <v>275092682.0410575</v>
      </c>
      <c r="G1107" s="42" t="s">
        <v>763</v>
      </c>
      <c r="H1107" s="42" t="s">
        <v>114</v>
      </c>
      <c r="I1107" s="42" t="s">
        <v>864</v>
      </c>
    </row>
    <row r="1108" spans="1:9">
      <c r="A1108" s="42" t="s">
        <v>759</v>
      </c>
      <c r="B1108" s="42" t="s">
        <v>308</v>
      </c>
      <c r="C1108" s="42" t="s">
        <v>800</v>
      </c>
      <c r="D1108" s="42" t="s">
        <v>169</v>
      </c>
      <c r="E1108" s="42" t="s">
        <v>808</v>
      </c>
      <c r="F1108" s="45">
        <v>857544689.1321412</v>
      </c>
      <c r="G1108" s="42" t="s">
        <v>763</v>
      </c>
      <c r="H1108" s="42" t="s">
        <v>114</v>
      </c>
      <c r="I1108" s="42" t="s">
        <v>864</v>
      </c>
    </row>
    <row r="1109" spans="1:9">
      <c r="A1109" s="42" t="s">
        <v>759</v>
      </c>
      <c r="B1109" s="42" t="s">
        <v>309</v>
      </c>
      <c r="C1109" s="42" t="s">
        <v>801</v>
      </c>
      <c r="D1109" s="42" t="s">
        <v>169</v>
      </c>
      <c r="E1109" s="42" t="s">
        <v>808</v>
      </c>
      <c r="F1109" s="45">
        <v>10145802.18532797</v>
      </c>
      <c r="G1109" s="42" t="s">
        <v>763</v>
      </c>
      <c r="H1109" s="42" t="s">
        <v>114</v>
      </c>
      <c r="I1109" s="42" t="s">
        <v>864</v>
      </c>
    </row>
    <row r="1110" spans="1:9">
      <c r="A1110" s="42" t="s">
        <v>759</v>
      </c>
      <c r="B1110" s="42" t="s">
        <v>310</v>
      </c>
      <c r="C1110" s="42" t="s">
        <v>802</v>
      </c>
      <c r="D1110" s="42" t="s">
        <v>169</v>
      </c>
      <c r="E1110" s="42" t="s">
        <v>808</v>
      </c>
      <c r="F1110" s="45">
        <v>2368507599.568558</v>
      </c>
      <c r="G1110" s="42" t="s">
        <v>763</v>
      </c>
      <c r="H1110" s="42" t="s">
        <v>114</v>
      </c>
      <c r="I1110" s="42" t="s">
        <v>864</v>
      </c>
    </row>
    <row r="1111" spans="1:9">
      <c r="A1111" s="42" t="s">
        <v>759</v>
      </c>
      <c r="B1111" s="42" t="s">
        <v>284</v>
      </c>
      <c r="C1111" s="42" t="s">
        <v>803</v>
      </c>
      <c r="D1111" s="42" t="s">
        <v>169</v>
      </c>
      <c r="E1111" s="42" t="s">
        <v>808</v>
      </c>
      <c r="F1111" s="45">
        <v>5396811947.552544</v>
      </c>
      <c r="G1111" s="42" t="s">
        <v>763</v>
      </c>
      <c r="H1111" s="42" t="s">
        <v>114</v>
      </c>
      <c r="I1111" s="42" t="s">
        <v>864</v>
      </c>
    </row>
    <row r="1112" spans="1:9">
      <c r="A1112" s="42" t="s">
        <v>759</v>
      </c>
      <c r="B1112" s="42" t="s">
        <v>285</v>
      </c>
      <c r="C1112" s="42" t="s">
        <v>804</v>
      </c>
      <c r="D1112" s="42" t="s">
        <v>169</v>
      </c>
      <c r="E1112" s="42" t="s">
        <v>808</v>
      </c>
      <c r="F1112" s="45">
        <v>15186205430.37555</v>
      </c>
      <c r="G1112" s="42" t="s">
        <v>763</v>
      </c>
      <c r="H1112" s="42" t="s">
        <v>114</v>
      </c>
      <c r="I1112" s="42" t="s">
        <v>864</v>
      </c>
    </row>
    <row r="1113" spans="1:9">
      <c r="A1113" s="42" t="s">
        <v>759</v>
      </c>
      <c r="B1113" s="42" t="s">
        <v>805</v>
      </c>
      <c r="C1113" s="42" t="s">
        <v>806</v>
      </c>
      <c r="D1113" s="42" t="s">
        <v>169</v>
      </c>
      <c r="E1113" s="42" t="s">
        <v>808</v>
      </c>
      <c r="F1113" s="45">
        <v>25315564888.0332</v>
      </c>
      <c r="G1113" s="42" t="s">
        <v>763</v>
      </c>
      <c r="H1113" s="42" t="s">
        <v>114</v>
      </c>
      <c r="I1113" s="42" t="s">
        <v>864</v>
      </c>
    </row>
    <row r="1114" spans="1:9">
      <c r="A1114" s="42" t="s">
        <v>759</v>
      </c>
      <c r="B1114" s="42" t="s">
        <v>287</v>
      </c>
      <c r="C1114" s="42" t="s">
        <v>821</v>
      </c>
      <c r="D1114" s="42" t="s">
        <v>170</v>
      </c>
      <c r="E1114" s="42" t="s">
        <v>808</v>
      </c>
      <c r="F1114" s="45">
        <v>384000000</v>
      </c>
      <c r="G1114" s="42" t="s">
        <v>763</v>
      </c>
      <c r="H1114" s="42" t="s">
        <v>139</v>
      </c>
      <c r="I1114" s="42" t="s">
        <v>868</v>
      </c>
    </row>
    <row r="1115" spans="1:9">
      <c r="A1115" s="42" t="s">
        <v>759</v>
      </c>
      <c r="B1115" s="42" t="s">
        <v>288</v>
      </c>
      <c r="C1115" s="42" t="s">
        <v>823</v>
      </c>
      <c r="D1115" s="42" t="s">
        <v>170</v>
      </c>
      <c r="E1115" s="42" t="s">
        <v>808</v>
      </c>
      <c r="F1115" s="45">
        <v>17510000000</v>
      </c>
      <c r="G1115" s="42" t="s">
        <v>763</v>
      </c>
      <c r="H1115" s="42" t="s">
        <v>139</v>
      </c>
      <c r="I1115" s="42" t="s">
        <v>868</v>
      </c>
    </row>
    <row r="1116" spans="1:9">
      <c r="A1116" s="42" t="s">
        <v>759</v>
      </c>
      <c r="B1116" s="42" t="s">
        <v>289</v>
      </c>
      <c r="C1116" s="42" t="s">
        <v>825</v>
      </c>
      <c r="D1116" s="42" t="s">
        <v>170</v>
      </c>
      <c r="E1116" s="42" t="s">
        <v>808</v>
      </c>
      <c r="F1116" s="45">
        <v>541000000</v>
      </c>
      <c r="G1116" s="42" t="s">
        <v>763</v>
      </c>
      <c r="H1116" s="42" t="s">
        <v>139</v>
      </c>
      <c r="I1116" s="42" t="s">
        <v>868</v>
      </c>
    </row>
    <row r="1117" spans="1:9">
      <c r="A1117" s="42" t="s">
        <v>759</v>
      </c>
      <c r="B1117" s="42" t="s">
        <v>290</v>
      </c>
      <c r="C1117" s="42" t="s">
        <v>826</v>
      </c>
      <c r="D1117" s="42" t="s">
        <v>170</v>
      </c>
      <c r="E1117" s="42" t="s">
        <v>808</v>
      </c>
      <c r="F1117" s="45">
        <v>1905000000</v>
      </c>
      <c r="G1117" s="42" t="s">
        <v>763</v>
      </c>
      <c r="H1117" s="42" t="s">
        <v>139</v>
      </c>
      <c r="I1117" s="42" t="s">
        <v>868</v>
      </c>
    </row>
    <row r="1118" spans="1:9">
      <c r="A1118" s="42" t="s">
        <v>759</v>
      </c>
      <c r="B1118" s="42" t="s">
        <v>291</v>
      </c>
      <c r="C1118" s="42" t="s">
        <v>827</v>
      </c>
      <c r="D1118" s="42" t="s">
        <v>170</v>
      </c>
      <c r="E1118" s="42" t="s">
        <v>808</v>
      </c>
      <c r="F1118" s="45">
        <v>17000000</v>
      </c>
      <c r="G1118" s="42" t="s">
        <v>763</v>
      </c>
      <c r="H1118" s="42" t="s">
        <v>139</v>
      </c>
      <c r="I1118" s="42" t="s">
        <v>868</v>
      </c>
    </row>
    <row r="1119" spans="1:9">
      <c r="A1119" s="42" t="s">
        <v>759</v>
      </c>
      <c r="B1119" s="42" t="s">
        <v>292</v>
      </c>
      <c r="C1119" s="42" t="s">
        <v>828</v>
      </c>
      <c r="D1119" s="42" t="s">
        <v>170</v>
      </c>
      <c r="E1119" s="42" t="s">
        <v>808</v>
      </c>
      <c r="F1119" s="45">
        <v>205000000</v>
      </c>
      <c r="G1119" s="42" t="s">
        <v>763</v>
      </c>
      <c r="H1119" s="42" t="s">
        <v>139</v>
      </c>
      <c r="I1119" s="42" t="s">
        <v>868</v>
      </c>
    </row>
    <row r="1120" spans="1:9">
      <c r="A1120" s="42" t="s">
        <v>759</v>
      </c>
      <c r="B1120" s="42" t="s">
        <v>293</v>
      </c>
      <c r="C1120" s="42" t="s">
        <v>829</v>
      </c>
      <c r="D1120" s="42" t="s">
        <v>170</v>
      </c>
      <c r="E1120" s="42" t="s">
        <v>808</v>
      </c>
      <c r="F1120" s="45">
        <v>6000000</v>
      </c>
      <c r="G1120" s="42" t="s">
        <v>763</v>
      </c>
      <c r="H1120" s="42" t="s">
        <v>139</v>
      </c>
      <c r="I1120" s="42" t="s">
        <v>868</v>
      </c>
    </row>
    <row r="1121" spans="1:9">
      <c r="A1121" s="42" t="s">
        <v>759</v>
      </c>
      <c r="B1121" s="42" t="s">
        <v>862</v>
      </c>
      <c r="C1121" s="42" t="s">
        <v>863</v>
      </c>
      <c r="D1121" s="42" t="s">
        <v>170</v>
      </c>
      <c r="E1121" s="42" t="s">
        <v>808</v>
      </c>
      <c r="F1121" s="45">
        <v>201000000</v>
      </c>
      <c r="G1121" s="42" t="s">
        <v>763</v>
      </c>
      <c r="H1121" s="42" t="s">
        <v>139</v>
      </c>
      <c r="I1121" s="42" t="s">
        <v>868</v>
      </c>
    </row>
    <row r="1122" spans="1:9">
      <c r="A1122" s="42" t="s">
        <v>759</v>
      </c>
      <c r="B1122" s="42" t="s">
        <v>239</v>
      </c>
      <c r="C1122" s="42" t="s">
        <v>830</v>
      </c>
      <c r="D1122" s="42" t="s">
        <v>170</v>
      </c>
      <c r="E1122" s="42" t="s">
        <v>808</v>
      </c>
      <c r="F1122" s="45">
        <v>20769000000</v>
      </c>
      <c r="G1122" s="42" t="s">
        <v>763</v>
      </c>
      <c r="H1122" s="42" t="s">
        <v>139</v>
      </c>
      <c r="I1122" s="42" t="s">
        <v>868</v>
      </c>
    </row>
    <row r="1123" spans="1:9">
      <c r="A1123" s="42" t="s">
        <v>759</v>
      </c>
      <c r="B1123" s="42" t="s">
        <v>241</v>
      </c>
      <c r="C1123" s="42" t="s">
        <v>772</v>
      </c>
      <c r="D1123" s="42" t="s">
        <v>170</v>
      </c>
      <c r="E1123" s="42" t="s">
        <v>808</v>
      </c>
      <c r="F1123" s="45">
        <v>1738000000</v>
      </c>
      <c r="G1123" s="42" t="s">
        <v>763</v>
      </c>
      <c r="H1123" s="42" t="s">
        <v>139</v>
      </c>
      <c r="I1123" s="42" t="s">
        <v>868</v>
      </c>
    </row>
    <row r="1124" spans="1:9">
      <c r="A1124" s="42" t="s">
        <v>759</v>
      </c>
      <c r="B1124" s="42" t="s">
        <v>242</v>
      </c>
      <c r="C1124" s="42" t="s">
        <v>773</v>
      </c>
      <c r="D1124" s="42" t="s">
        <v>170</v>
      </c>
      <c r="E1124" s="42" t="s">
        <v>808</v>
      </c>
      <c r="F1124" s="45">
        <v>1000000</v>
      </c>
      <c r="G1124" s="42" t="s">
        <v>763</v>
      </c>
      <c r="H1124" s="42" t="s">
        <v>139</v>
      </c>
      <c r="I1124" s="42" t="s">
        <v>868</v>
      </c>
    </row>
    <row r="1125" spans="1:9">
      <c r="A1125" s="42" t="s">
        <v>759</v>
      </c>
      <c r="B1125" s="42" t="s">
        <v>292</v>
      </c>
      <c r="C1125" s="42" t="s">
        <v>774</v>
      </c>
      <c r="D1125" s="42" t="s">
        <v>170</v>
      </c>
      <c r="E1125" s="42" t="s">
        <v>808</v>
      </c>
      <c r="F1125" s="45">
        <v>808000000</v>
      </c>
      <c r="G1125" s="42" t="s">
        <v>763</v>
      </c>
      <c r="H1125" s="42" t="s">
        <v>139</v>
      </c>
      <c r="I1125" s="42" t="s">
        <v>868</v>
      </c>
    </row>
    <row r="1126" spans="1:9">
      <c r="A1126" s="42" t="s">
        <v>759</v>
      </c>
      <c r="B1126" s="42" t="s">
        <v>293</v>
      </c>
      <c r="C1126" s="42" t="s">
        <v>775</v>
      </c>
      <c r="D1126" s="42" t="s">
        <v>170</v>
      </c>
      <c r="E1126" s="42" t="s">
        <v>808</v>
      </c>
      <c r="F1126" s="45">
        <v>1504000000</v>
      </c>
      <c r="G1126" s="42" t="s">
        <v>763</v>
      </c>
      <c r="H1126" s="42" t="s">
        <v>139</v>
      </c>
      <c r="I1126" s="42" t="s">
        <v>868</v>
      </c>
    </row>
    <row r="1127" spans="1:9">
      <c r="A1127" s="42" t="s">
        <v>759</v>
      </c>
      <c r="B1127" s="42" t="s">
        <v>862</v>
      </c>
      <c r="C1127" s="42" t="s">
        <v>776</v>
      </c>
      <c r="D1127" s="42" t="s">
        <v>170</v>
      </c>
      <c r="E1127" s="42" t="s">
        <v>808</v>
      </c>
      <c r="F1127" s="45">
        <v>319000000</v>
      </c>
      <c r="G1127" s="42" t="s">
        <v>763</v>
      </c>
      <c r="H1127" s="42" t="s">
        <v>139</v>
      </c>
      <c r="I1127" s="42" t="s">
        <v>868</v>
      </c>
    </row>
    <row r="1128" spans="1:9">
      <c r="A1128" s="42" t="s">
        <v>759</v>
      </c>
      <c r="B1128" s="42" t="s">
        <v>246</v>
      </c>
      <c r="C1128" s="42" t="s">
        <v>777</v>
      </c>
      <c r="D1128" s="42" t="s">
        <v>170</v>
      </c>
      <c r="E1128" s="42" t="s">
        <v>808</v>
      </c>
      <c r="F1128" s="45">
        <v>773000000</v>
      </c>
      <c r="G1128" s="42" t="s">
        <v>763</v>
      </c>
      <c r="H1128" s="42" t="s">
        <v>139</v>
      </c>
      <c r="I1128" s="42" t="s">
        <v>868</v>
      </c>
    </row>
    <row r="1129" spans="1:9">
      <c r="A1129" s="42" t="s">
        <v>759</v>
      </c>
      <c r="B1129" s="42" t="s">
        <v>247</v>
      </c>
      <c r="C1129" s="42" t="s">
        <v>778</v>
      </c>
      <c r="D1129" s="42" t="s">
        <v>170</v>
      </c>
      <c r="E1129" s="42" t="s">
        <v>808</v>
      </c>
      <c r="F1129" s="45">
        <v>5143000000</v>
      </c>
      <c r="G1129" s="42" t="s">
        <v>763</v>
      </c>
      <c r="H1129" s="42" t="s">
        <v>139</v>
      </c>
      <c r="I1129" s="42" t="s">
        <v>868</v>
      </c>
    </row>
    <row r="1130" spans="1:9">
      <c r="A1130" s="42" t="s">
        <v>759</v>
      </c>
      <c r="B1130" s="42" t="s">
        <v>248</v>
      </c>
      <c r="C1130" s="42" t="s">
        <v>779</v>
      </c>
      <c r="D1130" s="42" t="s">
        <v>170</v>
      </c>
      <c r="E1130" s="42" t="s">
        <v>808</v>
      </c>
      <c r="F1130" s="45">
        <v>25912000000</v>
      </c>
      <c r="G1130" s="42" t="s">
        <v>763</v>
      </c>
      <c r="H1130" s="42" t="s">
        <v>139</v>
      </c>
      <c r="I1130" s="42" t="s">
        <v>868</v>
      </c>
    </row>
    <row r="1131" spans="1:9">
      <c r="A1131" s="42" t="s">
        <v>759</v>
      </c>
      <c r="B1131" s="42" t="s">
        <v>297</v>
      </c>
      <c r="C1131" s="42" t="s">
        <v>781</v>
      </c>
      <c r="D1131" s="42" t="s">
        <v>170</v>
      </c>
      <c r="E1131" s="42" t="s">
        <v>808</v>
      </c>
      <c r="F1131" s="45">
        <v>4507000000</v>
      </c>
      <c r="G1131" s="42" t="s">
        <v>763</v>
      </c>
      <c r="H1131" s="42" t="s">
        <v>139</v>
      </c>
      <c r="I1131" s="42" t="s">
        <v>868</v>
      </c>
    </row>
    <row r="1132" spans="1:9">
      <c r="A1132" s="42" t="s">
        <v>759</v>
      </c>
      <c r="B1132" s="42" t="s">
        <v>298</v>
      </c>
      <c r="C1132" s="42" t="s">
        <v>855</v>
      </c>
      <c r="D1132" s="42" t="s">
        <v>170</v>
      </c>
      <c r="E1132" s="42" t="s">
        <v>808</v>
      </c>
      <c r="F1132" s="45">
        <v>5947000000</v>
      </c>
      <c r="G1132" s="42" t="s">
        <v>763</v>
      </c>
      <c r="H1132" s="42" t="s">
        <v>139</v>
      </c>
      <c r="I1132" s="42" t="s">
        <v>868</v>
      </c>
    </row>
    <row r="1133" spans="1:9">
      <c r="A1133" s="42" t="s">
        <v>759</v>
      </c>
      <c r="B1133" s="42" t="s">
        <v>260</v>
      </c>
      <c r="C1133" s="42" t="s">
        <v>784</v>
      </c>
      <c r="D1133" s="42" t="s">
        <v>170</v>
      </c>
      <c r="E1133" s="42" t="s">
        <v>808</v>
      </c>
      <c r="F1133" s="45">
        <v>10454000000</v>
      </c>
      <c r="G1133" s="42" t="s">
        <v>763</v>
      </c>
      <c r="H1133" s="42" t="s">
        <v>139</v>
      </c>
      <c r="I1133" s="42" t="s">
        <v>868</v>
      </c>
    </row>
    <row r="1134" spans="1:9">
      <c r="A1134" s="42" t="s">
        <v>759</v>
      </c>
      <c r="B1134" s="42" t="s">
        <v>261</v>
      </c>
      <c r="C1134" s="42" t="s">
        <v>785</v>
      </c>
      <c r="D1134" s="42" t="s">
        <v>170</v>
      </c>
      <c r="E1134" s="42" t="s">
        <v>808</v>
      </c>
      <c r="F1134" s="45">
        <v>98000000</v>
      </c>
      <c r="G1134" s="42" t="s">
        <v>763</v>
      </c>
      <c r="H1134" s="42" t="s">
        <v>139</v>
      </c>
      <c r="I1134" s="42" t="s">
        <v>868</v>
      </c>
    </row>
    <row r="1135" spans="1:9">
      <c r="A1135" s="42" t="s">
        <v>759</v>
      </c>
      <c r="B1135" s="42" t="s">
        <v>262</v>
      </c>
      <c r="C1135" s="42" t="s">
        <v>787</v>
      </c>
      <c r="D1135" s="42" t="s">
        <v>170</v>
      </c>
      <c r="E1135" s="42" t="s">
        <v>808</v>
      </c>
      <c r="F1135" s="45">
        <v>10552000000</v>
      </c>
      <c r="G1135" s="42" t="s">
        <v>763</v>
      </c>
      <c r="H1135" s="42" t="s">
        <v>139</v>
      </c>
      <c r="I1135" s="42" t="s">
        <v>868</v>
      </c>
    </row>
    <row r="1136" spans="1:9">
      <c r="A1136" s="42" t="s">
        <v>759</v>
      </c>
      <c r="B1136" s="42" t="s">
        <v>301</v>
      </c>
      <c r="C1136" s="42" t="s">
        <v>832</v>
      </c>
      <c r="D1136" s="42" t="s">
        <v>170</v>
      </c>
      <c r="E1136" s="42" t="s">
        <v>808</v>
      </c>
      <c r="F1136" s="45">
        <v>2571000000</v>
      </c>
      <c r="G1136" s="42" t="s">
        <v>763</v>
      </c>
      <c r="H1136" s="42" t="s">
        <v>139</v>
      </c>
      <c r="I1136" s="42" t="s">
        <v>868</v>
      </c>
    </row>
    <row r="1137" spans="1:9">
      <c r="A1137" s="42" t="s">
        <v>759</v>
      </c>
      <c r="B1137" s="42" t="s">
        <v>303</v>
      </c>
      <c r="C1137" s="42" t="s">
        <v>833</v>
      </c>
      <c r="D1137" s="42" t="s">
        <v>170</v>
      </c>
      <c r="E1137" s="42" t="s">
        <v>808</v>
      </c>
      <c r="F1137" s="45">
        <v>1733000000</v>
      </c>
      <c r="G1137" s="42" t="s">
        <v>763</v>
      </c>
      <c r="H1137" s="42" t="s">
        <v>139</v>
      </c>
      <c r="I1137" s="42" t="s">
        <v>868</v>
      </c>
    </row>
    <row r="1138" spans="1:9">
      <c r="A1138" s="42" t="s">
        <v>759</v>
      </c>
      <c r="B1138" s="42" t="s">
        <v>304</v>
      </c>
      <c r="C1138" s="42" t="s">
        <v>835</v>
      </c>
      <c r="D1138" s="42" t="s">
        <v>170</v>
      </c>
      <c r="E1138" s="42" t="s">
        <v>808</v>
      </c>
      <c r="F1138" s="45">
        <v>26000000</v>
      </c>
      <c r="G1138" s="42" t="s">
        <v>763</v>
      </c>
      <c r="H1138" s="42" t="s">
        <v>139</v>
      </c>
      <c r="I1138" s="42" t="s">
        <v>868</v>
      </c>
    </row>
    <row r="1139" spans="1:9">
      <c r="A1139" s="42" t="s">
        <v>759</v>
      </c>
      <c r="B1139" s="42" t="s">
        <v>305</v>
      </c>
      <c r="C1139" s="42" t="s">
        <v>837</v>
      </c>
      <c r="D1139" s="42" t="s">
        <v>170</v>
      </c>
      <c r="E1139" s="42" t="s">
        <v>808</v>
      </c>
      <c r="F1139" s="45">
        <v>1000000</v>
      </c>
      <c r="G1139" s="42" t="s">
        <v>763</v>
      </c>
      <c r="H1139" s="42" t="s">
        <v>139</v>
      </c>
      <c r="I1139" s="42" t="s">
        <v>868</v>
      </c>
    </row>
    <row r="1140" spans="1:9">
      <c r="A1140" s="42" t="s">
        <v>759</v>
      </c>
      <c r="B1140" s="42" t="s">
        <v>306</v>
      </c>
      <c r="C1140" s="42" t="s">
        <v>857</v>
      </c>
      <c r="D1140" s="42" t="s">
        <v>170</v>
      </c>
      <c r="E1140" s="42" t="s">
        <v>808</v>
      </c>
      <c r="F1140" s="45">
        <v>1000000</v>
      </c>
      <c r="G1140" s="42" t="s">
        <v>763</v>
      </c>
      <c r="H1140" s="42" t="s">
        <v>139</v>
      </c>
      <c r="I1140" s="42" t="s">
        <v>868</v>
      </c>
    </row>
    <row r="1141" spans="1:9">
      <c r="A1141" s="42" t="s">
        <v>759</v>
      </c>
      <c r="B1141" s="42" t="s">
        <v>307</v>
      </c>
      <c r="C1141" s="42" t="s">
        <v>838</v>
      </c>
      <c r="D1141" s="42" t="s">
        <v>170</v>
      </c>
      <c r="E1141" s="42" t="s">
        <v>808</v>
      </c>
      <c r="F1141" s="45">
        <v>272000000</v>
      </c>
      <c r="G1141" s="42" t="s">
        <v>763</v>
      </c>
      <c r="H1141" s="42" t="s">
        <v>139</v>
      </c>
      <c r="I1141" s="42" t="s">
        <v>868</v>
      </c>
    </row>
    <row r="1142" spans="1:9">
      <c r="A1142" s="42" t="s">
        <v>759</v>
      </c>
      <c r="B1142" s="42" t="s">
        <v>308</v>
      </c>
      <c r="C1142" s="42" t="s">
        <v>839</v>
      </c>
      <c r="D1142" s="42" t="s">
        <v>170</v>
      </c>
      <c r="E1142" s="42" t="s">
        <v>808</v>
      </c>
      <c r="F1142" s="45">
        <v>5948000000</v>
      </c>
      <c r="G1142" s="42" t="s">
        <v>763</v>
      </c>
      <c r="H1142" s="42" t="s">
        <v>139</v>
      </c>
      <c r="I1142" s="42" t="s">
        <v>868</v>
      </c>
    </row>
    <row r="1143" spans="1:9">
      <c r="A1143" s="42" t="s">
        <v>759</v>
      </c>
      <c r="B1143" s="42" t="s">
        <v>309</v>
      </c>
      <c r="C1143" s="42" t="s">
        <v>840</v>
      </c>
      <c r="D1143" s="42" t="s">
        <v>170</v>
      </c>
      <c r="E1143" s="42" t="s">
        <v>808</v>
      </c>
      <c r="F1143" s="45">
        <v>19000000</v>
      </c>
      <c r="G1143" s="42" t="s">
        <v>763</v>
      </c>
      <c r="H1143" s="42" t="s">
        <v>139</v>
      </c>
      <c r="I1143" s="42" t="s">
        <v>868</v>
      </c>
    </row>
    <row r="1144" spans="1:9">
      <c r="A1144" s="42" t="s">
        <v>759</v>
      </c>
      <c r="B1144" s="42" t="s">
        <v>310</v>
      </c>
      <c r="C1144" s="42" t="s">
        <v>841</v>
      </c>
      <c r="D1144" s="42" t="s">
        <v>170</v>
      </c>
      <c r="E1144" s="42" t="s">
        <v>808</v>
      </c>
      <c r="F1144" s="45">
        <v>6000000</v>
      </c>
      <c r="G1144" s="42" t="s">
        <v>763</v>
      </c>
      <c r="H1144" s="42" t="s">
        <v>139</v>
      </c>
      <c r="I1144" s="42" t="s">
        <v>868</v>
      </c>
    </row>
    <row r="1145" spans="1:9">
      <c r="A1145" s="42" t="s">
        <v>759</v>
      </c>
      <c r="B1145" s="42" t="s">
        <v>273</v>
      </c>
      <c r="C1145" s="42" t="s">
        <v>842</v>
      </c>
      <c r="D1145" s="42" t="s">
        <v>170</v>
      </c>
      <c r="E1145" s="42" t="s">
        <v>808</v>
      </c>
      <c r="F1145" s="45">
        <v>10577000000</v>
      </c>
      <c r="G1145" s="42" t="s">
        <v>763</v>
      </c>
      <c r="H1145" s="42" t="s">
        <v>139</v>
      </c>
      <c r="I1145" s="42" t="s">
        <v>868</v>
      </c>
    </row>
    <row r="1146" spans="1:9">
      <c r="A1146" s="42" t="s">
        <v>759</v>
      </c>
      <c r="B1146" s="42" t="s">
        <v>301</v>
      </c>
      <c r="C1146" s="42" t="s">
        <v>795</v>
      </c>
      <c r="D1146" s="42" t="s">
        <v>170</v>
      </c>
      <c r="E1146" s="42" t="s">
        <v>808</v>
      </c>
      <c r="F1146" s="45">
        <v>199000000</v>
      </c>
      <c r="G1146" s="42" t="s">
        <v>763</v>
      </c>
      <c r="H1146" s="42" t="s">
        <v>139</v>
      </c>
      <c r="I1146" s="42" t="s">
        <v>868</v>
      </c>
    </row>
    <row r="1147" spans="1:9">
      <c r="A1147" s="42" t="s">
        <v>759</v>
      </c>
      <c r="B1147" s="42" t="s">
        <v>302</v>
      </c>
      <c r="C1147" s="42" t="s">
        <v>797</v>
      </c>
      <c r="D1147" s="42" t="s">
        <v>170</v>
      </c>
      <c r="E1147" s="42" t="s">
        <v>808</v>
      </c>
      <c r="F1147" s="45">
        <v>77000000</v>
      </c>
      <c r="G1147" s="42" t="s">
        <v>763</v>
      </c>
      <c r="H1147" s="42" t="s">
        <v>139</v>
      </c>
      <c r="I1147" s="42" t="s">
        <v>868</v>
      </c>
    </row>
    <row r="1148" spans="1:9">
      <c r="A1148" s="42" t="s">
        <v>759</v>
      </c>
      <c r="B1148" s="42" t="s">
        <v>304</v>
      </c>
      <c r="C1148" s="42" t="s">
        <v>796</v>
      </c>
      <c r="D1148" s="42" t="s">
        <v>170</v>
      </c>
      <c r="E1148" s="42" t="s">
        <v>808</v>
      </c>
      <c r="F1148" s="45">
        <v>27000000</v>
      </c>
      <c r="G1148" s="42" t="s">
        <v>763</v>
      </c>
      <c r="H1148" s="42" t="s">
        <v>139</v>
      </c>
      <c r="I1148" s="42" t="s">
        <v>868</v>
      </c>
    </row>
    <row r="1149" spans="1:9">
      <c r="A1149" s="42" t="s">
        <v>759</v>
      </c>
      <c r="B1149" s="42" t="s">
        <v>305</v>
      </c>
      <c r="C1149" s="42" t="s">
        <v>798</v>
      </c>
      <c r="D1149" s="42" t="s">
        <v>170</v>
      </c>
      <c r="E1149" s="42" t="s">
        <v>808</v>
      </c>
      <c r="F1149" s="45">
        <v>173000000</v>
      </c>
      <c r="G1149" s="42" t="s">
        <v>763</v>
      </c>
      <c r="H1149" s="42" t="s">
        <v>139</v>
      </c>
      <c r="I1149" s="42" t="s">
        <v>868</v>
      </c>
    </row>
    <row r="1150" spans="1:9">
      <c r="A1150" s="42" t="s">
        <v>759</v>
      </c>
      <c r="B1150" s="42" t="s">
        <v>306</v>
      </c>
      <c r="C1150" s="42" t="s">
        <v>799</v>
      </c>
      <c r="D1150" s="42" t="s">
        <v>170</v>
      </c>
      <c r="E1150" s="42" t="s">
        <v>808</v>
      </c>
      <c r="F1150" s="45">
        <v>297000000</v>
      </c>
      <c r="G1150" s="42" t="s">
        <v>763</v>
      </c>
      <c r="H1150" s="42" t="s">
        <v>139</v>
      </c>
      <c r="I1150" s="42" t="s">
        <v>868</v>
      </c>
    </row>
    <row r="1151" spans="1:9">
      <c r="A1151" s="42" t="s">
        <v>759</v>
      </c>
      <c r="B1151" s="42" t="s">
        <v>307</v>
      </c>
      <c r="C1151" s="42" t="s">
        <v>843</v>
      </c>
      <c r="D1151" s="42" t="s">
        <v>170</v>
      </c>
      <c r="E1151" s="42" t="s">
        <v>808</v>
      </c>
      <c r="F1151" s="45">
        <v>294000000</v>
      </c>
      <c r="G1151" s="42" t="s">
        <v>763</v>
      </c>
      <c r="H1151" s="42" t="s">
        <v>139</v>
      </c>
      <c r="I1151" s="42" t="s">
        <v>868</v>
      </c>
    </row>
    <row r="1152" spans="1:9">
      <c r="A1152" s="42" t="s">
        <v>759</v>
      </c>
      <c r="B1152" s="42" t="s">
        <v>308</v>
      </c>
      <c r="C1152" s="42" t="s">
        <v>800</v>
      </c>
      <c r="D1152" s="42" t="s">
        <v>170</v>
      </c>
      <c r="E1152" s="42" t="s">
        <v>808</v>
      </c>
      <c r="F1152" s="45">
        <v>1140000000</v>
      </c>
      <c r="G1152" s="42" t="s">
        <v>763</v>
      </c>
      <c r="H1152" s="42" t="s">
        <v>139</v>
      </c>
      <c r="I1152" s="42" t="s">
        <v>868</v>
      </c>
    </row>
    <row r="1153" spans="1:9">
      <c r="A1153" s="42" t="s">
        <v>759</v>
      </c>
      <c r="B1153" s="42" t="s">
        <v>309</v>
      </c>
      <c r="C1153" s="42" t="s">
        <v>801</v>
      </c>
      <c r="D1153" s="42" t="s">
        <v>170</v>
      </c>
      <c r="E1153" s="42" t="s">
        <v>808</v>
      </c>
      <c r="F1153" s="45">
        <v>12000000</v>
      </c>
      <c r="G1153" s="42" t="s">
        <v>763</v>
      </c>
      <c r="H1153" s="42" t="s">
        <v>139</v>
      </c>
      <c r="I1153" s="42" t="s">
        <v>868</v>
      </c>
    </row>
    <row r="1154" spans="1:9">
      <c r="A1154" s="42" t="s">
        <v>759</v>
      </c>
      <c r="B1154" s="42" t="s">
        <v>310</v>
      </c>
      <c r="C1154" s="42" t="s">
        <v>802</v>
      </c>
      <c r="D1154" s="42" t="s">
        <v>170</v>
      </c>
      <c r="E1154" s="42" t="s">
        <v>808</v>
      </c>
      <c r="F1154" s="45">
        <v>2564000000</v>
      </c>
      <c r="G1154" s="42" t="s">
        <v>763</v>
      </c>
      <c r="H1154" s="42" t="s">
        <v>139</v>
      </c>
      <c r="I1154" s="42" t="s">
        <v>868</v>
      </c>
    </row>
    <row r="1155" spans="1:9">
      <c r="A1155" s="42" t="s">
        <v>759</v>
      </c>
      <c r="B1155" s="42" t="s">
        <v>284</v>
      </c>
      <c r="C1155" s="42" t="s">
        <v>803</v>
      </c>
      <c r="D1155" s="42" t="s">
        <v>170</v>
      </c>
      <c r="E1155" s="42" t="s">
        <v>808</v>
      </c>
      <c r="F1155" s="45">
        <v>4783000000</v>
      </c>
      <c r="G1155" s="42" t="s">
        <v>763</v>
      </c>
      <c r="H1155" s="42" t="s">
        <v>139</v>
      </c>
      <c r="I1155" s="42" t="s">
        <v>868</v>
      </c>
    </row>
    <row r="1156" spans="1:9">
      <c r="A1156" s="42" t="s">
        <v>759</v>
      </c>
      <c r="B1156" s="42" t="s">
        <v>285</v>
      </c>
      <c r="C1156" s="42" t="s">
        <v>804</v>
      </c>
      <c r="D1156" s="42" t="s">
        <v>170</v>
      </c>
      <c r="E1156" s="42" t="s">
        <v>808</v>
      </c>
      <c r="F1156" s="45">
        <v>15360000000</v>
      </c>
      <c r="G1156" s="42" t="s">
        <v>763</v>
      </c>
      <c r="H1156" s="42" t="s">
        <v>139</v>
      </c>
      <c r="I1156" s="42" t="s">
        <v>868</v>
      </c>
    </row>
    <row r="1157" spans="1:9">
      <c r="A1157" s="42" t="s">
        <v>759</v>
      </c>
      <c r="B1157" s="42" t="s">
        <v>286</v>
      </c>
      <c r="C1157" s="42" t="s">
        <v>806</v>
      </c>
      <c r="D1157" s="42" t="s">
        <v>170</v>
      </c>
      <c r="E1157" s="42" t="s">
        <v>808</v>
      </c>
      <c r="F1157" s="45">
        <v>25912000000</v>
      </c>
      <c r="G1157" s="42" t="s">
        <v>763</v>
      </c>
      <c r="H1157" s="42" t="s">
        <v>139</v>
      </c>
      <c r="I1157" s="42" t="s">
        <v>868</v>
      </c>
    </row>
    <row r="1158" spans="1:9">
      <c r="A1158" s="42" t="s">
        <v>759</v>
      </c>
      <c r="B1158" s="42" t="s">
        <v>287</v>
      </c>
      <c r="C1158" s="42" t="s">
        <v>821</v>
      </c>
      <c r="D1158" s="42" t="s">
        <v>658</v>
      </c>
      <c r="E1158" s="42" t="s">
        <v>762</v>
      </c>
      <c r="F1158" s="45">
        <v>367000000</v>
      </c>
      <c r="G1158" s="42" t="s">
        <v>763</v>
      </c>
      <c r="H1158" s="42" t="s">
        <v>149</v>
      </c>
      <c r="I1158" s="42" t="s">
        <v>871</v>
      </c>
    </row>
    <row r="1159" spans="1:9">
      <c r="A1159" s="42" t="s">
        <v>759</v>
      </c>
      <c r="B1159" s="42" t="s">
        <v>288</v>
      </c>
      <c r="C1159" s="42" t="s">
        <v>823</v>
      </c>
      <c r="D1159" s="42" t="s">
        <v>658</v>
      </c>
      <c r="E1159" s="42" t="s">
        <v>762</v>
      </c>
      <c r="F1159" s="45">
        <v>17712000000</v>
      </c>
      <c r="G1159" s="42" t="s">
        <v>763</v>
      </c>
      <c r="H1159" s="42" t="s">
        <v>149</v>
      </c>
      <c r="I1159" s="42" t="s">
        <v>871</v>
      </c>
    </row>
    <row r="1160" spans="1:9">
      <c r="A1160" s="42" t="s">
        <v>759</v>
      </c>
      <c r="B1160" s="42" t="s">
        <v>289</v>
      </c>
      <c r="C1160" s="42" t="s">
        <v>825</v>
      </c>
      <c r="D1160" s="42" t="s">
        <v>658</v>
      </c>
      <c r="E1160" s="42" t="s">
        <v>762</v>
      </c>
      <c r="F1160" s="45">
        <v>631000000</v>
      </c>
      <c r="G1160" s="42" t="s">
        <v>763</v>
      </c>
      <c r="H1160" s="42" t="s">
        <v>149</v>
      </c>
      <c r="I1160" s="42" t="s">
        <v>871</v>
      </c>
    </row>
    <row r="1161" spans="1:9">
      <c r="A1161" s="42" t="s">
        <v>759</v>
      </c>
      <c r="B1161" s="42" t="s">
        <v>290</v>
      </c>
      <c r="C1161" s="42" t="s">
        <v>826</v>
      </c>
      <c r="D1161" s="42" t="s">
        <v>658</v>
      </c>
      <c r="E1161" s="42" t="s">
        <v>762</v>
      </c>
      <c r="F1161" s="45">
        <v>1676000000</v>
      </c>
      <c r="G1161" s="42" t="s">
        <v>763</v>
      </c>
      <c r="H1161" s="42" t="s">
        <v>149</v>
      </c>
      <c r="I1161" s="42" t="s">
        <v>871</v>
      </c>
    </row>
    <row r="1162" spans="1:9">
      <c r="A1162" s="42" t="s">
        <v>759</v>
      </c>
      <c r="B1162" s="42" t="s">
        <v>291</v>
      </c>
      <c r="C1162" s="42" t="s">
        <v>827</v>
      </c>
      <c r="D1162" s="42" t="s">
        <v>658</v>
      </c>
      <c r="E1162" s="42" t="s">
        <v>762</v>
      </c>
      <c r="F1162" s="45">
        <v>18000000</v>
      </c>
      <c r="G1162" s="42" t="s">
        <v>763</v>
      </c>
      <c r="H1162" s="42" t="s">
        <v>149</v>
      </c>
      <c r="I1162" s="42" t="s">
        <v>871</v>
      </c>
    </row>
    <row r="1163" spans="1:9">
      <c r="A1163" s="42" t="s">
        <v>759</v>
      </c>
      <c r="B1163" s="42" t="s">
        <v>292</v>
      </c>
      <c r="C1163" s="42" t="s">
        <v>828</v>
      </c>
      <c r="D1163" s="42" t="s">
        <v>658</v>
      </c>
      <c r="E1163" s="42" t="s">
        <v>762</v>
      </c>
      <c r="F1163" s="45">
        <v>158000000</v>
      </c>
      <c r="G1163" s="42" t="s">
        <v>763</v>
      </c>
      <c r="H1163" s="42" t="s">
        <v>149</v>
      </c>
      <c r="I1163" s="42" t="s">
        <v>871</v>
      </c>
    </row>
    <row r="1164" spans="1:9">
      <c r="A1164" s="42" t="s">
        <v>759</v>
      </c>
      <c r="B1164" s="42" t="s">
        <v>293</v>
      </c>
      <c r="C1164" s="42" t="s">
        <v>829</v>
      </c>
      <c r="D1164" s="42" t="s">
        <v>658</v>
      </c>
      <c r="E1164" s="42" t="s">
        <v>762</v>
      </c>
      <c r="F1164" s="45">
        <v>31000000</v>
      </c>
      <c r="G1164" s="42" t="s">
        <v>763</v>
      </c>
      <c r="H1164" s="42" t="s">
        <v>149</v>
      </c>
      <c r="I1164" s="42" t="s">
        <v>871</v>
      </c>
    </row>
    <row r="1165" spans="1:9">
      <c r="A1165" s="42" t="s">
        <v>759</v>
      </c>
      <c r="B1165" s="42" t="s">
        <v>862</v>
      </c>
      <c r="C1165" s="42" t="s">
        <v>863</v>
      </c>
      <c r="D1165" s="42" t="s">
        <v>658</v>
      </c>
      <c r="E1165" s="42" t="s">
        <v>762</v>
      </c>
      <c r="F1165" s="45">
        <v>8000000</v>
      </c>
      <c r="G1165" s="42" t="s">
        <v>763</v>
      </c>
      <c r="H1165" s="42" t="s">
        <v>149</v>
      </c>
      <c r="I1165" s="42" t="s">
        <v>871</v>
      </c>
    </row>
    <row r="1166" spans="1:9">
      <c r="A1166" s="42" t="s">
        <v>759</v>
      </c>
      <c r="B1166" s="42" t="s">
        <v>239</v>
      </c>
      <c r="C1166" s="42" t="s">
        <v>830</v>
      </c>
      <c r="D1166" s="42" t="s">
        <v>658</v>
      </c>
      <c r="E1166" s="42" t="s">
        <v>762</v>
      </c>
      <c r="F1166" s="45">
        <v>20601000000</v>
      </c>
      <c r="G1166" s="42" t="s">
        <v>763</v>
      </c>
      <c r="H1166" s="42" t="s">
        <v>149</v>
      </c>
      <c r="I1166" s="42" t="s">
        <v>871</v>
      </c>
    </row>
    <row r="1167" spans="1:9">
      <c r="A1167" s="42" t="s">
        <v>759</v>
      </c>
      <c r="B1167" s="42" t="s">
        <v>241</v>
      </c>
      <c r="C1167" s="42" t="s">
        <v>772</v>
      </c>
      <c r="D1167" s="42" t="s">
        <v>658</v>
      </c>
      <c r="E1167" s="42" t="s">
        <v>762</v>
      </c>
      <c r="F1167" s="45">
        <v>1683000000</v>
      </c>
      <c r="G1167" s="42" t="s">
        <v>763</v>
      </c>
      <c r="H1167" s="42" t="s">
        <v>149</v>
      </c>
      <c r="I1167" s="42" t="s">
        <v>871</v>
      </c>
    </row>
    <row r="1168" spans="1:9">
      <c r="A1168" s="42" t="s">
        <v>759</v>
      </c>
      <c r="B1168" s="42" t="s">
        <v>242</v>
      </c>
      <c r="C1168" s="42" t="s">
        <v>773</v>
      </c>
      <c r="D1168" s="42" t="s">
        <v>658</v>
      </c>
      <c r="E1168" s="42" t="s">
        <v>762</v>
      </c>
      <c r="F1168" s="45">
        <v>10000000</v>
      </c>
      <c r="G1168" s="42" t="s">
        <v>763</v>
      </c>
      <c r="H1168" s="42" t="s">
        <v>149</v>
      </c>
      <c r="I1168" s="42" t="s">
        <v>871</v>
      </c>
    </row>
    <row r="1169" spans="1:9">
      <c r="A1169" s="42" t="s">
        <v>759</v>
      </c>
      <c r="B1169" s="42" t="s">
        <v>292</v>
      </c>
      <c r="C1169" s="42" t="s">
        <v>774</v>
      </c>
      <c r="D1169" s="42" t="s">
        <v>658</v>
      </c>
      <c r="E1169" s="42" t="s">
        <v>762</v>
      </c>
      <c r="F1169" s="45">
        <v>381000000</v>
      </c>
      <c r="G1169" s="42" t="s">
        <v>763</v>
      </c>
      <c r="H1169" s="42" t="s">
        <v>149</v>
      </c>
      <c r="I1169" s="42" t="s">
        <v>871</v>
      </c>
    </row>
    <row r="1170" spans="1:9">
      <c r="A1170" s="42" t="s">
        <v>759</v>
      </c>
      <c r="B1170" s="42" t="s">
        <v>293</v>
      </c>
      <c r="C1170" s="42" t="s">
        <v>775</v>
      </c>
      <c r="D1170" s="42" t="s">
        <v>658</v>
      </c>
      <c r="E1170" s="42" t="s">
        <v>762</v>
      </c>
      <c r="F1170" s="45">
        <v>973000000</v>
      </c>
      <c r="G1170" s="42" t="s">
        <v>763</v>
      </c>
      <c r="H1170" s="42" t="s">
        <v>149</v>
      </c>
      <c r="I1170" s="42" t="s">
        <v>871</v>
      </c>
    </row>
    <row r="1171" spans="1:9">
      <c r="A1171" s="42" t="s">
        <v>759</v>
      </c>
      <c r="B1171" s="42" t="s">
        <v>862</v>
      </c>
      <c r="C1171" s="42" t="s">
        <v>776</v>
      </c>
      <c r="D1171" s="42" t="s">
        <v>658</v>
      </c>
      <c r="E1171" s="42" t="s">
        <v>762</v>
      </c>
      <c r="F1171" s="45">
        <v>264000000</v>
      </c>
      <c r="G1171" s="42" t="s">
        <v>763</v>
      </c>
      <c r="H1171" s="42" t="s">
        <v>149</v>
      </c>
      <c r="I1171" s="42" t="s">
        <v>871</v>
      </c>
    </row>
    <row r="1172" spans="1:9">
      <c r="A1172" s="42" t="s">
        <v>759</v>
      </c>
      <c r="B1172" s="42" t="s">
        <v>246</v>
      </c>
      <c r="C1172" s="42" t="s">
        <v>777</v>
      </c>
      <c r="D1172" s="42" t="s">
        <v>658</v>
      </c>
      <c r="E1172" s="42" t="s">
        <v>762</v>
      </c>
      <c r="F1172" s="45">
        <v>1123000000</v>
      </c>
      <c r="G1172" s="42" t="s">
        <v>763</v>
      </c>
      <c r="H1172" s="42" t="s">
        <v>149</v>
      </c>
      <c r="I1172" s="42" t="s">
        <v>871</v>
      </c>
    </row>
    <row r="1173" spans="1:9">
      <c r="A1173" s="42" t="s">
        <v>759</v>
      </c>
      <c r="B1173" s="42" t="s">
        <v>247</v>
      </c>
      <c r="C1173" s="42" t="s">
        <v>778</v>
      </c>
      <c r="D1173" s="42" t="s">
        <v>658</v>
      </c>
      <c r="E1173" s="42" t="s">
        <v>762</v>
      </c>
      <c r="F1173" s="45">
        <v>4434000000</v>
      </c>
      <c r="G1173" s="42" t="s">
        <v>763</v>
      </c>
      <c r="H1173" s="42" t="s">
        <v>149</v>
      </c>
      <c r="I1173" s="42" t="s">
        <v>871</v>
      </c>
    </row>
    <row r="1174" spans="1:9">
      <c r="A1174" s="42" t="s">
        <v>759</v>
      </c>
      <c r="B1174" s="42" t="s">
        <v>248</v>
      </c>
      <c r="C1174" s="42" t="s">
        <v>779</v>
      </c>
      <c r="D1174" s="42" t="s">
        <v>658</v>
      </c>
      <c r="E1174" s="42" t="s">
        <v>762</v>
      </c>
      <c r="F1174" s="45">
        <v>25035000000</v>
      </c>
      <c r="G1174" s="42" t="s">
        <v>763</v>
      </c>
      <c r="H1174" s="42" t="s">
        <v>149</v>
      </c>
      <c r="I1174" s="42" t="s">
        <v>871</v>
      </c>
    </row>
    <row r="1175" spans="1:9">
      <c r="A1175" s="42" t="s">
        <v>759</v>
      </c>
      <c r="B1175" s="42" t="s">
        <v>297</v>
      </c>
      <c r="C1175" s="42" t="s">
        <v>781</v>
      </c>
      <c r="D1175" s="42" t="s">
        <v>658</v>
      </c>
      <c r="E1175" s="42" t="s">
        <v>762</v>
      </c>
      <c r="F1175" s="45">
        <v>4504000000</v>
      </c>
      <c r="G1175" s="42" t="s">
        <v>763</v>
      </c>
      <c r="H1175" s="42" t="s">
        <v>139</v>
      </c>
      <c r="I1175" s="42" t="s">
        <v>868</v>
      </c>
    </row>
    <row r="1176" spans="1:9">
      <c r="A1176" s="42" t="s">
        <v>759</v>
      </c>
      <c r="B1176" s="42" t="s">
        <v>249</v>
      </c>
      <c r="C1176" s="42" t="s">
        <v>872</v>
      </c>
      <c r="D1176" s="42" t="s">
        <v>658</v>
      </c>
      <c r="E1176" s="42" t="s">
        <v>762</v>
      </c>
      <c r="F1176" s="45">
        <v>3919000000</v>
      </c>
      <c r="G1176" s="42" t="s">
        <v>763</v>
      </c>
      <c r="H1176" s="42" t="s">
        <v>149</v>
      </c>
      <c r="I1176" s="42" t="s">
        <v>871</v>
      </c>
    </row>
    <row r="1177" spans="1:9">
      <c r="A1177" s="42" t="s">
        <v>759</v>
      </c>
      <c r="B1177" s="42" t="s">
        <v>250</v>
      </c>
      <c r="C1177" s="42" t="s">
        <v>873</v>
      </c>
      <c r="D1177" s="42" t="s">
        <v>658</v>
      </c>
      <c r="E1177" s="42" t="s">
        <v>762</v>
      </c>
      <c r="F1177" s="45">
        <v>14000000</v>
      </c>
      <c r="G1177" s="42" t="s">
        <v>763</v>
      </c>
      <c r="H1177" s="42" t="s">
        <v>149</v>
      </c>
      <c r="I1177" s="42" t="s">
        <v>871</v>
      </c>
    </row>
    <row r="1178" spans="1:9">
      <c r="A1178" s="42" t="s">
        <v>759</v>
      </c>
      <c r="B1178" s="42" t="s">
        <v>298</v>
      </c>
      <c r="C1178" s="42" t="s">
        <v>855</v>
      </c>
      <c r="D1178" s="42" t="s">
        <v>658</v>
      </c>
      <c r="E1178" s="42" t="s">
        <v>762</v>
      </c>
      <c r="F1178" s="45">
        <v>4445000000</v>
      </c>
      <c r="G1178" s="42" t="s">
        <v>763</v>
      </c>
      <c r="H1178" s="42" t="s">
        <v>139</v>
      </c>
      <c r="I1178" s="42" t="s">
        <v>868</v>
      </c>
    </row>
    <row r="1179" spans="1:9">
      <c r="A1179" s="42" t="s">
        <v>759</v>
      </c>
      <c r="B1179" s="42" t="s">
        <v>251</v>
      </c>
      <c r="C1179" s="42" t="s">
        <v>874</v>
      </c>
      <c r="D1179" s="42" t="s">
        <v>658</v>
      </c>
      <c r="E1179" s="42" t="s">
        <v>762</v>
      </c>
      <c r="F1179" s="45">
        <v>1000000</v>
      </c>
      <c r="G1179" s="42" t="s">
        <v>763</v>
      </c>
      <c r="H1179" s="42" t="s">
        <v>149</v>
      </c>
      <c r="I1179" s="42" t="s">
        <v>871</v>
      </c>
    </row>
    <row r="1180" spans="1:9">
      <c r="A1180" s="42" t="s">
        <v>759</v>
      </c>
      <c r="B1180" s="42" t="s">
        <v>252</v>
      </c>
      <c r="C1180" s="42" t="s">
        <v>875</v>
      </c>
      <c r="D1180" s="42" t="s">
        <v>658</v>
      </c>
      <c r="E1180" s="42" t="s">
        <v>762</v>
      </c>
      <c r="F1180" s="45">
        <v>-30000000</v>
      </c>
      <c r="G1180" s="42" t="s">
        <v>763</v>
      </c>
      <c r="H1180" s="42" t="s">
        <v>149</v>
      </c>
      <c r="I1180" s="42" t="s">
        <v>871</v>
      </c>
    </row>
    <row r="1181" spans="1:9">
      <c r="A1181" s="42" t="s">
        <v>759</v>
      </c>
      <c r="B1181" s="42" t="s">
        <v>253</v>
      </c>
      <c r="C1181" s="42" t="s">
        <v>876</v>
      </c>
      <c r="D1181" s="42" t="s">
        <v>658</v>
      </c>
      <c r="E1181" s="42" t="s">
        <v>762</v>
      </c>
      <c r="F1181" s="45">
        <v>-40000000</v>
      </c>
      <c r="G1181" s="42" t="s">
        <v>763</v>
      </c>
      <c r="H1181" s="42" t="s">
        <v>149</v>
      </c>
      <c r="I1181" s="42" t="s">
        <v>871</v>
      </c>
    </row>
    <row r="1182" spans="1:9">
      <c r="A1182" s="42" t="s">
        <v>759</v>
      </c>
      <c r="B1182" s="42" t="s">
        <v>254</v>
      </c>
      <c r="C1182" s="42" t="s">
        <v>877</v>
      </c>
      <c r="D1182" s="42" t="s">
        <v>658</v>
      </c>
      <c r="E1182" s="42" t="s">
        <v>762</v>
      </c>
      <c r="F1182" s="45">
        <v>640000000</v>
      </c>
      <c r="G1182" s="42" t="s">
        <v>763</v>
      </c>
      <c r="H1182" s="42" t="s">
        <v>149</v>
      </c>
      <c r="I1182" s="42" t="s">
        <v>871</v>
      </c>
    </row>
    <row r="1183" spans="1:9">
      <c r="A1183" s="42" t="s">
        <v>759</v>
      </c>
      <c r="B1183" s="42" t="s">
        <v>255</v>
      </c>
      <c r="C1183" s="42" t="s">
        <v>878</v>
      </c>
      <c r="D1183" s="42" t="s">
        <v>658</v>
      </c>
      <c r="E1183" s="42" t="s">
        <v>762</v>
      </c>
      <c r="F1183" s="45">
        <v>787000000</v>
      </c>
      <c r="G1183" s="42" t="s">
        <v>763</v>
      </c>
      <c r="H1183" s="42" t="s">
        <v>149</v>
      </c>
      <c r="I1183" s="42" t="s">
        <v>871</v>
      </c>
    </row>
    <row r="1184" spans="1:9">
      <c r="A1184" s="42" t="s">
        <v>759</v>
      </c>
      <c r="B1184" s="42" t="s">
        <v>300</v>
      </c>
      <c r="C1184" s="42" t="s">
        <v>879</v>
      </c>
      <c r="D1184" s="42" t="s">
        <v>658</v>
      </c>
      <c r="E1184" s="42" t="s">
        <v>762</v>
      </c>
      <c r="F1184" s="45">
        <v>226000000</v>
      </c>
      <c r="G1184" s="42" t="s">
        <v>763</v>
      </c>
      <c r="H1184" s="42" t="s">
        <v>149</v>
      </c>
      <c r="I1184" s="42" t="s">
        <v>871</v>
      </c>
    </row>
    <row r="1185" spans="1:9">
      <c r="A1185" s="42" t="s">
        <v>759</v>
      </c>
      <c r="B1185" s="42" t="s">
        <v>256</v>
      </c>
      <c r="C1185" s="42" t="s">
        <v>880</v>
      </c>
      <c r="D1185" s="42" t="s">
        <v>658</v>
      </c>
      <c r="E1185" s="42" t="s">
        <v>762</v>
      </c>
      <c r="F1185" s="45">
        <v>5325000000</v>
      </c>
      <c r="G1185" s="42" t="s">
        <v>763</v>
      </c>
      <c r="H1185" s="42" t="s">
        <v>149</v>
      </c>
      <c r="I1185" s="42" t="s">
        <v>871</v>
      </c>
    </row>
    <row r="1186" spans="1:9">
      <c r="A1186" s="42" t="s">
        <v>759</v>
      </c>
      <c r="B1186" s="42" t="s">
        <v>257</v>
      </c>
      <c r="C1186" s="42" t="s">
        <v>881</v>
      </c>
      <c r="D1186" s="42" t="s">
        <v>658</v>
      </c>
      <c r="E1186" s="42" t="s">
        <v>762</v>
      </c>
      <c r="F1186" s="45">
        <v>35000000</v>
      </c>
      <c r="G1186" s="42" t="s">
        <v>763</v>
      </c>
      <c r="H1186" s="42" t="s">
        <v>149</v>
      </c>
      <c r="I1186" s="42" t="s">
        <v>871</v>
      </c>
    </row>
    <row r="1187" spans="1:9">
      <c r="A1187" s="42" t="s">
        <v>759</v>
      </c>
      <c r="B1187" s="42" t="s">
        <v>258</v>
      </c>
      <c r="C1187" s="42" t="s">
        <v>882</v>
      </c>
      <c r="D1187" s="42" t="s">
        <v>658</v>
      </c>
      <c r="E1187" s="42" t="s">
        <v>762</v>
      </c>
      <c r="F1187" s="45">
        <v>-684000000</v>
      </c>
      <c r="G1187" s="42" t="s">
        <v>763</v>
      </c>
      <c r="H1187" s="42" t="s">
        <v>149</v>
      </c>
      <c r="I1187" s="42" t="s">
        <v>871</v>
      </c>
    </row>
    <row r="1188" spans="1:9">
      <c r="A1188" s="42" t="s">
        <v>759</v>
      </c>
      <c r="B1188" s="42" t="s">
        <v>259</v>
      </c>
      <c r="C1188" s="42" t="s">
        <v>883</v>
      </c>
      <c r="D1188" s="42" t="s">
        <v>658</v>
      </c>
      <c r="E1188" s="42" t="s">
        <v>762</v>
      </c>
      <c r="F1188" s="45">
        <v>-1244000000</v>
      </c>
      <c r="G1188" s="42" t="s">
        <v>763</v>
      </c>
      <c r="H1188" s="42" t="s">
        <v>149</v>
      </c>
      <c r="I1188" s="42" t="s">
        <v>871</v>
      </c>
    </row>
    <row r="1189" spans="1:9">
      <c r="A1189" s="42" t="s">
        <v>759</v>
      </c>
      <c r="B1189" s="42" t="s">
        <v>260</v>
      </c>
      <c r="C1189" s="42" t="s">
        <v>784</v>
      </c>
      <c r="D1189" s="42" t="s">
        <v>658</v>
      </c>
      <c r="E1189" s="42" t="s">
        <v>762</v>
      </c>
      <c r="F1189" s="45">
        <v>8949000000</v>
      </c>
      <c r="G1189" s="42" t="s">
        <v>763</v>
      </c>
      <c r="H1189" s="42" t="s">
        <v>149</v>
      </c>
      <c r="I1189" s="42" t="s">
        <v>871</v>
      </c>
    </row>
    <row r="1190" spans="1:9">
      <c r="A1190" s="42" t="s">
        <v>759</v>
      </c>
      <c r="B1190" s="42" t="s">
        <v>261</v>
      </c>
      <c r="C1190" s="42" t="s">
        <v>785</v>
      </c>
      <c r="D1190" s="42" t="s">
        <v>658</v>
      </c>
      <c r="E1190" s="42" t="s">
        <v>762</v>
      </c>
      <c r="F1190" s="45">
        <v>102000000</v>
      </c>
      <c r="G1190" s="42" t="s">
        <v>763</v>
      </c>
      <c r="H1190" s="42" t="s">
        <v>149</v>
      </c>
      <c r="I1190" s="42" t="s">
        <v>871</v>
      </c>
    </row>
    <row r="1191" spans="1:9">
      <c r="A1191" s="42" t="s">
        <v>759</v>
      </c>
      <c r="B1191" s="42" t="s">
        <v>305</v>
      </c>
      <c r="C1191" s="42" t="s">
        <v>837</v>
      </c>
      <c r="D1191" s="42" t="s">
        <v>658</v>
      </c>
      <c r="E1191" s="42" t="s">
        <v>762</v>
      </c>
      <c r="F1191" s="45">
        <v>178222.6279591612</v>
      </c>
      <c r="G1191" s="42" t="s">
        <v>763</v>
      </c>
      <c r="H1191" s="42" t="s">
        <v>137</v>
      </c>
      <c r="I1191" s="42" t="s">
        <v>884</v>
      </c>
    </row>
    <row r="1192" spans="1:9">
      <c r="A1192" s="42" t="s">
        <v>759</v>
      </c>
      <c r="B1192" s="42" t="s">
        <v>306</v>
      </c>
      <c r="C1192" s="42" t="s">
        <v>857</v>
      </c>
      <c r="D1192" s="42" t="s">
        <v>658</v>
      </c>
      <c r="E1192" s="42" t="s">
        <v>762</v>
      </c>
      <c r="F1192" s="45">
        <v>457933.1412839559</v>
      </c>
      <c r="G1192" s="42" t="s">
        <v>763</v>
      </c>
      <c r="H1192" s="42" t="s">
        <v>137</v>
      </c>
      <c r="I1192" s="42" t="s">
        <v>884</v>
      </c>
    </row>
    <row r="1193" spans="1:9">
      <c r="A1193" s="42" t="s">
        <v>759</v>
      </c>
      <c r="B1193" s="42" t="s">
        <v>262</v>
      </c>
      <c r="C1193" s="42" t="s">
        <v>787</v>
      </c>
      <c r="D1193" s="42" t="s">
        <v>658</v>
      </c>
      <c r="E1193" s="42" t="s">
        <v>762</v>
      </c>
      <c r="F1193" s="45">
        <v>9051000000</v>
      </c>
      <c r="G1193" s="42" t="s">
        <v>763</v>
      </c>
      <c r="H1193" s="42" t="s">
        <v>149</v>
      </c>
      <c r="I1193" s="42" t="s">
        <v>871</v>
      </c>
    </row>
    <row r="1194" spans="1:9">
      <c r="A1194" s="42" t="s">
        <v>759</v>
      </c>
      <c r="B1194" s="42" t="s">
        <v>301</v>
      </c>
      <c r="C1194" s="42" t="s">
        <v>832</v>
      </c>
      <c r="D1194" s="42" t="s">
        <v>658</v>
      </c>
      <c r="E1194" s="42" t="s">
        <v>762</v>
      </c>
      <c r="F1194" s="45">
        <v>2660000000</v>
      </c>
      <c r="G1194" s="42" t="s">
        <v>763</v>
      </c>
      <c r="H1194" s="42" t="s">
        <v>149</v>
      </c>
      <c r="I1194" s="42" t="s">
        <v>871</v>
      </c>
    </row>
    <row r="1195" spans="1:9">
      <c r="A1195" s="42" t="s">
        <v>759</v>
      </c>
      <c r="B1195" s="42" t="s">
        <v>302</v>
      </c>
      <c r="C1195" s="42" t="s">
        <v>834</v>
      </c>
      <c r="D1195" s="42" t="s">
        <v>658</v>
      </c>
      <c r="E1195" s="42" t="s">
        <v>762</v>
      </c>
      <c r="F1195" s="45">
        <v>34000000</v>
      </c>
      <c r="G1195" s="42" t="s">
        <v>763</v>
      </c>
      <c r="H1195" s="42" t="s">
        <v>149</v>
      </c>
      <c r="I1195" s="42" t="s">
        <v>871</v>
      </c>
    </row>
    <row r="1196" spans="1:9">
      <c r="A1196" s="42" t="s">
        <v>759</v>
      </c>
      <c r="B1196" s="42" t="s">
        <v>303</v>
      </c>
      <c r="C1196" s="42" t="s">
        <v>833</v>
      </c>
      <c r="D1196" s="42" t="s">
        <v>658</v>
      </c>
      <c r="E1196" s="42" t="s">
        <v>762</v>
      </c>
      <c r="F1196" s="45">
        <v>1242000000</v>
      </c>
      <c r="G1196" s="42" t="s">
        <v>763</v>
      </c>
      <c r="H1196" s="42" t="s">
        <v>149</v>
      </c>
      <c r="I1196" s="42" t="s">
        <v>871</v>
      </c>
    </row>
    <row r="1197" spans="1:9">
      <c r="A1197" s="42" t="s">
        <v>759</v>
      </c>
      <c r="B1197" s="42" t="s">
        <v>304</v>
      </c>
      <c r="C1197" s="42" t="s">
        <v>835</v>
      </c>
      <c r="D1197" s="42" t="s">
        <v>658</v>
      </c>
      <c r="E1197" s="42" t="s">
        <v>762</v>
      </c>
      <c r="F1197" s="45">
        <v>4000000</v>
      </c>
      <c r="G1197" s="42" t="s">
        <v>763</v>
      </c>
      <c r="H1197" s="42" t="s">
        <v>149</v>
      </c>
      <c r="I1197" s="42" t="s">
        <v>871</v>
      </c>
    </row>
    <row r="1198" spans="1:9">
      <c r="A1198" s="42" t="s">
        <v>759</v>
      </c>
      <c r="B1198" s="42" t="s">
        <v>307</v>
      </c>
      <c r="C1198" s="42" t="s">
        <v>838</v>
      </c>
      <c r="D1198" s="42" t="s">
        <v>658</v>
      </c>
      <c r="E1198" s="42" t="s">
        <v>762</v>
      </c>
      <c r="F1198" s="45">
        <v>325000000</v>
      </c>
      <c r="G1198" s="42" t="s">
        <v>763</v>
      </c>
      <c r="H1198" s="42" t="s">
        <v>149</v>
      </c>
      <c r="I1198" s="42" t="s">
        <v>871</v>
      </c>
    </row>
    <row r="1199" spans="1:9">
      <c r="A1199" s="42" t="s">
        <v>759</v>
      </c>
      <c r="B1199" s="42" t="s">
        <v>308</v>
      </c>
      <c r="C1199" s="42" t="s">
        <v>839</v>
      </c>
      <c r="D1199" s="42" t="s">
        <v>658</v>
      </c>
      <c r="E1199" s="42" t="s">
        <v>762</v>
      </c>
      <c r="F1199" s="45">
        <v>6682000000</v>
      </c>
      <c r="G1199" s="42" t="s">
        <v>763</v>
      </c>
      <c r="H1199" s="42" t="s">
        <v>149</v>
      </c>
      <c r="I1199" s="42" t="s">
        <v>871</v>
      </c>
    </row>
    <row r="1200" spans="1:9">
      <c r="A1200" s="42" t="s">
        <v>759</v>
      </c>
      <c r="B1200" s="42" t="s">
        <v>309</v>
      </c>
      <c r="C1200" s="42" t="s">
        <v>840</v>
      </c>
      <c r="D1200" s="42" t="s">
        <v>658</v>
      </c>
      <c r="E1200" s="42" t="s">
        <v>762</v>
      </c>
      <c r="F1200" s="45">
        <v>112000000</v>
      </c>
      <c r="G1200" s="42" t="s">
        <v>763</v>
      </c>
      <c r="H1200" s="42" t="s">
        <v>149</v>
      </c>
      <c r="I1200" s="42" t="s">
        <v>871</v>
      </c>
    </row>
    <row r="1201" spans="1:9">
      <c r="A1201" s="42" t="s">
        <v>759</v>
      </c>
      <c r="B1201" s="42" t="s">
        <v>310</v>
      </c>
      <c r="C1201" s="42" t="s">
        <v>841</v>
      </c>
      <c r="D1201" s="42" t="s">
        <v>658</v>
      </c>
      <c r="E1201" s="42" t="s">
        <v>762</v>
      </c>
      <c r="F1201" s="45">
        <v>5000000</v>
      </c>
      <c r="G1201" s="42" t="s">
        <v>763</v>
      </c>
      <c r="H1201" s="42" t="s">
        <v>149</v>
      </c>
      <c r="I1201" s="42" t="s">
        <v>871</v>
      </c>
    </row>
    <row r="1202" spans="1:9">
      <c r="A1202" s="42" t="s">
        <v>759</v>
      </c>
      <c r="B1202" s="42" t="s">
        <v>273</v>
      </c>
      <c r="C1202" s="42" t="s">
        <v>842</v>
      </c>
      <c r="D1202" s="42" t="s">
        <v>658</v>
      </c>
      <c r="E1202" s="42" t="s">
        <v>762</v>
      </c>
      <c r="F1202" s="45">
        <v>11064000000</v>
      </c>
      <c r="G1202" s="42" t="s">
        <v>763</v>
      </c>
      <c r="H1202" s="42" t="s">
        <v>149</v>
      </c>
      <c r="I1202" s="42" t="s">
        <v>871</v>
      </c>
    </row>
    <row r="1203" spans="1:9">
      <c r="A1203" s="42" t="s">
        <v>759</v>
      </c>
      <c r="B1203" s="42" t="s">
        <v>301</v>
      </c>
      <c r="C1203" s="42" t="s">
        <v>795</v>
      </c>
      <c r="D1203" s="42" t="s">
        <v>658</v>
      </c>
      <c r="E1203" s="42" t="s">
        <v>762</v>
      </c>
      <c r="F1203" s="45">
        <v>181000000</v>
      </c>
      <c r="G1203" s="42" t="s">
        <v>763</v>
      </c>
      <c r="H1203" s="42" t="s">
        <v>149</v>
      </c>
      <c r="I1203" s="42" t="s">
        <v>871</v>
      </c>
    </row>
    <row r="1204" spans="1:9">
      <c r="A1204" s="42" t="s">
        <v>759</v>
      </c>
      <c r="B1204" s="42" t="s">
        <v>302</v>
      </c>
      <c r="C1204" s="42" t="s">
        <v>797</v>
      </c>
      <c r="D1204" s="42" t="s">
        <v>658</v>
      </c>
      <c r="E1204" s="42" t="s">
        <v>762</v>
      </c>
      <c r="F1204" s="45">
        <v>69000000</v>
      </c>
      <c r="G1204" s="42" t="s">
        <v>763</v>
      </c>
      <c r="H1204" s="42" t="s">
        <v>149</v>
      </c>
      <c r="I1204" s="42" t="s">
        <v>871</v>
      </c>
    </row>
    <row r="1205" spans="1:9">
      <c r="A1205" s="42" t="s">
        <v>759</v>
      </c>
      <c r="B1205" s="42" t="s">
        <v>304</v>
      </c>
      <c r="C1205" s="42" t="s">
        <v>796</v>
      </c>
      <c r="D1205" s="42" t="s">
        <v>658</v>
      </c>
      <c r="E1205" s="42" t="s">
        <v>762</v>
      </c>
      <c r="F1205" s="45">
        <v>31000000</v>
      </c>
      <c r="G1205" s="42" t="s">
        <v>763</v>
      </c>
      <c r="H1205" s="42" t="s">
        <v>149</v>
      </c>
      <c r="I1205" s="42" t="s">
        <v>871</v>
      </c>
    </row>
    <row r="1206" spans="1:9">
      <c r="A1206" s="42" t="s">
        <v>759</v>
      </c>
      <c r="B1206" s="42" t="s">
        <v>305</v>
      </c>
      <c r="C1206" s="42" t="s">
        <v>798</v>
      </c>
      <c r="D1206" s="42" t="s">
        <v>658</v>
      </c>
      <c r="E1206" s="42" t="s">
        <v>762</v>
      </c>
      <c r="F1206" s="45">
        <v>139000000</v>
      </c>
      <c r="G1206" s="42" t="s">
        <v>763</v>
      </c>
      <c r="H1206" s="42" t="s">
        <v>149</v>
      </c>
      <c r="I1206" s="42" t="s">
        <v>871</v>
      </c>
    </row>
    <row r="1207" spans="1:9">
      <c r="A1207" s="42" t="s">
        <v>759</v>
      </c>
      <c r="B1207" s="42" t="s">
        <v>306</v>
      </c>
      <c r="C1207" s="42" t="s">
        <v>799</v>
      </c>
      <c r="D1207" s="42" t="s">
        <v>658</v>
      </c>
      <c r="E1207" s="42" t="s">
        <v>762</v>
      </c>
      <c r="F1207" s="45">
        <v>210000000</v>
      </c>
      <c r="G1207" s="42" t="s">
        <v>763</v>
      </c>
      <c r="H1207" s="42" t="s">
        <v>149</v>
      </c>
      <c r="I1207" s="42" t="s">
        <v>871</v>
      </c>
    </row>
    <row r="1208" spans="1:9">
      <c r="A1208" s="42" t="s">
        <v>759</v>
      </c>
      <c r="B1208" s="42" t="s">
        <v>307</v>
      </c>
      <c r="C1208" s="42" t="s">
        <v>843</v>
      </c>
      <c r="D1208" s="42" t="s">
        <v>658</v>
      </c>
      <c r="E1208" s="42" t="s">
        <v>762</v>
      </c>
      <c r="F1208" s="45">
        <v>341000000</v>
      </c>
      <c r="G1208" s="42" t="s">
        <v>763</v>
      </c>
      <c r="H1208" s="42" t="s">
        <v>149</v>
      </c>
      <c r="I1208" s="42" t="s">
        <v>871</v>
      </c>
    </row>
    <row r="1209" spans="1:9">
      <c r="A1209" s="42" t="s">
        <v>759</v>
      </c>
      <c r="B1209" s="42" t="s">
        <v>308</v>
      </c>
      <c r="C1209" s="42" t="s">
        <v>800</v>
      </c>
      <c r="D1209" s="42" t="s">
        <v>658</v>
      </c>
      <c r="E1209" s="42" t="s">
        <v>762</v>
      </c>
      <c r="F1209" s="45">
        <v>1508000000</v>
      </c>
      <c r="G1209" s="42" t="s">
        <v>763</v>
      </c>
      <c r="H1209" s="42" t="s">
        <v>149</v>
      </c>
      <c r="I1209" s="42" t="s">
        <v>871</v>
      </c>
    </row>
    <row r="1210" spans="1:9">
      <c r="A1210" s="42" t="s">
        <v>759</v>
      </c>
      <c r="B1210" s="42" t="s">
        <v>309</v>
      </c>
      <c r="C1210" s="42" t="s">
        <v>801</v>
      </c>
      <c r="D1210" s="42" t="s">
        <v>658</v>
      </c>
      <c r="E1210" s="42" t="s">
        <v>762</v>
      </c>
      <c r="F1210" s="45">
        <v>122000000</v>
      </c>
      <c r="G1210" s="42" t="s">
        <v>763</v>
      </c>
      <c r="H1210" s="42" t="s">
        <v>149</v>
      </c>
      <c r="I1210" s="42" t="s">
        <v>871</v>
      </c>
    </row>
    <row r="1211" spans="1:9">
      <c r="A1211" s="42" t="s">
        <v>759</v>
      </c>
      <c r="B1211" s="42" t="s">
        <v>310</v>
      </c>
      <c r="C1211" s="42" t="s">
        <v>802</v>
      </c>
      <c r="D1211" s="42" t="s">
        <v>658</v>
      </c>
      <c r="E1211" s="42" t="s">
        <v>762</v>
      </c>
      <c r="F1211" s="45">
        <v>2319000000</v>
      </c>
      <c r="G1211" s="42" t="s">
        <v>763</v>
      </c>
      <c r="H1211" s="42" t="s">
        <v>149</v>
      </c>
      <c r="I1211" s="42" t="s">
        <v>871</v>
      </c>
    </row>
    <row r="1212" spans="1:9">
      <c r="A1212" s="42" t="s">
        <v>759</v>
      </c>
      <c r="B1212" s="42" t="s">
        <v>284</v>
      </c>
      <c r="C1212" s="42" t="s">
        <v>803</v>
      </c>
      <c r="D1212" s="42" t="s">
        <v>658</v>
      </c>
      <c r="E1212" s="42" t="s">
        <v>762</v>
      </c>
      <c r="F1212" s="45">
        <v>4920000000</v>
      </c>
      <c r="G1212" s="42" t="s">
        <v>763</v>
      </c>
      <c r="H1212" s="42" t="s">
        <v>149</v>
      </c>
      <c r="I1212" s="42" t="s">
        <v>871</v>
      </c>
    </row>
    <row r="1213" spans="1:9">
      <c r="A1213" s="42" t="s">
        <v>759</v>
      </c>
      <c r="B1213" s="42" t="s">
        <v>285</v>
      </c>
      <c r="C1213" s="42" t="s">
        <v>804</v>
      </c>
      <c r="D1213" s="42" t="s">
        <v>658</v>
      </c>
      <c r="E1213" s="42" t="s">
        <v>762</v>
      </c>
      <c r="F1213" s="45">
        <v>15984000000</v>
      </c>
      <c r="G1213" s="42" t="s">
        <v>763</v>
      </c>
      <c r="H1213" s="42" t="s">
        <v>149</v>
      </c>
      <c r="I1213" s="42" t="s">
        <v>871</v>
      </c>
    </row>
    <row r="1214" spans="1:9">
      <c r="A1214" s="42" t="s">
        <v>759</v>
      </c>
      <c r="B1214" s="42" t="s">
        <v>286</v>
      </c>
      <c r="C1214" s="42" t="s">
        <v>806</v>
      </c>
      <c r="D1214" s="42" t="s">
        <v>658</v>
      </c>
      <c r="E1214" s="42" t="s">
        <v>762</v>
      </c>
      <c r="F1214" s="45">
        <v>25035000000</v>
      </c>
      <c r="G1214" s="42" t="s">
        <v>763</v>
      </c>
      <c r="H1214" s="42" t="s">
        <v>149</v>
      </c>
      <c r="I1214" s="42" t="s">
        <v>871</v>
      </c>
    </row>
    <row r="1215" spans="1:9">
      <c r="A1215" s="42" t="s">
        <v>759</v>
      </c>
      <c r="B1215" s="42" t="s">
        <v>287</v>
      </c>
      <c r="C1215" s="42" t="s">
        <v>821</v>
      </c>
      <c r="D1215" s="42" t="s">
        <v>171</v>
      </c>
      <c r="E1215" s="42" t="s">
        <v>808</v>
      </c>
      <c r="F1215" s="45">
        <v>379652700.8509365</v>
      </c>
      <c r="G1215" s="42" t="s">
        <v>763</v>
      </c>
      <c r="H1215" s="42" t="s">
        <v>121</v>
      </c>
      <c r="I1215" s="42" t="s">
        <v>885</v>
      </c>
    </row>
    <row r="1216" spans="1:9">
      <c r="A1216" s="42" t="s">
        <v>759</v>
      </c>
      <c r="B1216" s="42" t="s">
        <v>288</v>
      </c>
      <c r="C1216" s="42" t="s">
        <v>823</v>
      </c>
      <c r="D1216" s="42" t="s">
        <v>171</v>
      </c>
      <c r="E1216" s="42" t="s">
        <v>808</v>
      </c>
      <c r="F1216" s="45">
        <v>18061815901.85295</v>
      </c>
      <c r="G1216" s="42" t="s">
        <v>763</v>
      </c>
      <c r="H1216" s="42" t="s">
        <v>121</v>
      </c>
      <c r="I1216" s="42" t="s">
        <v>885</v>
      </c>
    </row>
    <row r="1217" spans="1:9">
      <c r="A1217" s="42" t="s">
        <v>759</v>
      </c>
      <c r="B1217" s="42" t="s">
        <v>289</v>
      </c>
      <c r="C1217" s="42" t="s">
        <v>825</v>
      </c>
      <c r="D1217" s="42" t="s">
        <v>171</v>
      </c>
      <c r="E1217" s="42" t="s">
        <v>808</v>
      </c>
      <c r="F1217" s="45">
        <v>539838312.2617235</v>
      </c>
      <c r="G1217" s="42" t="s">
        <v>763</v>
      </c>
      <c r="H1217" s="42" t="s">
        <v>121</v>
      </c>
      <c r="I1217" s="42" t="s">
        <v>885</v>
      </c>
    </row>
    <row r="1218" spans="1:9">
      <c r="A1218" s="42" t="s">
        <v>759</v>
      </c>
      <c r="B1218" s="42" t="s">
        <v>290</v>
      </c>
      <c r="C1218" s="42" t="s">
        <v>826</v>
      </c>
      <c r="D1218" s="42" t="s">
        <v>171</v>
      </c>
      <c r="E1218" s="42" t="s">
        <v>808</v>
      </c>
      <c r="F1218" s="45">
        <v>1805419235.364309</v>
      </c>
      <c r="G1218" s="42" t="s">
        <v>763</v>
      </c>
      <c r="H1218" s="42" t="s">
        <v>121</v>
      </c>
      <c r="I1218" s="42" t="s">
        <v>885</v>
      </c>
    </row>
    <row r="1219" spans="1:9">
      <c r="A1219" s="42" t="s">
        <v>759</v>
      </c>
      <c r="B1219" s="42" t="s">
        <v>291</v>
      </c>
      <c r="C1219" s="42" t="s">
        <v>827</v>
      </c>
      <c r="D1219" s="42" t="s">
        <v>171</v>
      </c>
      <c r="E1219" s="42" t="s">
        <v>808</v>
      </c>
      <c r="F1219" s="45">
        <v>16019040.60951957</v>
      </c>
      <c r="G1219" s="42" t="s">
        <v>763</v>
      </c>
      <c r="H1219" s="42" t="s">
        <v>121</v>
      </c>
      <c r="I1219" s="42" t="s">
        <v>885</v>
      </c>
    </row>
    <row r="1220" spans="1:9">
      <c r="A1220" s="42" t="s">
        <v>759</v>
      </c>
      <c r="B1220" s="42" t="s">
        <v>292</v>
      </c>
      <c r="C1220" s="42" t="s">
        <v>828</v>
      </c>
      <c r="D1220" s="42" t="s">
        <v>171</v>
      </c>
      <c r="E1220" s="42" t="s">
        <v>808</v>
      </c>
      <c r="F1220" s="45">
        <v>207139955.8253411</v>
      </c>
      <c r="G1220" s="42" t="s">
        <v>763</v>
      </c>
      <c r="H1220" s="42" t="s">
        <v>121</v>
      </c>
      <c r="I1220" s="42" t="s">
        <v>885</v>
      </c>
    </row>
    <row r="1221" spans="1:9">
      <c r="A1221" s="42" t="s">
        <v>759</v>
      </c>
      <c r="B1221" s="42" t="s">
        <v>293</v>
      </c>
      <c r="C1221" s="42" t="s">
        <v>829</v>
      </c>
      <c r="D1221" s="42" t="s">
        <v>171</v>
      </c>
      <c r="E1221" s="42" t="s">
        <v>808</v>
      </c>
      <c r="F1221" s="45">
        <v>5278947.533996124</v>
      </c>
      <c r="G1221" s="42" t="s">
        <v>763</v>
      </c>
      <c r="H1221" s="42" t="s">
        <v>121</v>
      </c>
      <c r="I1221" s="42" t="s">
        <v>885</v>
      </c>
    </row>
    <row r="1222" spans="1:9">
      <c r="A1222" s="42" t="s">
        <v>759</v>
      </c>
      <c r="B1222" s="42" t="s">
        <v>295</v>
      </c>
      <c r="C1222" s="42" t="s">
        <v>863</v>
      </c>
      <c r="D1222" s="42" t="s">
        <v>171</v>
      </c>
      <c r="E1222" s="42" t="s">
        <v>808</v>
      </c>
      <c r="F1222" s="45">
        <v>167885874.5711846</v>
      </c>
      <c r="G1222" s="42" t="s">
        <v>763</v>
      </c>
      <c r="H1222" s="42" t="s">
        <v>121</v>
      </c>
      <c r="I1222" s="42" t="s">
        <v>885</v>
      </c>
    </row>
    <row r="1223" spans="1:9">
      <c r="A1223" s="42" t="s">
        <v>759</v>
      </c>
      <c r="B1223" s="42" t="s">
        <v>239</v>
      </c>
      <c r="C1223" s="42" t="s">
        <v>830</v>
      </c>
      <c r="D1223" s="42" t="s">
        <v>171</v>
      </c>
      <c r="E1223" s="42" t="s">
        <v>808</v>
      </c>
      <c r="F1223" s="45">
        <v>21183049968.86996</v>
      </c>
      <c r="G1223" s="42" t="s">
        <v>763</v>
      </c>
      <c r="H1223" s="42" t="s">
        <v>121</v>
      </c>
      <c r="I1223" s="42" t="s">
        <v>885</v>
      </c>
    </row>
    <row r="1224" spans="1:9">
      <c r="A1224" s="42" t="s">
        <v>759</v>
      </c>
      <c r="B1224" s="42" t="s">
        <v>241</v>
      </c>
      <c r="C1224" s="42" t="s">
        <v>772</v>
      </c>
      <c r="D1224" s="42" t="s">
        <v>171</v>
      </c>
      <c r="E1224" s="42" t="s">
        <v>808</v>
      </c>
      <c r="F1224" s="45">
        <v>1866997367.225447</v>
      </c>
      <c r="G1224" s="42" t="s">
        <v>763</v>
      </c>
      <c r="H1224" s="42" t="s">
        <v>121</v>
      </c>
      <c r="I1224" s="42" t="s">
        <v>885</v>
      </c>
    </row>
    <row r="1225" spans="1:9">
      <c r="A1225" s="42" t="s">
        <v>759</v>
      </c>
      <c r="B1225" s="42" t="s">
        <v>242</v>
      </c>
      <c r="C1225" s="42" t="s">
        <v>773</v>
      </c>
      <c r="D1225" s="42" t="s">
        <v>171</v>
      </c>
      <c r="E1225" s="42" t="s">
        <v>808</v>
      </c>
      <c r="F1225" s="45">
        <v>8985238.581933457</v>
      </c>
      <c r="G1225" s="42" t="s">
        <v>763</v>
      </c>
      <c r="H1225" s="42" t="s">
        <v>121</v>
      </c>
      <c r="I1225" s="42" t="s">
        <v>885</v>
      </c>
    </row>
    <row r="1226" spans="1:9">
      <c r="A1226" s="42" t="s">
        <v>759</v>
      </c>
      <c r="B1226" s="42" t="s">
        <v>292</v>
      </c>
      <c r="C1226" s="42" t="s">
        <v>774</v>
      </c>
      <c r="D1226" s="42" t="s">
        <v>171</v>
      </c>
      <c r="E1226" s="42" t="s">
        <v>808</v>
      </c>
      <c r="F1226" s="45">
        <v>644832311.4437827</v>
      </c>
      <c r="G1226" s="42" t="s">
        <v>763</v>
      </c>
      <c r="H1226" s="42" t="s">
        <v>121</v>
      </c>
      <c r="I1226" s="42" t="s">
        <v>885</v>
      </c>
    </row>
    <row r="1227" spans="1:9">
      <c r="A1227" s="42" t="s">
        <v>759</v>
      </c>
      <c r="B1227" s="42" t="s">
        <v>293</v>
      </c>
      <c r="C1227" s="42" t="s">
        <v>775</v>
      </c>
      <c r="D1227" s="42" t="s">
        <v>171</v>
      </c>
      <c r="E1227" s="42" t="s">
        <v>808</v>
      </c>
      <c r="F1227" s="45">
        <v>1321021858.920567</v>
      </c>
      <c r="G1227" s="42" t="s">
        <v>763</v>
      </c>
      <c r="H1227" s="42" t="s">
        <v>121</v>
      </c>
      <c r="I1227" s="42" t="s">
        <v>885</v>
      </c>
    </row>
    <row r="1228" spans="1:9">
      <c r="A1228" s="42" t="s">
        <v>759</v>
      </c>
      <c r="B1228" s="42" t="s">
        <v>295</v>
      </c>
      <c r="C1228" s="42" t="s">
        <v>776</v>
      </c>
      <c r="D1228" s="42" t="s">
        <v>171</v>
      </c>
      <c r="E1228" s="42" t="s">
        <v>808</v>
      </c>
      <c r="F1228" s="45">
        <v>282301428.6163704</v>
      </c>
      <c r="G1228" s="42" t="s">
        <v>763</v>
      </c>
      <c r="H1228" s="42" t="s">
        <v>121</v>
      </c>
      <c r="I1228" s="42" t="s">
        <v>885</v>
      </c>
    </row>
    <row r="1229" spans="1:9">
      <c r="A1229" s="42" t="s">
        <v>759</v>
      </c>
      <c r="B1229" s="42" t="s">
        <v>246</v>
      </c>
      <c r="C1229" s="42" t="s">
        <v>777</v>
      </c>
      <c r="D1229" s="42" t="s">
        <v>171</v>
      </c>
      <c r="E1229" s="42" t="s">
        <v>808</v>
      </c>
      <c r="F1229" s="45">
        <v>1016017599.628927</v>
      </c>
      <c r="G1229" s="42" t="s">
        <v>763</v>
      </c>
      <c r="H1229" s="42" t="s">
        <v>121</v>
      </c>
      <c r="I1229" s="42" t="s">
        <v>885</v>
      </c>
    </row>
    <row r="1230" spans="1:9">
      <c r="A1230" s="42" t="s">
        <v>759</v>
      </c>
      <c r="B1230" s="42" t="s">
        <v>247</v>
      </c>
      <c r="C1230" s="42" t="s">
        <v>778</v>
      </c>
      <c r="D1230" s="42" t="s">
        <v>171</v>
      </c>
      <c r="E1230" s="42" t="s">
        <v>808</v>
      </c>
      <c r="F1230" s="45">
        <v>5140155804.417027</v>
      </c>
      <c r="G1230" s="42" t="s">
        <v>763</v>
      </c>
      <c r="H1230" s="42" t="s">
        <v>121</v>
      </c>
      <c r="I1230" s="42" t="s">
        <v>885</v>
      </c>
    </row>
    <row r="1231" spans="1:9">
      <c r="A1231" s="42" t="s">
        <v>759</v>
      </c>
      <c r="B1231" s="42" t="s">
        <v>248</v>
      </c>
      <c r="C1231" s="42" t="s">
        <v>779</v>
      </c>
      <c r="D1231" s="42" t="s">
        <v>171</v>
      </c>
      <c r="E1231" s="42" t="s">
        <v>808</v>
      </c>
      <c r="F1231" s="45">
        <v>26323205773.28699</v>
      </c>
      <c r="G1231" s="42" t="s">
        <v>763</v>
      </c>
      <c r="H1231" s="42" t="s">
        <v>121</v>
      </c>
      <c r="I1231" s="42" t="s">
        <v>885</v>
      </c>
    </row>
    <row r="1232" spans="1:9">
      <c r="A1232" s="42" t="s">
        <v>759</v>
      </c>
      <c r="B1232" s="42" t="s">
        <v>780</v>
      </c>
      <c r="C1232" s="42" t="s">
        <v>781</v>
      </c>
      <c r="D1232" s="42" t="s">
        <v>171</v>
      </c>
      <c r="E1232" s="42" t="s">
        <v>808</v>
      </c>
      <c r="F1232" s="45">
        <v>30738721.74427716</v>
      </c>
      <c r="G1232" s="42" t="s">
        <v>763</v>
      </c>
      <c r="H1232" s="42" t="s">
        <v>121</v>
      </c>
      <c r="I1232" s="42" t="s">
        <v>885</v>
      </c>
    </row>
    <row r="1233" spans="1:9">
      <c r="A1233" s="42" t="s">
        <v>759</v>
      </c>
      <c r="B1233" s="42" t="s">
        <v>298</v>
      </c>
      <c r="C1233" s="42" t="s">
        <v>855</v>
      </c>
      <c r="D1233" s="42" t="s">
        <v>171</v>
      </c>
      <c r="E1233" s="42" t="s">
        <v>808</v>
      </c>
      <c r="F1233" s="45">
        <v>10792192116.30856</v>
      </c>
      <c r="G1233" s="42" t="s">
        <v>763</v>
      </c>
      <c r="H1233" s="42" t="s">
        <v>121</v>
      </c>
      <c r="I1233" s="42" t="s">
        <v>885</v>
      </c>
    </row>
    <row r="1234" spans="1:9">
      <c r="A1234" s="42" t="s">
        <v>759</v>
      </c>
      <c r="B1234" s="42" t="s">
        <v>783</v>
      </c>
      <c r="C1234" s="42" t="s">
        <v>784</v>
      </c>
      <c r="D1234" s="42" t="s">
        <v>171</v>
      </c>
      <c r="E1234" s="42" t="s">
        <v>808</v>
      </c>
      <c r="F1234" s="45">
        <v>10822930838.05283</v>
      </c>
      <c r="G1234" s="42" t="s">
        <v>763</v>
      </c>
      <c r="H1234" s="42" t="s">
        <v>121</v>
      </c>
      <c r="I1234" s="42" t="s">
        <v>885</v>
      </c>
    </row>
    <row r="1235" spans="1:9">
      <c r="A1235" s="42" t="s">
        <v>759</v>
      </c>
      <c r="B1235" s="42" t="s">
        <v>261</v>
      </c>
      <c r="C1235" s="42" t="s">
        <v>785</v>
      </c>
      <c r="D1235" s="42" t="s">
        <v>171</v>
      </c>
      <c r="E1235" s="42" t="s">
        <v>808</v>
      </c>
      <c r="F1235" s="45">
        <v>100673988.5298062</v>
      </c>
      <c r="G1235" s="42" t="s">
        <v>763</v>
      </c>
      <c r="H1235" s="42" t="s">
        <v>121</v>
      </c>
      <c r="I1235" s="42" t="s">
        <v>885</v>
      </c>
    </row>
    <row r="1236" spans="1:9">
      <c r="A1236" s="42" t="s">
        <v>759</v>
      </c>
      <c r="B1236" s="42" t="s">
        <v>786</v>
      </c>
      <c r="C1236" s="42" t="s">
        <v>787</v>
      </c>
      <c r="D1236" s="42" t="s">
        <v>171</v>
      </c>
      <c r="E1236" s="42" t="s">
        <v>808</v>
      </c>
      <c r="F1236" s="45">
        <v>10923604826.58264</v>
      </c>
      <c r="G1236" s="42" t="s">
        <v>763</v>
      </c>
      <c r="H1236" s="42" t="s">
        <v>121</v>
      </c>
      <c r="I1236" s="42" t="s">
        <v>885</v>
      </c>
    </row>
    <row r="1237" spans="1:9">
      <c r="A1237" s="42" t="s">
        <v>759</v>
      </c>
      <c r="B1237" s="42" t="s">
        <v>301</v>
      </c>
      <c r="C1237" s="42" t="s">
        <v>832</v>
      </c>
      <c r="D1237" s="42" t="s">
        <v>171</v>
      </c>
      <c r="E1237" s="42" t="s">
        <v>808</v>
      </c>
      <c r="F1237" s="45">
        <v>2165173995.919075</v>
      </c>
      <c r="G1237" s="42" t="s">
        <v>763</v>
      </c>
      <c r="H1237" s="42" t="s">
        <v>121</v>
      </c>
      <c r="I1237" s="42" t="s">
        <v>885</v>
      </c>
    </row>
    <row r="1238" spans="1:9">
      <c r="A1238" s="42" t="s">
        <v>759</v>
      </c>
      <c r="B1238" s="42" t="s">
        <v>303</v>
      </c>
      <c r="C1238" s="42" t="s">
        <v>833</v>
      </c>
      <c r="D1238" s="42" t="s">
        <v>171</v>
      </c>
      <c r="E1238" s="42" t="s">
        <v>808</v>
      </c>
      <c r="F1238" s="45">
        <v>1584173318.008526</v>
      </c>
      <c r="G1238" s="42" t="s">
        <v>763</v>
      </c>
      <c r="H1238" s="42" t="s">
        <v>121</v>
      </c>
      <c r="I1238" s="42" t="s">
        <v>885</v>
      </c>
    </row>
    <row r="1239" spans="1:9">
      <c r="A1239" s="42" t="s">
        <v>759</v>
      </c>
      <c r="B1239" s="42" t="s">
        <v>304</v>
      </c>
      <c r="C1239" s="42" t="s">
        <v>835</v>
      </c>
      <c r="D1239" s="42" t="s">
        <v>171</v>
      </c>
      <c r="E1239" s="42" t="s">
        <v>808</v>
      </c>
      <c r="F1239" s="45">
        <v>20703447.27683493</v>
      </c>
      <c r="G1239" s="42" t="s">
        <v>763</v>
      </c>
      <c r="H1239" s="42" t="s">
        <v>121</v>
      </c>
      <c r="I1239" s="42" t="s">
        <v>885</v>
      </c>
    </row>
    <row r="1240" spans="1:9">
      <c r="A1240" s="42" t="s">
        <v>759</v>
      </c>
      <c r="B1240" s="42" t="s">
        <v>305</v>
      </c>
      <c r="C1240" s="42" t="s">
        <v>837</v>
      </c>
      <c r="D1240" s="42" t="s">
        <v>171</v>
      </c>
      <c r="E1240" s="42" t="s">
        <v>808</v>
      </c>
      <c r="F1240" s="45">
        <v>848659.1403427011</v>
      </c>
      <c r="G1240" s="42" t="s">
        <v>763</v>
      </c>
      <c r="H1240" s="42" t="s">
        <v>121</v>
      </c>
      <c r="I1240" s="42" t="s">
        <v>885</v>
      </c>
    </row>
    <row r="1241" spans="1:9">
      <c r="A1241" s="42" t="s">
        <v>759</v>
      </c>
      <c r="B1241" s="42" t="s">
        <v>306</v>
      </c>
      <c r="C1241" s="42" t="s">
        <v>857</v>
      </c>
      <c r="D1241" s="42" t="s">
        <v>171</v>
      </c>
      <c r="E1241" s="42" t="s">
        <v>808</v>
      </c>
      <c r="F1241" s="45">
        <v>2095277.086608816</v>
      </c>
      <c r="G1241" s="42" t="s">
        <v>763</v>
      </c>
      <c r="H1241" s="42" t="s">
        <v>121</v>
      </c>
      <c r="I1241" s="42" t="s">
        <v>885</v>
      </c>
    </row>
    <row r="1242" spans="1:9">
      <c r="A1242" s="42" t="s">
        <v>759</v>
      </c>
      <c r="B1242" s="42" t="s">
        <v>307</v>
      </c>
      <c r="C1242" s="42" t="s">
        <v>838</v>
      </c>
      <c r="D1242" s="42" t="s">
        <v>171</v>
      </c>
      <c r="E1242" s="42" t="s">
        <v>808</v>
      </c>
      <c r="F1242" s="45">
        <v>267783124.2267789</v>
      </c>
      <c r="G1242" s="42" t="s">
        <v>763</v>
      </c>
      <c r="H1242" s="42" t="s">
        <v>121</v>
      </c>
      <c r="I1242" s="42" t="s">
        <v>885</v>
      </c>
    </row>
    <row r="1243" spans="1:9">
      <c r="A1243" s="42" t="s">
        <v>759</v>
      </c>
      <c r="B1243" s="42" t="s">
        <v>308</v>
      </c>
      <c r="C1243" s="42" t="s">
        <v>839</v>
      </c>
      <c r="D1243" s="42" t="s">
        <v>171</v>
      </c>
      <c r="E1243" s="42" t="s">
        <v>808</v>
      </c>
      <c r="F1243" s="45">
        <v>6238838557.936624</v>
      </c>
      <c r="G1243" s="42" t="s">
        <v>763</v>
      </c>
      <c r="H1243" s="42" t="s">
        <v>121</v>
      </c>
      <c r="I1243" s="42" t="s">
        <v>885</v>
      </c>
    </row>
    <row r="1244" spans="1:9">
      <c r="A1244" s="42" t="s">
        <v>759</v>
      </c>
      <c r="B1244" s="42" t="s">
        <v>309</v>
      </c>
      <c r="C1244" s="42" t="s">
        <v>840</v>
      </c>
      <c r="D1244" s="42" t="s">
        <v>171</v>
      </c>
      <c r="E1244" s="42" t="s">
        <v>808</v>
      </c>
      <c r="F1244" s="45">
        <v>99427370.58354007</v>
      </c>
      <c r="G1244" s="42" t="s">
        <v>763</v>
      </c>
      <c r="H1244" s="42" t="s">
        <v>121</v>
      </c>
      <c r="I1244" s="42" t="s">
        <v>885</v>
      </c>
    </row>
    <row r="1245" spans="1:9">
      <c r="A1245" s="42" t="s">
        <v>759</v>
      </c>
      <c r="B1245" s="42" t="s">
        <v>310</v>
      </c>
      <c r="C1245" s="42" t="s">
        <v>841</v>
      </c>
      <c r="D1245" s="42" t="s">
        <v>171</v>
      </c>
      <c r="E1245" s="42" t="s">
        <v>808</v>
      </c>
      <c r="F1245" s="45">
        <v>7153669.137804012</v>
      </c>
      <c r="G1245" s="42" t="s">
        <v>763</v>
      </c>
      <c r="H1245" s="42" t="s">
        <v>121</v>
      </c>
      <c r="I1245" s="42" t="s">
        <v>885</v>
      </c>
    </row>
    <row r="1246" spans="1:9">
      <c r="A1246" s="42" t="s">
        <v>759</v>
      </c>
      <c r="B1246" s="42" t="s">
        <v>273</v>
      </c>
      <c r="C1246" s="42" t="s">
        <v>842</v>
      </c>
      <c r="D1246" s="42" t="s">
        <v>171</v>
      </c>
      <c r="E1246" s="42" t="s">
        <v>808</v>
      </c>
      <c r="F1246" s="45">
        <v>10386197419.31614</v>
      </c>
      <c r="G1246" s="42" t="s">
        <v>763</v>
      </c>
      <c r="H1246" s="42" t="s">
        <v>121</v>
      </c>
      <c r="I1246" s="42" t="s">
        <v>885</v>
      </c>
    </row>
    <row r="1247" spans="1:9">
      <c r="A1247" s="42" t="s">
        <v>759</v>
      </c>
      <c r="B1247" s="42" t="s">
        <v>301</v>
      </c>
      <c r="C1247" s="42" t="s">
        <v>795</v>
      </c>
      <c r="D1247" s="42" t="s">
        <v>171</v>
      </c>
      <c r="E1247" s="42" t="s">
        <v>808</v>
      </c>
      <c r="F1247" s="45">
        <v>493593581.1396593</v>
      </c>
      <c r="G1247" s="42" t="s">
        <v>763</v>
      </c>
      <c r="H1247" s="42" t="s">
        <v>121</v>
      </c>
      <c r="I1247" s="42" t="s">
        <v>885</v>
      </c>
    </row>
    <row r="1248" spans="1:9">
      <c r="A1248" s="42" t="s">
        <v>759</v>
      </c>
      <c r="B1248" s="42" t="s">
        <v>302</v>
      </c>
      <c r="C1248" s="42" t="s">
        <v>797</v>
      </c>
      <c r="D1248" s="42" t="s">
        <v>171</v>
      </c>
      <c r="E1248" s="42" t="s">
        <v>808</v>
      </c>
      <c r="F1248" s="45">
        <v>94373773.21675359</v>
      </c>
      <c r="G1248" s="42" t="s">
        <v>763</v>
      </c>
      <c r="H1248" s="42" t="s">
        <v>121</v>
      </c>
      <c r="I1248" s="42" t="s">
        <v>885</v>
      </c>
    </row>
    <row r="1249" spans="1:9">
      <c r="A1249" s="42" t="s">
        <v>759</v>
      </c>
      <c r="B1249" s="42" t="s">
        <v>304</v>
      </c>
      <c r="C1249" s="42" t="s">
        <v>796</v>
      </c>
      <c r="D1249" s="42" t="s">
        <v>171</v>
      </c>
      <c r="E1249" s="42" t="s">
        <v>808</v>
      </c>
      <c r="F1249" s="45">
        <v>25776223.38125628</v>
      </c>
      <c r="G1249" s="42" t="s">
        <v>763</v>
      </c>
      <c r="H1249" s="42" t="s">
        <v>121</v>
      </c>
      <c r="I1249" s="42" t="s">
        <v>885</v>
      </c>
    </row>
    <row r="1250" spans="1:9">
      <c r="A1250" s="42" t="s">
        <v>759</v>
      </c>
      <c r="B1250" s="42" t="s">
        <v>305</v>
      </c>
      <c r="C1250" s="42" t="s">
        <v>798</v>
      </c>
      <c r="D1250" s="42" t="s">
        <v>171</v>
      </c>
      <c r="E1250" s="42" t="s">
        <v>808</v>
      </c>
      <c r="F1250" s="45">
        <v>146947487.7583226</v>
      </c>
      <c r="G1250" s="42" t="s">
        <v>763</v>
      </c>
      <c r="H1250" s="42" t="s">
        <v>121</v>
      </c>
      <c r="I1250" s="42" t="s">
        <v>885</v>
      </c>
    </row>
    <row r="1251" spans="1:9">
      <c r="A1251" s="42" t="s">
        <v>759</v>
      </c>
      <c r="B1251" s="42" t="s">
        <v>306</v>
      </c>
      <c r="C1251" s="42" t="s">
        <v>799</v>
      </c>
      <c r="D1251" s="42" t="s">
        <v>171</v>
      </c>
      <c r="E1251" s="42" t="s">
        <v>808</v>
      </c>
      <c r="F1251" s="45">
        <v>212164785.0856753</v>
      </c>
      <c r="G1251" s="42" t="s">
        <v>763</v>
      </c>
      <c r="H1251" s="42" t="s">
        <v>121</v>
      </c>
      <c r="I1251" s="42" t="s">
        <v>885</v>
      </c>
    </row>
    <row r="1252" spans="1:9">
      <c r="A1252" s="42" t="s">
        <v>759</v>
      </c>
      <c r="B1252" s="42" t="s">
        <v>307</v>
      </c>
      <c r="C1252" s="42" t="s">
        <v>843</v>
      </c>
      <c r="D1252" s="42" t="s">
        <v>171</v>
      </c>
      <c r="E1252" s="42" t="s">
        <v>808</v>
      </c>
      <c r="F1252" s="45">
        <v>298354032.016751</v>
      </c>
      <c r="G1252" s="42" t="s">
        <v>763</v>
      </c>
      <c r="H1252" s="42" t="s">
        <v>121</v>
      </c>
      <c r="I1252" s="42" t="s">
        <v>885</v>
      </c>
    </row>
    <row r="1253" spans="1:9">
      <c r="A1253" s="42" t="s">
        <v>759</v>
      </c>
      <c r="B1253" s="42" t="s">
        <v>308</v>
      </c>
      <c r="C1253" s="42" t="s">
        <v>800</v>
      </c>
      <c r="D1253" s="42" t="s">
        <v>171</v>
      </c>
      <c r="E1253" s="42" t="s">
        <v>808</v>
      </c>
      <c r="F1253" s="45">
        <v>1109868752.245131</v>
      </c>
      <c r="G1253" s="42" t="s">
        <v>763</v>
      </c>
      <c r="H1253" s="42" t="s">
        <v>121</v>
      </c>
      <c r="I1253" s="42" t="s">
        <v>885</v>
      </c>
    </row>
    <row r="1254" spans="1:9">
      <c r="A1254" s="42" t="s">
        <v>759</v>
      </c>
      <c r="B1254" s="42" t="s">
        <v>309</v>
      </c>
      <c r="C1254" s="42" t="s">
        <v>801</v>
      </c>
      <c r="D1254" s="42" t="s">
        <v>171</v>
      </c>
      <c r="E1254" s="42" t="s">
        <v>808</v>
      </c>
      <c r="F1254" s="45">
        <v>56303979.01154994</v>
      </c>
      <c r="G1254" s="42" t="s">
        <v>763</v>
      </c>
      <c r="H1254" s="42" t="s">
        <v>121</v>
      </c>
      <c r="I1254" s="42" t="s">
        <v>885</v>
      </c>
    </row>
    <row r="1255" spans="1:9">
      <c r="A1255" s="42" t="s">
        <v>759</v>
      </c>
      <c r="B1255" s="42" t="s">
        <v>310</v>
      </c>
      <c r="C1255" s="42" t="s">
        <v>802</v>
      </c>
      <c r="D1255" s="42" t="s">
        <v>171</v>
      </c>
      <c r="E1255" s="42" t="s">
        <v>808</v>
      </c>
      <c r="F1255" s="45">
        <v>2576020913.533116</v>
      </c>
      <c r="G1255" s="42" t="s">
        <v>763</v>
      </c>
      <c r="H1255" s="42" t="s">
        <v>121</v>
      </c>
      <c r="I1255" s="42" t="s">
        <v>885</v>
      </c>
    </row>
    <row r="1256" spans="1:9">
      <c r="A1256" s="42" t="s">
        <v>759</v>
      </c>
      <c r="B1256" s="42" t="s">
        <v>284</v>
      </c>
      <c r="C1256" s="42" t="s">
        <v>803</v>
      </c>
      <c r="D1256" s="42" t="s">
        <v>171</v>
      </c>
      <c r="E1256" s="42" t="s">
        <v>808</v>
      </c>
      <c r="F1256" s="45">
        <v>5013403527.388215</v>
      </c>
      <c r="G1256" s="42" t="s">
        <v>763</v>
      </c>
      <c r="H1256" s="42" t="s">
        <v>121</v>
      </c>
      <c r="I1256" s="42" t="s">
        <v>885</v>
      </c>
    </row>
    <row r="1257" spans="1:9">
      <c r="A1257" s="42" t="s">
        <v>759</v>
      </c>
      <c r="B1257" s="42" t="s">
        <v>285</v>
      </c>
      <c r="C1257" s="42" t="s">
        <v>804</v>
      </c>
      <c r="D1257" s="42" t="s">
        <v>171</v>
      </c>
      <c r="E1257" s="42" t="s">
        <v>808</v>
      </c>
      <c r="F1257" s="45">
        <v>15399600946.70435</v>
      </c>
      <c r="G1257" s="42" t="s">
        <v>763</v>
      </c>
      <c r="H1257" s="42" t="s">
        <v>121</v>
      </c>
      <c r="I1257" s="42" t="s">
        <v>885</v>
      </c>
    </row>
    <row r="1258" spans="1:9">
      <c r="A1258" s="42" t="s">
        <v>759</v>
      </c>
      <c r="B1258" s="42" t="s">
        <v>805</v>
      </c>
      <c r="C1258" s="42" t="s">
        <v>806</v>
      </c>
      <c r="D1258" s="42" t="s">
        <v>171</v>
      </c>
      <c r="E1258" s="42" t="s">
        <v>808</v>
      </c>
      <c r="F1258" s="45">
        <v>26323205773.28699</v>
      </c>
      <c r="G1258" s="42" t="s">
        <v>763</v>
      </c>
      <c r="H1258" s="42" t="s">
        <v>121</v>
      </c>
      <c r="I1258" s="42" t="s">
        <v>885</v>
      </c>
    </row>
    <row r="1259" spans="1:9">
      <c r="A1259" s="42" t="s">
        <v>759</v>
      </c>
      <c r="B1259" s="42" t="s">
        <v>287</v>
      </c>
      <c r="C1259" s="42" t="s">
        <v>821</v>
      </c>
      <c r="D1259" s="42" t="s">
        <v>172</v>
      </c>
      <c r="E1259" s="42" t="s">
        <v>808</v>
      </c>
      <c r="F1259" s="45">
        <v>375674280.554543</v>
      </c>
      <c r="G1259" s="42" t="s">
        <v>763</v>
      </c>
      <c r="H1259" s="42" t="s">
        <v>123</v>
      </c>
      <c r="I1259" s="42" t="s">
        <v>886</v>
      </c>
    </row>
    <row r="1260" spans="1:9">
      <c r="A1260" s="42" t="s">
        <v>759</v>
      </c>
      <c r="B1260" s="42" t="s">
        <v>288</v>
      </c>
      <c r="C1260" s="42" t="s">
        <v>823</v>
      </c>
      <c r="D1260" s="42" t="s">
        <v>172</v>
      </c>
      <c r="E1260" s="42" t="s">
        <v>808</v>
      </c>
      <c r="F1260" s="45">
        <v>18581043838.82134</v>
      </c>
      <c r="G1260" s="42" t="s">
        <v>763</v>
      </c>
      <c r="H1260" s="42" t="s">
        <v>123</v>
      </c>
      <c r="I1260" s="42" t="s">
        <v>886</v>
      </c>
    </row>
    <row r="1261" spans="1:9">
      <c r="A1261" s="42" t="s">
        <v>759</v>
      </c>
      <c r="B1261" s="42" t="s">
        <v>289</v>
      </c>
      <c r="C1261" s="42" t="s">
        <v>825</v>
      </c>
      <c r="D1261" s="42" t="s">
        <v>172</v>
      </c>
      <c r="E1261" s="42" t="s">
        <v>808</v>
      </c>
      <c r="F1261" s="45">
        <v>508543265.3615513</v>
      </c>
      <c r="G1261" s="42" t="s">
        <v>763</v>
      </c>
      <c r="H1261" s="42" t="s">
        <v>123</v>
      </c>
      <c r="I1261" s="42" t="s">
        <v>886</v>
      </c>
    </row>
    <row r="1262" spans="1:9">
      <c r="A1262" s="42" t="s">
        <v>759</v>
      </c>
      <c r="B1262" s="42" t="s">
        <v>290</v>
      </c>
      <c r="C1262" s="42" t="s">
        <v>826</v>
      </c>
      <c r="D1262" s="42" t="s">
        <v>172</v>
      </c>
      <c r="E1262" s="42" t="s">
        <v>808</v>
      </c>
      <c r="F1262" s="45">
        <v>1809358692.311541</v>
      </c>
      <c r="G1262" s="42" t="s">
        <v>763</v>
      </c>
      <c r="H1262" s="42" t="s">
        <v>123</v>
      </c>
      <c r="I1262" s="42" t="s">
        <v>886</v>
      </c>
    </row>
    <row r="1263" spans="1:9">
      <c r="A1263" s="42" t="s">
        <v>759</v>
      </c>
      <c r="B1263" s="42" t="s">
        <v>291</v>
      </c>
      <c r="C1263" s="42" t="s">
        <v>827</v>
      </c>
      <c r="D1263" s="42" t="s">
        <v>172</v>
      </c>
      <c r="E1263" s="42" t="s">
        <v>808</v>
      </c>
      <c r="F1263" s="45">
        <v>16019692.51881553</v>
      </c>
      <c r="G1263" s="42" t="s">
        <v>763</v>
      </c>
      <c r="H1263" s="42" t="s">
        <v>123</v>
      </c>
      <c r="I1263" s="42" t="s">
        <v>886</v>
      </c>
    </row>
    <row r="1264" spans="1:9">
      <c r="A1264" s="42" t="s">
        <v>759</v>
      </c>
      <c r="B1264" s="42" t="s">
        <v>292</v>
      </c>
      <c r="C1264" s="42" t="s">
        <v>828</v>
      </c>
      <c r="D1264" s="42" t="s">
        <v>172</v>
      </c>
      <c r="E1264" s="42" t="s">
        <v>808</v>
      </c>
      <c r="F1264" s="45">
        <v>212186760.6311632</v>
      </c>
      <c r="G1264" s="42" t="s">
        <v>763</v>
      </c>
      <c r="H1264" s="42" t="s">
        <v>123</v>
      </c>
      <c r="I1264" s="42" t="s">
        <v>886</v>
      </c>
    </row>
    <row r="1265" spans="1:9">
      <c r="A1265" s="42" t="s">
        <v>759</v>
      </c>
      <c r="B1265" s="42" t="s">
        <v>293</v>
      </c>
      <c r="C1265" s="42" t="s">
        <v>829</v>
      </c>
      <c r="D1265" s="42" t="s">
        <v>172</v>
      </c>
      <c r="E1265" s="42" t="s">
        <v>808</v>
      </c>
      <c r="F1265" s="45">
        <v>4867582.01046856</v>
      </c>
      <c r="G1265" s="42" t="s">
        <v>763</v>
      </c>
      <c r="H1265" s="42" t="s">
        <v>123</v>
      </c>
      <c r="I1265" s="42" t="s">
        <v>886</v>
      </c>
    </row>
    <row r="1266" spans="1:9">
      <c r="A1266" s="42" t="s">
        <v>759</v>
      </c>
      <c r="B1266" s="42" t="s">
        <v>862</v>
      </c>
      <c r="C1266" s="42" t="s">
        <v>863</v>
      </c>
      <c r="D1266" s="42" t="s">
        <v>172</v>
      </c>
      <c r="E1266" s="42" t="s">
        <v>808</v>
      </c>
      <c r="F1266" s="45">
        <v>64925815.22062835</v>
      </c>
      <c r="G1266" s="42" t="s">
        <v>763</v>
      </c>
      <c r="H1266" s="42" t="s">
        <v>123</v>
      </c>
      <c r="I1266" s="42" t="s">
        <v>886</v>
      </c>
    </row>
    <row r="1267" spans="1:9">
      <c r="A1267" s="42" t="s">
        <v>759</v>
      </c>
      <c r="B1267" s="42" t="s">
        <v>239</v>
      </c>
      <c r="C1267" s="42" t="s">
        <v>830</v>
      </c>
      <c r="D1267" s="42" t="s">
        <v>172</v>
      </c>
      <c r="E1267" s="42" t="s">
        <v>808</v>
      </c>
      <c r="F1267" s="45">
        <v>21572619927.43006</v>
      </c>
      <c r="G1267" s="42" t="s">
        <v>763</v>
      </c>
      <c r="H1267" s="42" t="s">
        <v>123</v>
      </c>
      <c r="I1267" s="42" t="s">
        <v>886</v>
      </c>
    </row>
    <row r="1268" spans="1:9">
      <c r="A1268" s="42" t="s">
        <v>759</v>
      </c>
      <c r="B1268" s="42" t="s">
        <v>241</v>
      </c>
      <c r="C1268" s="42" t="s">
        <v>772</v>
      </c>
      <c r="D1268" s="42" t="s">
        <v>172</v>
      </c>
      <c r="E1268" s="42" t="s">
        <v>808</v>
      </c>
      <c r="F1268" s="45">
        <v>1894473067.402372</v>
      </c>
      <c r="G1268" s="42" t="s">
        <v>763</v>
      </c>
      <c r="H1268" s="42" t="s">
        <v>123</v>
      </c>
      <c r="I1268" s="42" t="s">
        <v>886</v>
      </c>
    </row>
    <row r="1269" spans="1:9">
      <c r="A1269" s="42" t="s">
        <v>759</v>
      </c>
      <c r="B1269" s="42" t="s">
        <v>242</v>
      </c>
      <c r="C1269" s="42" t="s">
        <v>773</v>
      </c>
      <c r="D1269" s="42" t="s">
        <v>172</v>
      </c>
      <c r="E1269" s="42" t="s">
        <v>808</v>
      </c>
      <c r="F1269" s="45">
        <v>6335273.137923394</v>
      </c>
      <c r="G1269" s="42" t="s">
        <v>763</v>
      </c>
      <c r="H1269" s="42" t="s">
        <v>123</v>
      </c>
      <c r="I1269" s="42" t="s">
        <v>886</v>
      </c>
    </row>
    <row r="1270" spans="1:9">
      <c r="A1270" s="42" t="s">
        <v>759</v>
      </c>
      <c r="B1270" s="42" t="s">
        <v>292</v>
      </c>
      <c r="C1270" s="42" t="s">
        <v>774</v>
      </c>
      <c r="D1270" s="42" t="s">
        <v>172</v>
      </c>
      <c r="E1270" s="42" t="s">
        <v>808</v>
      </c>
      <c r="F1270" s="45">
        <v>730953119.2448533</v>
      </c>
      <c r="G1270" s="42" t="s">
        <v>763</v>
      </c>
      <c r="H1270" s="42" t="s">
        <v>123</v>
      </c>
      <c r="I1270" s="42" t="s">
        <v>886</v>
      </c>
    </row>
    <row r="1271" spans="1:9">
      <c r="A1271" s="42" t="s">
        <v>759</v>
      </c>
      <c r="B1271" s="42" t="s">
        <v>293</v>
      </c>
      <c r="C1271" s="42" t="s">
        <v>775</v>
      </c>
      <c r="D1271" s="42" t="s">
        <v>172</v>
      </c>
      <c r="E1271" s="42" t="s">
        <v>808</v>
      </c>
      <c r="F1271" s="45">
        <v>1362325737.552206</v>
      </c>
      <c r="G1271" s="42" t="s">
        <v>763</v>
      </c>
      <c r="H1271" s="42" t="s">
        <v>123</v>
      </c>
      <c r="I1271" s="42" t="s">
        <v>886</v>
      </c>
    </row>
    <row r="1272" spans="1:9">
      <c r="A1272" s="42" t="s">
        <v>759</v>
      </c>
      <c r="B1272" s="42" t="s">
        <v>862</v>
      </c>
      <c r="C1272" s="42" t="s">
        <v>776</v>
      </c>
      <c r="D1272" s="42" t="s">
        <v>172</v>
      </c>
      <c r="E1272" s="42" t="s">
        <v>808</v>
      </c>
      <c r="F1272" s="45">
        <v>303207031.1364605</v>
      </c>
      <c r="G1272" s="42" t="s">
        <v>763</v>
      </c>
      <c r="H1272" s="42" t="s">
        <v>123</v>
      </c>
      <c r="I1272" s="42" t="s">
        <v>886</v>
      </c>
    </row>
    <row r="1273" spans="1:9">
      <c r="A1273" s="42" t="s">
        <v>759</v>
      </c>
      <c r="B1273" s="42" t="s">
        <v>246</v>
      </c>
      <c r="C1273" s="42" t="s">
        <v>777</v>
      </c>
      <c r="D1273" s="42" t="s">
        <v>172</v>
      </c>
      <c r="E1273" s="42" t="s">
        <v>808</v>
      </c>
      <c r="F1273" s="45">
        <v>1167860566.59829</v>
      </c>
      <c r="G1273" s="42" t="s">
        <v>763</v>
      </c>
      <c r="H1273" s="42" t="s">
        <v>123</v>
      </c>
      <c r="I1273" s="42" t="s">
        <v>886</v>
      </c>
    </row>
    <row r="1274" spans="1:9">
      <c r="A1274" s="42" t="s">
        <v>759</v>
      </c>
      <c r="B1274" s="42" t="s">
        <v>247</v>
      </c>
      <c r="C1274" s="42" t="s">
        <v>778</v>
      </c>
      <c r="D1274" s="42" t="s">
        <v>172</v>
      </c>
      <c r="E1274" s="42" t="s">
        <v>808</v>
      </c>
      <c r="F1274" s="45">
        <v>5465154795.072105</v>
      </c>
      <c r="G1274" s="42" t="s">
        <v>763</v>
      </c>
      <c r="H1274" s="42" t="s">
        <v>123</v>
      </c>
      <c r="I1274" s="42" t="s">
        <v>886</v>
      </c>
    </row>
    <row r="1275" spans="1:9">
      <c r="A1275" s="42" t="s">
        <v>759</v>
      </c>
      <c r="B1275" s="42" t="s">
        <v>248</v>
      </c>
      <c r="C1275" s="42" t="s">
        <v>779</v>
      </c>
      <c r="D1275" s="42" t="s">
        <v>172</v>
      </c>
      <c r="E1275" s="42" t="s">
        <v>808</v>
      </c>
      <c r="F1275" s="45">
        <v>27037774722.50216</v>
      </c>
      <c r="G1275" s="42" t="s">
        <v>763</v>
      </c>
      <c r="H1275" s="42" t="s">
        <v>123</v>
      </c>
      <c r="I1275" s="42" t="s">
        <v>886</v>
      </c>
    </row>
    <row r="1276" spans="1:9">
      <c r="A1276" s="42" t="s">
        <v>759</v>
      </c>
      <c r="B1276" s="42" t="s">
        <v>780</v>
      </c>
      <c r="C1276" s="42" t="s">
        <v>781</v>
      </c>
      <c r="D1276" s="42" t="s">
        <v>172</v>
      </c>
      <c r="E1276" s="42" t="s">
        <v>808</v>
      </c>
      <c r="F1276" s="45">
        <v>25505036.77337736</v>
      </c>
      <c r="G1276" s="42" t="s">
        <v>763</v>
      </c>
      <c r="H1276" s="42" t="s">
        <v>123</v>
      </c>
      <c r="I1276" s="42" t="s">
        <v>886</v>
      </c>
    </row>
    <row r="1277" spans="1:9">
      <c r="A1277" s="42" t="s">
        <v>759</v>
      </c>
      <c r="B1277" s="42" t="s">
        <v>298</v>
      </c>
      <c r="C1277" s="42" t="s">
        <v>855</v>
      </c>
      <c r="D1277" s="42" t="s">
        <v>172</v>
      </c>
      <c r="E1277" s="42" t="s">
        <v>808</v>
      </c>
      <c r="F1277" s="45">
        <v>11125723295.52358</v>
      </c>
      <c r="G1277" s="42" t="s">
        <v>763</v>
      </c>
      <c r="H1277" s="42" t="s">
        <v>123</v>
      </c>
      <c r="I1277" s="42" t="s">
        <v>886</v>
      </c>
    </row>
    <row r="1278" spans="1:9">
      <c r="A1278" s="42" t="s">
        <v>759</v>
      </c>
      <c r="B1278" s="42" t="s">
        <v>783</v>
      </c>
      <c r="C1278" s="42" t="s">
        <v>784</v>
      </c>
      <c r="D1278" s="42" t="s">
        <v>172</v>
      </c>
      <c r="E1278" s="42" t="s">
        <v>808</v>
      </c>
      <c r="F1278" s="45">
        <v>11151228332.29696</v>
      </c>
      <c r="G1278" s="42" t="s">
        <v>763</v>
      </c>
      <c r="H1278" s="42" t="s">
        <v>123</v>
      </c>
      <c r="I1278" s="42" t="s">
        <v>886</v>
      </c>
    </row>
    <row r="1279" spans="1:9">
      <c r="A1279" s="42" t="s">
        <v>759</v>
      </c>
      <c r="B1279" s="42" t="s">
        <v>261</v>
      </c>
      <c r="C1279" s="42" t="s">
        <v>785</v>
      </c>
      <c r="D1279" s="42" t="s">
        <v>172</v>
      </c>
      <c r="E1279" s="42" t="s">
        <v>808</v>
      </c>
      <c r="F1279" s="45">
        <v>146812050.5178292</v>
      </c>
      <c r="G1279" s="42" t="s">
        <v>763</v>
      </c>
      <c r="H1279" s="42" t="s">
        <v>123</v>
      </c>
      <c r="I1279" s="42" t="s">
        <v>886</v>
      </c>
    </row>
    <row r="1280" spans="1:9">
      <c r="A1280" s="42" t="s">
        <v>759</v>
      </c>
      <c r="B1280" s="42" t="s">
        <v>786</v>
      </c>
      <c r="C1280" s="42" t="s">
        <v>787</v>
      </c>
      <c r="D1280" s="42" t="s">
        <v>172</v>
      </c>
      <c r="E1280" s="42" t="s">
        <v>808</v>
      </c>
      <c r="F1280" s="45">
        <v>11298040382.81479</v>
      </c>
      <c r="G1280" s="42" t="s">
        <v>763</v>
      </c>
      <c r="H1280" s="42" t="s">
        <v>123</v>
      </c>
      <c r="I1280" s="42" t="s">
        <v>886</v>
      </c>
    </row>
    <row r="1281" spans="1:9">
      <c r="A1281" s="42" t="s">
        <v>759</v>
      </c>
      <c r="B1281" s="42" t="s">
        <v>301</v>
      </c>
      <c r="C1281" s="42" t="s">
        <v>832</v>
      </c>
      <c r="D1281" s="42" t="s">
        <v>172</v>
      </c>
      <c r="E1281" s="42" t="s">
        <v>808</v>
      </c>
      <c r="F1281" s="45">
        <v>2159691880.31439</v>
      </c>
      <c r="G1281" s="42" t="s">
        <v>763</v>
      </c>
      <c r="H1281" s="42" t="s">
        <v>123</v>
      </c>
      <c r="I1281" s="42" t="s">
        <v>886</v>
      </c>
    </row>
    <row r="1282" spans="1:9">
      <c r="A1282" s="42" t="s">
        <v>759</v>
      </c>
      <c r="B1282" s="42" t="s">
        <v>303</v>
      </c>
      <c r="C1282" s="42" t="s">
        <v>833</v>
      </c>
      <c r="D1282" s="42" t="s">
        <v>172</v>
      </c>
      <c r="E1282" s="42" t="s">
        <v>808</v>
      </c>
      <c r="F1282" s="45">
        <v>1385305252.624883</v>
      </c>
      <c r="G1282" s="42" t="s">
        <v>763</v>
      </c>
      <c r="H1282" s="42" t="s">
        <v>123</v>
      </c>
      <c r="I1282" s="42" t="s">
        <v>886</v>
      </c>
    </row>
    <row r="1283" spans="1:9">
      <c r="A1283" s="42" t="s">
        <v>759</v>
      </c>
      <c r="B1283" s="42" t="s">
        <v>304</v>
      </c>
      <c r="C1283" s="42" t="s">
        <v>835</v>
      </c>
      <c r="D1283" s="42" t="s">
        <v>172</v>
      </c>
      <c r="E1283" s="42" t="s">
        <v>808</v>
      </c>
      <c r="F1283" s="45">
        <v>15801100.22323715</v>
      </c>
      <c r="G1283" s="42" t="s">
        <v>763</v>
      </c>
      <c r="H1283" s="42" t="s">
        <v>123</v>
      </c>
      <c r="I1283" s="42" t="s">
        <v>886</v>
      </c>
    </row>
    <row r="1284" spans="1:9">
      <c r="A1284" s="42" t="s">
        <v>759</v>
      </c>
      <c r="B1284" s="42" t="s">
        <v>305</v>
      </c>
      <c r="C1284" s="42" t="s">
        <v>837</v>
      </c>
      <c r="D1284" s="42" t="s">
        <v>172</v>
      </c>
      <c r="E1284" s="42" t="s">
        <v>808</v>
      </c>
      <c r="F1284" s="45">
        <v>636259.7174870691</v>
      </c>
      <c r="G1284" s="42" t="s">
        <v>763</v>
      </c>
      <c r="H1284" s="42" t="s">
        <v>123</v>
      </c>
      <c r="I1284" s="42" t="s">
        <v>886</v>
      </c>
    </row>
    <row r="1285" spans="1:9">
      <c r="A1285" s="42" t="s">
        <v>759</v>
      </c>
      <c r="B1285" s="42" t="s">
        <v>306</v>
      </c>
      <c r="C1285" s="42" t="s">
        <v>857</v>
      </c>
      <c r="D1285" s="42" t="s">
        <v>172</v>
      </c>
      <c r="E1285" s="42" t="s">
        <v>808</v>
      </c>
      <c r="F1285" s="45">
        <v>11710.30154884176</v>
      </c>
      <c r="G1285" s="42" t="s">
        <v>763</v>
      </c>
      <c r="H1285" s="42" t="s">
        <v>123</v>
      </c>
      <c r="I1285" s="42" t="s">
        <v>886</v>
      </c>
    </row>
    <row r="1286" spans="1:9">
      <c r="A1286" s="42" t="s">
        <v>759</v>
      </c>
      <c r="B1286" s="42" t="s">
        <v>307</v>
      </c>
      <c r="C1286" s="42" t="s">
        <v>838</v>
      </c>
      <c r="D1286" s="42" t="s">
        <v>172</v>
      </c>
      <c r="E1286" s="42" t="s">
        <v>808</v>
      </c>
      <c r="F1286" s="45">
        <v>245006832.438717</v>
      </c>
      <c r="G1286" s="42" t="s">
        <v>763</v>
      </c>
      <c r="H1286" s="42" t="s">
        <v>123</v>
      </c>
      <c r="I1286" s="42" t="s">
        <v>886</v>
      </c>
    </row>
    <row r="1287" spans="1:9">
      <c r="A1287" s="42" t="s">
        <v>759</v>
      </c>
      <c r="B1287" s="42" t="s">
        <v>308</v>
      </c>
      <c r="C1287" s="42" t="s">
        <v>839</v>
      </c>
      <c r="D1287" s="42" t="s">
        <v>172</v>
      </c>
      <c r="E1287" s="42" t="s">
        <v>808</v>
      </c>
      <c r="F1287" s="45">
        <v>6306590705.996431</v>
      </c>
      <c r="G1287" s="42" t="s">
        <v>763</v>
      </c>
      <c r="H1287" s="42" t="s">
        <v>123</v>
      </c>
      <c r="I1287" s="42" t="s">
        <v>886</v>
      </c>
    </row>
    <row r="1288" spans="1:9">
      <c r="A1288" s="42" t="s">
        <v>759</v>
      </c>
      <c r="B1288" s="42" t="s">
        <v>309</v>
      </c>
      <c r="C1288" s="42" t="s">
        <v>840</v>
      </c>
      <c r="D1288" s="42" t="s">
        <v>172</v>
      </c>
      <c r="E1288" s="42" t="s">
        <v>808</v>
      </c>
      <c r="F1288" s="45">
        <v>103999188.0552637</v>
      </c>
      <c r="G1288" s="42" t="s">
        <v>763</v>
      </c>
      <c r="H1288" s="42" t="s">
        <v>123</v>
      </c>
      <c r="I1288" s="42" t="s">
        <v>886</v>
      </c>
    </row>
    <row r="1289" spans="1:9">
      <c r="A1289" s="42" t="s">
        <v>759</v>
      </c>
      <c r="B1289" s="42" t="s">
        <v>310</v>
      </c>
      <c r="C1289" s="42" t="s">
        <v>841</v>
      </c>
      <c r="D1289" s="42" t="s">
        <v>172</v>
      </c>
      <c r="E1289" s="42" t="s">
        <v>808</v>
      </c>
      <c r="F1289" s="45">
        <v>6717809.655185558</v>
      </c>
      <c r="G1289" s="42" t="s">
        <v>763</v>
      </c>
      <c r="H1289" s="42" t="s">
        <v>123</v>
      </c>
      <c r="I1289" s="42" t="s">
        <v>886</v>
      </c>
    </row>
    <row r="1290" spans="1:9">
      <c r="A1290" s="42" t="s">
        <v>759</v>
      </c>
      <c r="B1290" s="42" t="s">
        <v>273</v>
      </c>
      <c r="C1290" s="42" t="s">
        <v>842</v>
      </c>
      <c r="D1290" s="42" t="s">
        <v>172</v>
      </c>
      <c r="E1290" s="42" t="s">
        <v>808</v>
      </c>
      <c r="F1290" s="45">
        <v>10223760739.32714</v>
      </c>
      <c r="G1290" s="42" t="s">
        <v>763</v>
      </c>
      <c r="H1290" s="42" t="s">
        <v>123</v>
      </c>
      <c r="I1290" s="42" t="s">
        <v>886</v>
      </c>
    </row>
    <row r="1291" spans="1:9">
      <c r="A1291" s="42" t="s">
        <v>759</v>
      </c>
      <c r="B1291" s="42" t="s">
        <v>301</v>
      </c>
      <c r="C1291" s="42" t="s">
        <v>795</v>
      </c>
      <c r="D1291" s="42" t="s">
        <v>172</v>
      </c>
      <c r="E1291" s="42" t="s">
        <v>808</v>
      </c>
      <c r="F1291" s="45">
        <v>495622899.3193292</v>
      </c>
      <c r="G1291" s="42" t="s">
        <v>763</v>
      </c>
      <c r="H1291" s="42" t="s">
        <v>123</v>
      </c>
      <c r="I1291" s="42" t="s">
        <v>886</v>
      </c>
    </row>
    <row r="1292" spans="1:9">
      <c r="A1292" s="42" t="s">
        <v>759</v>
      </c>
      <c r="B1292" s="42" t="s">
        <v>302</v>
      </c>
      <c r="C1292" s="42" t="s">
        <v>797</v>
      </c>
      <c r="D1292" s="42" t="s">
        <v>172</v>
      </c>
      <c r="E1292" s="42" t="s">
        <v>808</v>
      </c>
      <c r="F1292" s="45">
        <v>166032558.7933281</v>
      </c>
      <c r="G1292" s="42" t="s">
        <v>763</v>
      </c>
      <c r="H1292" s="42" t="s">
        <v>123</v>
      </c>
      <c r="I1292" s="42" t="s">
        <v>886</v>
      </c>
    </row>
    <row r="1293" spans="1:9">
      <c r="A1293" s="42" t="s">
        <v>759</v>
      </c>
      <c r="B1293" s="42" t="s">
        <v>304</v>
      </c>
      <c r="C1293" s="42" t="s">
        <v>796</v>
      </c>
      <c r="D1293" s="42" t="s">
        <v>172</v>
      </c>
      <c r="E1293" s="42" t="s">
        <v>808</v>
      </c>
      <c r="F1293" s="45">
        <v>30903485.78739341</v>
      </c>
      <c r="G1293" s="42" t="s">
        <v>763</v>
      </c>
      <c r="H1293" s="42" t="s">
        <v>123</v>
      </c>
      <c r="I1293" s="42" t="s">
        <v>886</v>
      </c>
    </row>
    <row r="1294" spans="1:9">
      <c r="A1294" s="42" t="s">
        <v>759</v>
      </c>
      <c r="B1294" s="42" t="s">
        <v>305</v>
      </c>
      <c r="C1294" s="42" t="s">
        <v>798</v>
      </c>
      <c r="D1294" s="42" t="s">
        <v>172</v>
      </c>
      <c r="E1294" s="42" t="s">
        <v>808</v>
      </c>
      <c r="F1294" s="45">
        <v>179651639.4946311</v>
      </c>
      <c r="G1294" s="42" t="s">
        <v>763</v>
      </c>
      <c r="H1294" s="42" t="s">
        <v>123</v>
      </c>
      <c r="I1294" s="42" t="s">
        <v>886</v>
      </c>
    </row>
    <row r="1295" spans="1:9">
      <c r="A1295" s="42" t="s">
        <v>759</v>
      </c>
      <c r="B1295" s="42" t="s">
        <v>306</v>
      </c>
      <c r="C1295" s="42" t="s">
        <v>799</v>
      </c>
      <c r="D1295" s="42" t="s">
        <v>172</v>
      </c>
      <c r="E1295" s="42" t="s">
        <v>808</v>
      </c>
      <c r="F1295" s="45">
        <v>218541550.9383346</v>
      </c>
      <c r="G1295" s="42" t="s">
        <v>763</v>
      </c>
      <c r="H1295" s="42" t="s">
        <v>123</v>
      </c>
      <c r="I1295" s="42" t="s">
        <v>886</v>
      </c>
    </row>
    <row r="1296" spans="1:9">
      <c r="A1296" s="42" t="s">
        <v>759</v>
      </c>
      <c r="B1296" s="42" t="s">
        <v>307</v>
      </c>
      <c r="C1296" s="42" t="s">
        <v>843</v>
      </c>
      <c r="D1296" s="42" t="s">
        <v>172</v>
      </c>
      <c r="E1296" s="42" t="s">
        <v>808</v>
      </c>
      <c r="F1296" s="45">
        <v>291176648.0119505</v>
      </c>
      <c r="G1296" s="42" t="s">
        <v>763</v>
      </c>
      <c r="H1296" s="42" t="s">
        <v>123</v>
      </c>
      <c r="I1296" s="42" t="s">
        <v>886</v>
      </c>
    </row>
    <row r="1297" spans="1:9">
      <c r="A1297" s="42" t="s">
        <v>759</v>
      </c>
      <c r="B1297" s="42" t="s">
        <v>308</v>
      </c>
      <c r="C1297" s="42" t="s">
        <v>800</v>
      </c>
      <c r="D1297" s="42" t="s">
        <v>172</v>
      </c>
      <c r="E1297" s="42" t="s">
        <v>808</v>
      </c>
      <c r="F1297" s="45">
        <v>1484959918.805526</v>
      </c>
      <c r="G1297" s="42" t="s">
        <v>763</v>
      </c>
      <c r="H1297" s="42" t="s">
        <v>123</v>
      </c>
      <c r="I1297" s="42" t="s">
        <v>886</v>
      </c>
    </row>
    <row r="1298" spans="1:9">
      <c r="A1298" s="42" t="s">
        <v>759</v>
      </c>
      <c r="B1298" s="42" t="s">
        <v>309</v>
      </c>
      <c r="C1298" s="42" t="s">
        <v>801</v>
      </c>
      <c r="D1298" s="42" t="s">
        <v>172</v>
      </c>
      <c r="E1298" s="42" t="s">
        <v>808</v>
      </c>
      <c r="F1298" s="45">
        <v>91086628.88074085</v>
      </c>
      <c r="G1298" s="42" t="s">
        <v>763</v>
      </c>
      <c r="H1298" s="42" t="s">
        <v>123</v>
      </c>
      <c r="I1298" s="42" t="s">
        <v>886</v>
      </c>
    </row>
    <row r="1299" spans="1:9">
      <c r="A1299" s="42" t="s">
        <v>759</v>
      </c>
      <c r="B1299" s="42" t="s">
        <v>310</v>
      </c>
      <c r="C1299" s="42" t="s">
        <v>802</v>
      </c>
      <c r="D1299" s="42" t="s">
        <v>172</v>
      </c>
      <c r="E1299" s="42" t="s">
        <v>808</v>
      </c>
      <c r="F1299" s="45">
        <v>2557998270.328995</v>
      </c>
      <c r="G1299" s="42" t="s">
        <v>763</v>
      </c>
      <c r="H1299" s="42" t="s">
        <v>123</v>
      </c>
      <c r="I1299" s="42" t="s">
        <v>886</v>
      </c>
    </row>
    <row r="1300" spans="1:9">
      <c r="A1300" s="42" t="s">
        <v>759</v>
      </c>
      <c r="B1300" s="42" t="s">
        <v>284</v>
      </c>
      <c r="C1300" s="42" t="s">
        <v>803</v>
      </c>
      <c r="D1300" s="42" t="s">
        <v>172</v>
      </c>
      <c r="E1300" s="42" t="s">
        <v>808</v>
      </c>
      <c r="F1300" s="45">
        <v>5515973600.360229</v>
      </c>
      <c r="G1300" s="42" t="s">
        <v>763</v>
      </c>
      <c r="H1300" s="42" t="s">
        <v>123</v>
      </c>
      <c r="I1300" s="42" t="s">
        <v>886</v>
      </c>
    </row>
    <row r="1301" spans="1:9">
      <c r="A1301" s="42" t="s">
        <v>759</v>
      </c>
      <c r="B1301" s="42" t="s">
        <v>285</v>
      </c>
      <c r="C1301" s="42" t="s">
        <v>804</v>
      </c>
      <c r="D1301" s="42" t="s">
        <v>172</v>
      </c>
      <c r="E1301" s="42" t="s">
        <v>808</v>
      </c>
      <c r="F1301" s="45">
        <v>15739734339.68737</v>
      </c>
      <c r="G1301" s="42" t="s">
        <v>763</v>
      </c>
      <c r="H1301" s="42" t="s">
        <v>123</v>
      </c>
      <c r="I1301" s="42" t="s">
        <v>886</v>
      </c>
    </row>
    <row r="1302" spans="1:9">
      <c r="A1302" s="42" t="s">
        <v>759</v>
      </c>
      <c r="B1302" s="42" t="s">
        <v>805</v>
      </c>
      <c r="C1302" s="42" t="s">
        <v>806</v>
      </c>
      <c r="D1302" s="42" t="s">
        <v>172</v>
      </c>
      <c r="E1302" s="42" t="s">
        <v>808</v>
      </c>
      <c r="F1302" s="45">
        <v>27037774722.50216</v>
      </c>
      <c r="G1302" s="42" t="s">
        <v>763</v>
      </c>
      <c r="H1302" s="42" t="s">
        <v>123</v>
      </c>
      <c r="I1302" s="42" t="s">
        <v>886</v>
      </c>
    </row>
    <row r="1303" spans="1:9">
      <c r="A1303" s="42" t="s">
        <v>759</v>
      </c>
      <c r="B1303" s="42" t="s">
        <v>287</v>
      </c>
      <c r="C1303" s="42" t="s">
        <v>821</v>
      </c>
      <c r="D1303" s="42" t="s">
        <v>173</v>
      </c>
      <c r="E1303" s="42" t="s">
        <v>808</v>
      </c>
      <c r="F1303" s="45">
        <v>370750114.8640838</v>
      </c>
      <c r="G1303" s="42" t="s">
        <v>763</v>
      </c>
      <c r="H1303" s="42" t="s">
        <v>125</v>
      </c>
      <c r="I1303" s="42" t="s">
        <v>887</v>
      </c>
    </row>
    <row r="1304" spans="1:9">
      <c r="A1304" s="42" t="s">
        <v>759</v>
      </c>
      <c r="B1304" s="42" t="s">
        <v>288</v>
      </c>
      <c r="C1304" s="42" t="s">
        <v>823</v>
      </c>
      <c r="D1304" s="42" t="s">
        <v>173</v>
      </c>
      <c r="E1304" s="42" t="s">
        <v>808</v>
      </c>
      <c r="F1304" s="45">
        <v>18640831372.20165</v>
      </c>
      <c r="G1304" s="42" t="s">
        <v>763</v>
      </c>
      <c r="H1304" s="42" t="s">
        <v>125</v>
      </c>
      <c r="I1304" s="42" t="s">
        <v>887</v>
      </c>
    </row>
    <row r="1305" spans="1:9">
      <c r="A1305" s="42" t="s">
        <v>759</v>
      </c>
      <c r="B1305" s="42" t="s">
        <v>289</v>
      </c>
      <c r="C1305" s="42" t="s">
        <v>825</v>
      </c>
      <c r="D1305" s="42" t="s">
        <v>173</v>
      </c>
      <c r="E1305" s="42" t="s">
        <v>808</v>
      </c>
      <c r="F1305" s="45">
        <v>503332483.7023776</v>
      </c>
      <c r="G1305" s="42" t="s">
        <v>763</v>
      </c>
      <c r="H1305" s="42" t="s">
        <v>125</v>
      </c>
      <c r="I1305" s="42" t="s">
        <v>887</v>
      </c>
    </row>
    <row r="1306" spans="1:9">
      <c r="A1306" s="42" t="s">
        <v>759</v>
      </c>
      <c r="B1306" s="42" t="s">
        <v>290</v>
      </c>
      <c r="C1306" s="42" t="s">
        <v>826</v>
      </c>
      <c r="D1306" s="42" t="s">
        <v>173</v>
      </c>
      <c r="E1306" s="42" t="s">
        <v>808</v>
      </c>
      <c r="F1306" s="45">
        <v>1835541174.872569</v>
      </c>
      <c r="G1306" s="42" t="s">
        <v>763</v>
      </c>
      <c r="H1306" s="42" t="s">
        <v>125</v>
      </c>
      <c r="I1306" s="42" t="s">
        <v>887</v>
      </c>
    </row>
    <row r="1307" spans="1:9">
      <c r="A1307" s="42" t="s">
        <v>759</v>
      </c>
      <c r="B1307" s="42" t="s">
        <v>291</v>
      </c>
      <c r="C1307" s="42" t="s">
        <v>827</v>
      </c>
      <c r="D1307" s="42" t="s">
        <v>173</v>
      </c>
      <c r="E1307" s="42" t="s">
        <v>808</v>
      </c>
      <c r="F1307" s="45">
        <v>16972394.43358624</v>
      </c>
      <c r="G1307" s="42" t="s">
        <v>763</v>
      </c>
      <c r="H1307" s="42" t="s">
        <v>125</v>
      </c>
      <c r="I1307" s="42" t="s">
        <v>887</v>
      </c>
    </row>
    <row r="1308" spans="1:9">
      <c r="A1308" s="42" t="s">
        <v>759</v>
      </c>
      <c r="B1308" s="42" t="s">
        <v>292</v>
      </c>
      <c r="C1308" s="42" t="s">
        <v>828</v>
      </c>
      <c r="D1308" s="42" t="s">
        <v>173</v>
      </c>
      <c r="E1308" s="42" t="s">
        <v>808</v>
      </c>
      <c r="F1308" s="45">
        <v>202563142.1163832</v>
      </c>
      <c r="G1308" s="42" t="s">
        <v>763</v>
      </c>
      <c r="H1308" s="42" t="s">
        <v>125</v>
      </c>
      <c r="I1308" s="42" t="s">
        <v>887</v>
      </c>
    </row>
    <row r="1309" spans="1:9">
      <c r="A1309" s="42" t="s">
        <v>759</v>
      </c>
      <c r="B1309" s="42" t="s">
        <v>293</v>
      </c>
      <c r="C1309" s="42" t="s">
        <v>829</v>
      </c>
      <c r="D1309" s="42" t="s">
        <v>173</v>
      </c>
      <c r="E1309" s="42" t="s">
        <v>808</v>
      </c>
      <c r="F1309" s="45">
        <v>3245352.647122364</v>
      </c>
      <c r="G1309" s="42" t="s">
        <v>763</v>
      </c>
      <c r="H1309" s="42" t="s">
        <v>125</v>
      </c>
      <c r="I1309" s="42" t="s">
        <v>887</v>
      </c>
    </row>
    <row r="1310" spans="1:9">
      <c r="A1310" s="42" t="s">
        <v>759</v>
      </c>
      <c r="B1310" s="42" t="s">
        <v>862</v>
      </c>
      <c r="C1310" s="42" t="s">
        <v>863</v>
      </c>
      <c r="D1310" s="42" t="s">
        <v>173</v>
      </c>
      <c r="E1310" s="42" t="s">
        <v>808</v>
      </c>
      <c r="F1310" s="45">
        <v>10727376.04748634</v>
      </c>
      <c r="G1310" s="42" t="s">
        <v>763</v>
      </c>
      <c r="H1310" s="42" t="s">
        <v>125</v>
      </c>
      <c r="I1310" s="42" t="s">
        <v>887</v>
      </c>
    </row>
    <row r="1311" spans="1:9">
      <c r="A1311" s="42" t="s">
        <v>759</v>
      </c>
      <c r="B1311" s="42" t="s">
        <v>239</v>
      </c>
      <c r="C1311" s="42" t="s">
        <v>830</v>
      </c>
      <c r="D1311" s="42" t="s">
        <v>173</v>
      </c>
      <c r="E1311" s="42" t="s">
        <v>808</v>
      </c>
      <c r="F1311" s="45">
        <v>21583963410.88526</v>
      </c>
      <c r="G1311" s="42" t="s">
        <v>763</v>
      </c>
      <c r="H1311" s="42" t="s">
        <v>125</v>
      </c>
      <c r="I1311" s="42" t="s">
        <v>887</v>
      </c>
    </row>
    <row r="1312" spans="1:9">
      <c r="A1312" s="42" t="s">
        <v>759</v>
      </c>
      <c r="B1312" s="42" t="s">
        <v>241</v>
      </c>
      <c r="C1312" s="42" t="s">
        <v>772</v>
      </c>
      <c r="D1312" s="42" t="s">
        <v>173</v>
      </c>
      <c r="E1312" s="42" t="s">
        <v>808</v>
      </c>
      <c r="F1312" s="45">
        <v>1761338014.963804</v>
      </c>
      <c r="G1312" s="42" t="s">
        <v>763</v>
      </c>
      <c r="H1312" s="42" t="s">
        <v>125</v>
      </c>
      <c r="I1312" s="42" t="s">
        <v>887</v>
      </c>
    </row>
    <row r="1313" spans="1:9">
      <c r="A1313" s="42" t="s">
        <v>759</v>
      </c>
      <c r="B1313" s="42" t="s">
        <v>242</v>
      </c>
      <c r="C1313" s="42" t="s">
        <v>773</v>
      </c>
      <c r="D1313" s="42" t="s">
        <v>173</v>
      </c>
      <c r="E1313" s="42" t="s">
        <v>808</v>
      </c>
      <c r="F1313" s="45">
        <v>7799130.921341598</v>
      </c>
      <c r="G1313" s="42" t="s">
        <v>763</v>
      </c>
      <c r="H1313" s="42" t="s">
        <v>125</v>
      </c>
      <c r="I1313" s="42" t="s">
        <v>887</v>
      </c>
    </row>
    <row r="1314" spans="1:9">
      <c r="A1314" s="42" t="s">
        <v>759</v>
      </c>
      <c r="B1314" s="42" t="s">
        <v>292</v>
      </c>
      <c r="C1314" s="42" t="s">
        <v>774</v>
      </c>
      <c r="D1314" s="42" t="s">
        <v>173</v>
      </c>
      <c r="E1314" s="42" t="s">
        <v>808</v>
      </c>
      <c r="F1314" s="45">
        <v>483423273.6691067</v>
      </c>
      <c r="G1314" s="42" t="s">
        <v>763</v>
      </c>
      <c r="H1314" s="42" t="s">
        <v>125</v>
      </c>
      <c r="I1314" s="42" t="s">
        <v>887</v>
      </c>
    </row>
    <row r="1315" spans="1:9">
      <c r="A1315" s="42" t="s">
        <v>759</v>
      </c>
      <c r="B1315" s="42" t="s">
        <v>293</v>
      </c>
      <c r="C1315" s="42" t="s">
        <v>775</v>
      </c>
      <c r="D1315" s="42" t="s">
        <v>173</v>
      </c>
      <c r="E1315" s="42" t="s">
        <v>808</v>
      </c>
      <c r="F1315" s="45">
        <v>1490165375.335721</v>
      </c>
      <c r="G1315" s="42" t="s">
        <v>763</v>
      </c>
      <c r="H1315" s="42" t="s">
        <v>125</v>
      </c>
      <c r="I1315" s="42" t="s">
        <v>887</v>
      </c>
    </row>
    <row r="1316" spans="1:9">
      <c r="A1316" s="42" t="s">
        <v>759</v>
      </c>
      <c r="B1316" s="42" t="s">
        <v>862</v>
      </c>
      <c r="C1316" s="42" t="s">
        <v>776</v>
      </c>
      <c r="D1316" s="42" t="s">
        <v>173</v>
      </c>
      <c r="E1316" s="42" t="s">
        <v>808</v>
      </c>
      <c r="F1316" s="45">
        <v>181296940.4392891</v>
      </c>
      <c r="G1316" s="42" t="s">
        <v>763</v>
      </c>
      <c r="H1316" s="42" t="s">
        <v>125</v>
      </c>
      <c r="I1316" s="42" t="s">
        <v>887</v>
      </c>
    </row>
    <row r="1317" spans="1:9">
      <c r="A1317" s="42" t="s">
        <v>759</v>
      </c>
      <c r="B1317" s="42" t="s">
        <v>246</v>
      </c>
      <c r="C1317" s="42" t="s">
        <v>777</v>
      </c>
      <c r="D1317" s="42" t="s">
        <v>173</v>
      </c>
      <c r="E1317" s="42" t="s">
        <v>808</v>
      </c>
      <c r="F1317" s="45">
        <v>1293441582.524548</v>
      </c>
      <c r="G1317" s="42" t="s">
        <v>763</v>
      </c>
      <c r="H1317" s="42" t="s">
        <v>125</v>
      </c>
      <c r="I1317" s="42" t="s">
        <v>887</v>
      </c>
    </row>
    <row r="1318" spans="1:9">
      <c r="A1318" s="42" t="s">
        <v>759</v>
      </c>
      <c r="B1318" s="42" t="s">
        <v>247</v>
      </c>
      <c r="C1318" s="42" t="s">
        <v>778</v>
      </c>
      <c r="D1318" s="42" t="s">
        <v>173</v>
      </c>
      <c r="E1318" s="42" t="s">
        <v>808</v>
      </c>
      <c r="F1318" s="45">
        <v>5217464317.853811</v>
      </c>
      <c r="G1318" s="42" t="s">
        <v>763</v>
      </c>
      <c r="H1318" s="42" t="s">
        <v>125</v>
      </c>
      <c r="I1318" s="42" t="s">
        <v>887</v>
      </c>
    </row>
    <row r="1319" spans="1:9">
      <c r="A1319" s="42" t="s">
        <v>759</v>
      </c>
      <c r="B1319" s="42" t="s">
        <v>248</v>
      </c>
      <c r="C1319" s="42" t="s">
        <v>779</v>
      </c>
      <c r="D1319" s="42" t="s">
        <v>173</v>
      </c>
      <c r="E1319" s="42" t="s">
        <v>808</v>
      </c>
      <c r="F1319" s="45">
        <v>26801427728.73907</v>
      </c>
      <c r="G1319" s="42" t="s">
        <v>763</v>
      </c>
      <c r="H1319" s="42" t="s">
        <v>125</v>
      </c>
      <c r="I1319" s="42" t="s">
        <v>887</v>
      </c>
    </row>
    <row r="1320" spans="1:9">
      <c r="A1320" s="42" t="s">
        <v>759</v>
      </c>
      <c r="B1320" s="42" t="s">
        <v>780</v>
      </c>
      <c r="C1320" s="42" t="s">
        <v>781</v>
      </c>
      <c r="D1320" s="42" t="s">
        <v>173</v>
      </c>
      <c r="E1320" s="42" t="s">
        <v>808</v>
      </c>
      <c r="F1320" s="45">
        <v>13769894.15416356</v>
      </c>
      <c r="G1320" s="42" t="s">
        <v>763</v>
      </c>
      <c r="H1320" s="42" t="s">
        <v>125</v>
      </c>
      <c r="I1320" s="42" t="s">
        <v>887</v>
      </c>
    </row>
    <row r="1321" spans="1:9">
      <c r="A1321" s="42" t="s">
        <v>759</v>
      </c>
      <c r="B1321" s="42" t="s">
        <v>298</v>
      </c>
      <c r="C1321" s="42" t="s">
        <v>855</v>
      </c>
      <c r="D1321" s="42" t="s">
        <v>173</v>
      </c>
      <c r="E1321" s="42" t="s">
        <v>808</v>
      </c>
      <c r="F1321" s="45">
        <v>10950208359.52467</v>
      </c>
      <c r="G1321" s="42" t="s">
        <v>763</v>
      </c>
      <c r="H1321" s="42" t="s">
        <v>125</v>
      </c>
      <c r="I1321" s="42" t="s">
        <v>887</v>
      </c>
    </row>
    <row r="1322" spans="1:9">
      <c r="A1322" s="42" t="s">
        <v>759</v>
      </c>
      <c r="B1322" s="42" t="s">
        <v>783</v>
      </c>
      <c r="C1322" s="42" t="s">
        <v>784</v>
      </c>
      <c r="D1322" s="42" t="s">
        <v>173</v>
      </c>
      <c r="E1322" s="42" t="s">
        <v>808</v>
      </c>
      <c r="F1322" s="45">
        <v>10963978253.67883</v>
      </c>
      <c r="G1322" s="42" t="s">
        <v>763</v>
      </c>
      <c r="H1322" s="42" t="s">
        <v>125</v>
      </c>
      <c r="I1322" s="42" t="s">
        <v>887</v>
      </c>
    </row>
    <row r="1323" spans="1:9">
      <c r="A1323" s="42" t="s">
        <v>759</v>
      </c>
      <c r="B1323" s="42" t="s">
        <v>261</v>
      </c>
      <c r="C1323" s="42" t="s">
        <v>785</v>
      </c>
      <c r="D1323" s="42" t="s">
        <v>173</v>
      </c>
      <c r="E1323" s="42" t="s">
        <v>808</v>
      </c>
      <c r="F1323" s="45">
        <v>136207679.1456867</v>
      </c>
      <c r="G1323" s="42" t="s">
        <v>763</v>
      </c>
      <c r="H1323" s="42" t="s">
        <v>125</v>
      </c>
      <c r="I1323" s="42" t="s">
        <v>887</v>
      </c>
    </row>
    <row r="1324" spans="1:9">
      <c r="A1324" s="42" t="s">
        <v>759</v>
      </c>
      <c r="B1324" s="42" t="s">
        <v>786</v>
      </c>
      <c r="C1324" s="42" t="s">
        <v>787</v>
      </c>
      <c r="D1324" s="42" t="s">
        <v>173</v>
      </c>
      <c r="E1324" s="42" t="s">
        <v>808</v>
      </c>
      <c r="F1324" s="45">
        <v>11100185932.82452</v>
      </c>
      <c r="G1324" s="42" t="s">
        <v>763</v>
      </c>
      <c r="H1324" s="42" t="s">
        <v>125</v>
      </c>
      <c r="I1324" s="42" t="s">
        <v>887</v>
      </c>
    </row>
    <row r="1325" spans="1:9">
      <c r="A1325" s="42" t="s">
        <v>759</v>
      </c>
      <c r="B1325" s="42" t="s">
        <v>301</v>
      </c>
      <c r="C1325" s="42" t="s">
        <v>832</v>
      </c>
      <c r="D1325" s="42" t="s">
        <v>173</v>
      </c>
      <c r="E1325" s="42" t="s">
        <v>808</v>
      </c>
      <c r="F1325" s="45">
        <v>2178865774.408858</v>
      </c>
      <c r="G1325" s="42" t="s">
        <v>763</v>
      </c>
      <c r="H1325" s="42" t="s">
        <v>125</v>
      </c>
      <c r="I1325" s="42" t="s">
        <v>887</v>
      </c>
    </row>
    <row r="1326" spans="1:9">
      <c r="A1326" s="42" t="s">
        <v>759</v>
      </c>
      <c r="B1326" s="42" t="s">
        <v>303</v>
      </c>
      <c r="C1326" s="42" t="s">
        <v>833</v>
      </c>
      <c r="D1326" s="42" t="s">
        <v>173</v>
      </c>
      <c r="E1326" s="42" t="s">
        <v>808</v>
      </c>
      <c r="F1326" s="45">
        <v>1035030377.997429</v>
      </c>
      <c r="G1326" s="42" t="s">
        <v>763</v>
      </c>
      <c r="H1326" s="42" t="s">
        <v>125</v>
      </c>
      <c r="I1326" s="42" t="s">
        <v>887</v>
      </c>
    </row>
    <row r="1327" spans="1:9">
      <c r="A1327" s="42" t="s">
        <v>759</v>
      </c>
      <c r="B1327" s="42" t="s">
        <v>304</v>
      </c>
      <c r="C1327" s="42" t="s">
        <v>835</v>
      </c>
      <c r="D1327" s="42" t="s">
        <v>173</v>
      </c>
      <c r="E1327" s="42" t="s">
        <v>808</v>
      </c>
      <c r="F1327" s="45">
        <v>10793083.01129251</v>
      </c>
      <c r="G1327" s="42" t="s">
        <v>763</v>
      </c>
      <c r="H1327" s="42" t="s">
        <v>125</v>
      </c>
      <c r="I1327" s="42" t="s">
        <v>887</v>
      </c>
    </row>
    <row r="1328" spans="1:9">
      <c r="A1328" s="42" t="s">
        <v>759</v>
      </c>
      <c r="B1328" s="42" t="s">
        <v>305</v>
      </c>
      <c r="C1328" s="42" t="s">
        <v>837</v>
      </c>
      <c r="D1328" s="42" t="s">
        <v>173</v>
      </c>
      <c r="E1328" s="42" t="s">
        <v>808</v>
      </c>
      <c r="F1328" s="45">
        <v>462805.5711565344</v>
      </c>
      <c r="G1328" s="42" t="s">
        <v>763</v>
      </c>
      <c r="H1328" s="42" t="s">
        <v>125</v>
      </c>
      <c r="I1328" s="42" t="s">
        <v>887</v>
      </c>
    </row>
    <row r="1329" spans="1:9">
      <c r="A1329" s="42" t="s">
        <v>759</v>
      </c>
      <c r="B1329" s="42" t="s">
        <v>306</v>
      </c>
      <c r="C1329" s="42" t="s">
        <v>857</v>
      </c>
      <c r="D1329" s="42" t="s">
        <v>173</v>
      </c>
      <c r="E1329" s="42" t="s">
        <v>808</v>
      </c>
      <c r="F1329" s="45">
        <v>1217007.242670887</v>
      </c>
      <c r="G1329" s="42" t="s">
        <v>763</v>
      </c>
      <c r="H1329" s="42" t="s">
        <v>125</v>
      </c>
      <c r="I1329" s="42" t="s">
        <v>887</v>
      </c>
    </row>
    <row r="1330" spans="1:9">
      <c r="A1330" s="42" t="s">
        <v>759</v>
      </c>
      <c r="B1330" s="42" t="s">
        <v>307</v>
      </c>
      <c r="C1330" s="42" t="s">
        <v>838</v>
      </c>
      <c r="D1330" s="42" t="s">
        <v>173</v>
      </c>
      <c r="E1330" s="42" t="s">
        <v>808</v>
      </c>
      <c r="F1330" s="45">
        <v>244635596.7239281</v>
      </c>
      <c r="G1330" s="42" t="s">
        <v>763</v>
      </c>
      <c r="H1330" s="42" t="s">
        <v>125</v>
      </c>
      <c r="I1330" s="42" t="s">
        <v>887</v>
      </c>
    </row>
    <row r="1331" spans="1:9">
      <c r="A1331" s="42" t="s">
        <v>759</v>
      </c>
      <c r="B1331" s="42" t="s">
        <v>308</v>
      </c>
      <c r="C1331" s="42" t="s">
        <v>839</v>
      </c>
      <c r="D1331" s="42" t="s">
        <v>173</v>
      </c>
      <c r="E1331" s="42" t="s">
        <v>808</v>
      </c>
      <c r="F1331" s="45">
        <v>6596119261.961427</v>
      </c>
      <c r="G1331" s="42" t="s">
        <v>763</v>
      </c>
      <c r="H1331" s="42" t="s">
        <v>125</v>
      </c>
      <c r="I1331" s="42" t="s">
        <v>887</v>
      </c>
    </row>
    <row r="1332" spans="1:9">
      <c r="A1332" s="42" t="s">
        <v>759</v>
      </c>
      <c r="B1332" s="42" t="s">
        <v>309</v>
      </c>
      <c r="C1332" s="42" t="s">
        <v>840</v>
      </c>
      <c r="D1332" s="42" t="s">
        <v>173</v>
      </c>
      <c r="E1332" s="42" t="s">
        <v>808</v>
      </c>
      <c r="F1332" s="45">
        <v>107556586.1016813</v>
      </c>
      <c r="G1332" s="42" t="s">
        <v>763</v>
      </c>
      <c r="H1332" s="42" t="s">
        <v>125</v>
      </c>
      <c r="I1332" s="42" t="s">
        <v>887</v>
      </c>
    </row>
    <row r="1333" spans="1:9">
      <c r="A1333" s="42" t="s">
        <v>759</v>
      </c>
      <c r="B1333" s="42" t="s">
        <v>310</v>
      </c>
      <c r="C1333" s="42" t="s">
        <v>841</v>
      </c>
      <c r="D1333" s="42" t="s">
        <v>173</v>
      </c>
      <c r="E1333" s="42" t="s">
        <v>808</v>
      </c>
      <c r="F1333" s="45">
        <v>5250843.455467347</v>
      </c>
      <c r="G1333" s="42" t="s">
        <v>763</v>
      </c>
      <c r="H1333" s="42" t="s">
        <v>125</v>
      </c>
      <c r="I1333" s="42" t="s">
        <v>887</v>
      </c>
    </row>
    <row r="1334" spans="1:9">
      <c r="A1334" s="42" t="s">
        <v>759</v>
      </c>
      <c r="B1334" s="42" t="s">
        <v>273</v>
      </c>
      <c r="C1334" s="42" t="s">
        <v>842</v>
      </c>
      <c r="D1334" s="42" t="s">
        <v>173</v>
      </c>
      <c r="E1334" s="42" t="s">
        <v>808</v>
      </c>
      <c r="F1334" s="45">
        <v>10179931336.47391</v>
      </c>
      <c r="G1334" s="42" t="s">
        <v>763</v>
      </c>
      <c r="H1334" s="42" t="s">
        <v>125</v>
      </c>
      <c r="I1334" s="42" t="s">
        <v>887</v>
      </c>
    </row>
    <row r="1335" spans="1:9">
      <c r="A1335" s="42" t="s">
        <v>759</v>
      </c>
      <c r="B1335" s="42" t="s">
        <v>301</v>
      </c>
      <c r="C1335" s="42" t="s">
        <v>795</v>
      </c>
      <c r="D1335" s="42" t="s">
        <v>173</v>
      </c>
      <c r="E1335" s="42" t="s">
        <v>808</v>
      </c>
      <c r="F1335" s="45">
        <v>191704352.1412845</v>
      </c>
      <c r="G1335" s="42" t="s">
        <v>763</v>
      </c>
      <c r="H1335" s="42" t="s">
        <v>125</v>
      </c>
      <c r="I1335" s="42" t="s">
        <v>887</v>
      </c>
    </row>
    <row r="1336" spans="1:9">
      <c r="A1336" s="42" t="s">
        <v>759</v>
      </c>
      <c r="B1336" s="42" t="s">
        <v>302</v>
      </c>
      <c r="C1336" s="42" t="s">
        <v>797</v>
      </c>
      <c r="D1336" s="42" t="s">
        <v>173</v>
      </c>
      <c r="E1336" s="42" t="s">
        <v>808</v>
      </c>
      <c r="F1336" s="45">
        <v>137793216.7505749</v>
      </c>
      <c r="G1336" s="42" t="s">
        <v>763</v>
      </c>
      <c r="H1336" s="42" t="s">
        <v>125</v>
      </c>
      <c r="I1336" s="42" t="s">
        <v>887</v>
      </c>
    </row>
    <row r="1337" spans="1:9">
      <c r="A1337" s="42" t="s">
        <v>759</v>
      </c>
      <c r="B1337" s="42" t="s">
        <v>304</v>
      </c>
      <c r="C1337" s="42" t="s">
        <v>796</v>
      </c>
      <c r="D1337" s="42" t="s">
        <v>173</v>
      </c>
      <c r="E1337" s="42" t="s">
        <v>808</v>
      </c>
      <c r="F1337" s="45">
        <v>26854150.42513224</v>
      </c>
      <c r="G1337" s="42" t="s">
        <v>763</v>
      </c>
      <c r="H1337" s="42" t="s">
        <v>125</v>
      </c>
      <c r="I1337" s="42" t="s">
        <v>887</v>
      </c>
    </row>
    <row r="1338" spans="1:9">
      <c r="A1338" s="42" t="s">
        <v>759</v>
      </c>
      <c r="B1338" s="42" t="s">
        <v>305</v>
      </c>
      <c r="C1338" s="42" t="s">
        <v>798</v>
      </c>
      <c r="D1338" s="42" t="s">
        <v>173</v>
      </c>
      <c r="E1338" s="42" t="s">
        <v>808</v>
      </c>
      <c r="F1338" s="45">
        <v>158728026.7841248</v>
      </c>
      <c r="G1338" s="42" t="s">
        <v>763</v>
      </c>
      <c r="H1338" s="42" t="s">
        <v>125</v>
      </c>
      <c r="I1338" s="42" t="s">
        <v>887</v>
      </c>
    </row>
    <row r="1339" spans="1:9">
      <c r="A1339" s="42" t="s">
        <v>759</v>
      </c>
      <c r="B1339" s="42" t="s">
        <v>306</v>
      </c>
      <c r="C1339" s="42" t="s">
        <v>799</v>
      </c>
      <c r="D1339" s="42" t="s">
        <v>173</v>
      </c>
      <c r="E1339" s="42" t="s">
        <v>808</v>
      </c>
      <c r="F1339" s="45">
        <v>251109161.071093</v>
      </c>
      <c r="G1339" s="42" t="s">
        <v>763</v>
      </c>
      <c r="H1339" s="42" t="s">
        <v>125</v>
      </c>
      <c r="I1339" s="42" t="s">
        <v>887</v>
      </c>
    </row>
    <row r="1340" spans="1:9">
      <c r="A1340" s="42" t="s">
        <v>759</v>
      </c>
      <c r="B1340" s="42" t="s">
        <v>307</v>
      </c>
      <c r="C1340" s="42" t="s">
        <v>843</v>
      </c>
      <c r="D1340" s="42" t="s">
        <v>173</v>
      </c>
      <c r="E1340" s="42" t="s">
        <v>808</v>
      </c>
      <c r="F1340" s="45">
        <v>290001969.9953218</v>
      </c>
      <c r="G1340" s="42" t="s">
        <v>763</v>
      </c>
      <c r="H1340" s="42" t="s">
        <v>125</v>
      </c>
      <c r="I1340" s="42" t="s">
        <v>887</v>
      </c>
    </row>
    <row r="1341" spans="1:9">
      <c r="A1341" s="42" t="s">
        <v>759</v>
      </c>
      <c r="B1341" s="42" t="s">
        <v>308</v>
      </c>
      <c r="C1341" s="42" t="s">
        <v>800</v>
      </c>
      <c r="D1341" s="42" t="s">
        <v>173</v>
      </c>
      <c r="E1341" s="42" t="s">
        <v>808</v>
      </c>
      <c r="F1341" s="45">
        <v>1543045197.077125</v>
      </c>
      <c r="G1341" s="42" t="s">
        <v>763</v>
      </c>
      <c r="H1341" s="42" t="s">
        <v>125</v>
      </c>
      <c r="I1341" s="42" t="s">
        <v>887</v>
      </c>
    </row>
    <row r="1342" spans="1:9">
      <c r="A1342" s="42" t="s">
        <v>759</v>
      </c>
      <c r="B1342" s="42" t="s">
        <v>309</v>
      </c>
      <c r="C1342" s="42" t="s">
        <v>801</v>
      </c>
      <c r="D1342" s="42" t="s">
        <v>173</v>
      </c>
      <c r="E1342" s="42" t="s">
        <v>808</v>
      </c>
      <c r="F1342" s="45">
        <v>115429994.460369</v>
      </c>
      <c r="G1342" s="42" t="s">
        <v>763</v>
      </c>
      <c r="H1342" s="42" t="s">
        <v>125</v>
      </c>
      <c r="I1342" s="42" t="s">
        <v>887</v>
      </c>
    </row>
    <row r="1343" spans="1:9">
      <c r="A1343" s="42" t="s">
        <v>759</v>
      </c>
      <c r="B1343" s="42" t="s">
        <v>310</v>
      </c>
      <c r="C1343" s="42" t="s">
        <v>802</v>
      </c>
      <c r="D1343" s="42" t="s">
        <v>173</v>
      </c>
      <c r="E1343" s="42" t="s">
        <v>808</v>
      </c>
      <c r="F1343" s="45">
        <v>2806644390.735617</v>
      </c>
      <c r="G1343" s="42" t="s">
        <v>763</v>
      </c>
      <c r="H1343" s="42" t="s">
        <v>125</v>
      </c>
      <c r="I1343" s="42" t="s">
        <v>887</v>
      </c>
    </row>
    <row r="1344" spans="1:9">
      <c r="A1344" s="42" t="s">
        <v>759</v>
      </c>
      <c r="B1344" s="42" t="s">
        <v>284</v>
      </c>
      <c r="C1344" s="42" t="s">
        <v>803</v>
      </c>
      <c r="D1344" s="42" t="s">
        <v>173</v>
      </c>
      <c r="E1344" s="42" t="s">
        <v>808</v>
      </c>
      <c r="F1344" s="45">
        <v>5521310459.440642</v>
      </c>
      <c r="G1344" s="42" t="s">
        <v>763</v>
      </c>
      <c r="H1344" s="42" t="s">
        <v>125</v>
      </c>
      <c r="I1344" s="42" t="s">
        <v>887</v>
      </c>
    </row>
    <row r="1345" spans="1:9">
      <c r="A1345" s="42" t="s">
        <v>759</v>
      </c>
      <c r="B1345" s="42" t="s">
        <v>285</v>
      </c>
      <c r="C1345" s="42" t="s">
        <v>804</v>
      </c>
      <c r="D1345" s="42" t="s">
        <v>173</v>
      </c>
      <c r="E1345" s="42" t="s">
        <v>808</v>
      </c>
      <c r="F1345" s="45">
        <v>15701241795.91455</v>
      </c>
      <c r="G1345" s="42" t="s">
        <v>763</v>
      </c>
      <c r="H1345" s="42" t="s">
        <v>125</v>
      </c>
      <c r="I1345" s="42" t="s">
        <v>887</v>
      </c>
    </row>
    <row r="1346" spans="1:9">
      <c r="A1346" s="42" t="s">
        <v>759</v>
      </c>
      <c r="B1346" s="42" t="s">
        <v>805</v>
      </c>
      <c r="C1346" s="42" t="s">
        <v>806</v>
      </c>
      <c r="D1346" s="42" t="s">
        <v>173</v>
      </c>
      <c r="E1346" s="42" t="s">
        <v>808</v>
      </c>
      <c r="F1346" s="45">
        <v>26801427728.73907</v>
      </c>
      <c r="G1346" s="42" t="s">
        <v>763</v>
      </c>
      <c r="H1346" s="42" t="s">
        <v>125</v>
      </c>
      <c r="I1346" s="42" t="s">
        <v>887</v>
      </c>
    </row>
    <row r="1347" spans="1:9">
      <c r="A1347" s="42" t="s">
        <v>759</v>
      </c>
      <c r="B1347" s="42" t="s">
        <v>287</v>
      </c>
      <c r="C1347" s="42" t="s">
        <v>821</v>
      </c>
      <c r="D1347" s="42" t="s">
        <v>174</v>
      </c>
      <c r="E1347" s="42" t="s">
        <v>808</v>
      </c>
      <c r="F1347" s="45">
        <v>367000000</v>
      </c>
      <c r="G1347" s="42" t="s">
        <v>763</v>
      </c>
      <c r="H1347" s="42" t="s">
        <v>149</v>
      </c>
      <c r="I1347" s="42" t="s">
        <v>871</v>
      </c>
    </row>
    <row r="1348" spans="1:9">
      <c r="A1348" s="42" t="s">
        <v>759</v>
      </c>
      <c r="B1348" s="42" t="s">
        <v>288</v>
      </c>
      <c r="C1348" s="42" t="s">
        <v>823</v>
      </c>
      <c r="D1348" s="42" t="s">
        <v>174</v>
      </c>
      <c r="E1348" s="42" t="s">
        <v>808</v>
      </c>
      <c r="F1348" s="45">
        <v>17712000000</v>
      </c>
      <c r="G1348" s="42" t="s">
        <v>763</v>
      </c>
      <c r="H1348" s="42" t="s">
        <v>149</v>
      </c>
      <c r="I1348" s="42" t="s">
        <v>871</v>
      </c>
    </row>
    <row r="1349" spans="1:9">
      <c r="A1349" s="42" t="s">
        <v>759</v>
      </c>
      <c r="B1349" s="42" t="s">
        <v>289</v>
      </c>
      <c r="C1349" s="42" t="s">
        <v>825</v>
      </c>
      <c r="D1349" s="42" t="s">
        <v>174</v>
      </c>
      <c r="E1349" s="42" t="s">
        <v>808</v>
      </c>
      <c r="F1349" s="45">
        <v>631000000</v>
      </c>
      <c r="G1349" s="42" t="s">
        <v>763</v>
      </c>
      <c r="H1349" s="42" t="s">
        <v>149</v>
      </c>
      <c r="I1349" s="42" t="s">
        <v>871</v>
      </c>
    </row>
    <row r="1350" spans="1:9">
      <c r="A1350" s="42" t="s">
        <v>759</v>
      </c>
      <c r="B1350" s="42" t="s">
        <v>290</v>
      </c>
      <c r="C1350" s="42" t="s">
        <v>826</v>
      </c>
      <c r="D1350" s="42" t="s">
        <v>174</v>
      </c>
      <c r="E1350" s="42" t="s">
        <v>808</v>
      </c>
      <c r="F1350" s="45">
        <v>1676000000</v>
      </c>
      <c r="G1350" s="42" t="s">
        <v>763</v>
      </c>
      <c r="H1350" s="42" t="s">
        <v>149</v>
      </c>
      <c r="I1350" s="42" t="s">
        <v>871</v>
      </c>
    </row>
    <row r="1351" spans="1:9">
      <c r="A1351" s="42" t="s">
        <v>759</v>
      </c>
      <c r="B1351" s="42" t="s">
        <v>291</v>
      </c>
      <c r="C1351" s="42" t="s">
        <v>827</v>
      </c>
      <c r="D1351" s="42" t="s">
        <v>174</v>
      </c>
      <c r="E1351" s="42" t="s">
        <v>808</v>
      </c>
      <c r="F1351" s="45">
        <v>18000000</v>
      </c>
      <c r="G1351" s="42" t="s">
        <v>763</v>
      </c>
      <c r="H1351" s="42" t="s">
        <v>149</v>
      </c>
      <c r="I1351" s="42" t="s">
        <v>871</v>
      </c>
    </row>
    <row r="1352" spans="1:9">
      <c r="A1352" s="42" t="s">
        <v>759</v>
      </c>
      <c r="B1352" s="42" t="s">
        <v>292</v>
      </c>
      <c r="C1352" s="42" t="s">
        <v>828</v>
      </c>
      <c r="D1352" s="42" t="s">
        <v>174</v>
      </c>
      <c r="E1352" s="42" t="s">
        <v>808</v>
      </c>
      <c r="F1352" s="45">
        <v>158000000</v>
      </c>
      <c r="G1352" s="42" t="s">
        <v>763</v>
      </c>
      <c r="H1352" s="42" t="s">
        <v>149</v>
      </c>
      <c r="I1352" s="42" t="s">
        <v>871</v>
      </c>
    </row>
    <row r="1353" spans="1:9">
      <c r="A1353" s="42" t="s">
        <v>759</v>
      </c>
      <c r="B1353" s="42" t="s">
        <v>293</v>
      </c>
      <c r="C1353" s="42" t="s">
        <v>829</v>
      </c>
      <c r="D1353" s="42" t="s">
        <v>174</v>
      </c>
      <c r="E1353" s="42" t="s">
        <v>808</v>
      </c>
      <c r="F1353" s="45">
        <v>31000000</v>
      </c>
      <c r="G1353" s="42" t="s">
        <v>763</v>
      </c>
      <c r="H1353" s="42" t="s">
        <v>149</v>
      </c>
      <c r="I1353" s="42" t="s">
        <v>871</v>
      </c>
    </row>
    <row r="1354" spans="1:9">
      <c r="A1354" s="42" t="s">
        <v>759</v>
      </c>
      <c r="B1354" s="42" t="s">
        <v>862</v>
      </c>
      <c r="C1354" s="42" t="s">
        <v>863</v>
      </c>
      <c r="D1354" s="42" t="s">
        <v>174</v>
      </c>
      <c r="E1354" s="42" t="s">
        <v>808</v>
      </c>
      <c r="F1354" s="45">
        <v>8000000</v>
      </c>
      <c r="G1354" s="42" t="s">
        <v>763</v>
      </c>
      <c r="H1354" s="42" t="s">
        <v>149</v>
      </c>
      <c r="I1354" s="42" t="s">
        <v>871</v>
      </c>
    </row>
    <row r="1355" spans="1:9">
      <c r="A1355" s="42" t="s">
        <v>759</v>
      </c>
      <c r="B1355" s="42" t="s">
        <v>239</v>
      </c>
      <c r="C1355" s="42" t="s">
        <v>830</v>
      </c>
      <c r="D1355" s="42" t="s">
        <v>174</v>
      </c>
      <c r="E1355" s="42" t="s">
        <v>808</v>
      </c>
      <c r="F1355" s="45">
        <v>20601000000</v>
      </c>
      <c r="G1355" s="42" t="s">
        <v>763</v>
      </c>
      <c r="H1355" s="42" t="s">
        <v>149</v>
      </c>
      <c r="I1355" s="42" t="s">
        <v>871</v>
      </c>
    </row>
    <row r="1356" spans="1:9">
      <c r="A1356" s="42" t="s">
        <v>759</v>
      </c>
      <c r="B1356" s="42" t="s">
        <v>241</v>
      </c>
      <c r="C1356" s="42" t="s">
        <v>772</v>
      </c>
      <c r="D1356" s="42" t="s">
        <v>174</v>
      </c>
      <c r="E1356" s="42" t="s">
        <v>808</v>
      </c>
      <c r="F1356" s="45">
        <v>1683000000</v>
      </c>
      <c r="G1356" s="42" t="s">
        <v>763</v>
      </c>
      <c r="H1356" s="42" t="s">
        <v>149</v>
      </c>
      <c r="I1356" s="42" t="s">
        <v>871</v>
      </c>
    </row>
    <row r="1357" spans="1:9">
      <c r="A1357" s="42" t="s">
        <v>759</v>
      </c>
      <c r="B1357" s="42" t="s">
        <v>242</v>
      </c>
      <c r="C1357" s="42" t="s">
        <v>773</v>
      </c>
      <c r="D1357" s="42" t="s">
        <v>174</v>
      </c>
      <c r="E1357" s="42" t="s">
        <v>808</v>
      </c>
      <c r="F1357" s="45">
        <v>10000000</v>
      </c>
      <c r="G1357" s="42" t="s">
        <v>763</v>
      </c>
      <c r="H1357" s="42" t="s">
        <v>149</v>
      </c>
      <c r="I1357" s="42" t="s">
        <v>871</v>
      </c>
    </row>
    <row r="1358" spans="1:9">
      <c r="A1358" s="42" t="s">
        <v>759</v>
      </c>
      <c r="B1358" s="42" t="s">
        <v>292</v>
      </c>
      <c r="C1358" s="42" t="s">
        <v>774</v>
      </c>
      <c r="D1358" s="42" t="s">
        <v>174</v>
      </c>
      <c r="E1358" s="42" t="s">
        <v>808</v>
      </c>
      <c r="F1358" s="45">
        <v>381000000</v>
      </c>
      <c r="G1358" s="42" t="s">
        <v>763</v>
      </c>
      <c r="H1358" s="42" t="s">
        <v>149</v>
      </c>
      <c r="I1358" s="42" t="s">
        <v>871</v>
      </c>
    </row>
    <row r="1359" spans="1:9">
      <c r="A1359" s="42" t="s">
        <v>759</v>
      </c>
      <c r="B1359" s="42" t="s">
        <v>293</v>
      </c>
      <c r="C1359" s="42" t="s">
        <v>775</v>
      </c>
      <c r="D1359" s="42" t="s">
        <v>174</v>
      </c>
      <c r="E1359" s="42" t="s">
        <v>808</v>
      </c>
      <c r="F1359" s="45">
        <v>973000000</v>
      </c>
      <c r="G1359" s="42" t="s">
        <v>763</v>
      </c>
      <c r="H1359" s="42" t="s">
        <v>149</v>
      </c>
      <c r="I1359" s="42" t="s">
        <v>871</v>
      </c>
    </row>
    <row r="1360" spans="1:9">
      <c r="A1360" s="42" t="s">
        <v>759</v>
      </c>
      <c r="B1360" s="42" t="s">
        <v>862</v>
      </c>
      <c r="C1360" s="42" t="s">
        <v>776</v>
      </c>
      <c r="D1360" s="42" t="s">
        <v>174</v>
      </c>
      <c r="E1360" s="42" t="s">
        <v>808</v>
      </c>
      <c r="F1360" s="45">
        <v>264000000</v>
      </c>
      <c r="G1360" s="42" t="s">
        <v>763</v>
      </c>
      <c r="H1360" s="42" t="s">
        <v>149</v>
      </c>
      <c r="I1360" s="42" t="s">
        <v>871</v>
      </c>
    </row>
    <row r="1361" spans="1:9">
      <c r="A1361" s="42" t="s">
        <v>759</v>
      </c>
      <c r="B1361" s="42" t="s">
        <v>246</v>
      </c>
      <c r="C1361" s="42" t="s">
        <v>777</v>
      </c>
      <c r="D1361" s="42" t="s">
        <v>174</v>
      </c>
      <c r="E1361" s="42" t="s">
        <v>808</v>
      </c>
      <c r="F1361" s="45">
        <v>1123000000</v>
      </c>
      <c r="G1361" s="42" t="s">
        <v>763</v>
      </c>
      <c r="H1361" s="42" t="s">
        <v>149</v>
      </c>
      <c r="I1361" s="42" t="s">
        <v>871</v>
      </c>
    </row>
    <row r="1362" spans="1:9">
      <c r="A1362" s="42" t="s">
        <v>759</v>
      </c>
      <c r="B1362" s="42" t="s">
        <v>247</v>
      </c>
      <c r="C1362" s="42" t="s">
        <v>778</v>
      </c>
      <c r="D1362" s="42" t="s">
        <v>174</v>
      </c>
      <c r="E1362" s="42" t="s">
        <v>808</v>
      </c>
      <c r="F1362" s="45">
        <v>4434000000</v>
      </c>
      <c r="G1362" s="42" t="s">
        <v>763</v>
      </c>
      <c r="H1362" s="42" t="s">
        <v>149</v>
      </c>
      <c r="I1362" s="42" t="s">
        <v>871</v>
      </c>
    </row>
    <row r="1363" spans="1:9">
      <c r="A1363" s="42" t="s">
        <v>759</v>
      </c>
      <c r="B1363" s="42" t="s">
        <v>248</v>
      </c>
      <c r="C1363" s="42" t="s">
        <v>779</v>
      </c>
      <c r="D1363" s="42" t="s">
        <v>174</v>
      </c>
      <c r="E1363" s="42" t="s">
        <v>808</v>
      </c>
      <c r="F1363" s="45">
        <v>25035000000</v>
      </c>
      <c r="G1363" s="42" t="s">
        <v>763</v>
      </c>
      <c r="H1363" s="42" t="s">
        <v>149</v>
      </c>
      <c r="I1363" s="42" t="s">
        <v>871</v>
      </c>
    </row>
    <row r="1364" spans="1:9">
      <c r="A1364" s="42" t="s">
        <v>759</v>
      </c>
      <c r="B1364" s="42" t="s">
        <v>297</v>
      </c>
      <c r="C1364" s="42" t="s">
        <v>781</v>
      </c>
      <c r="D1364" s="42" t="s">
        <v>174</v>
      </c>
      <c r="E1364" s="42" t="s">
        <v>808</v>
      </c>
      <c r="F1364" s="45">
        <v>4504000000</v>
      </c>
      <c r="G1364" s="42" t="s">
        <v>763</v>
      </c>
      <c r="H1364" s="42" t="s">
        <v>139</v>
      </c>
      <c r="I1364" s="42" t="s">
        <v>868</v>
      </c>
    </row>
    <row r="1365" spans="1:9">
      <c r="A1365" s="42" t="s">
        <v>759</v>
      </c>
      <c r="B1365" s="42" t="s">
        <v>249</v>
      </c>
      <c r="C1365" s="42" t="s">
        <v>872</v>
      </c>
      <c r="D1365" s="42" t="s">
        <v>174</v>
      </c>
      <c r="E1365" s="42" t="s">
        <v>808</v>
      </c>
      <c r="F1365" s="45">
        <v>3919000000</v>
      </c>
      <c r="G1365" s="42" t="s">
        <v>763</v>
      </c>
      <c r="H1365" s="42" t="s">
        <v>149</v>
      </c>
      <c r="I1365" s="42" t="s">
        <v>871</v>
      </c>
    </row>
    <row r="1366" spans="1:9">
      <c r="A1366" s="42" t="s">
        <v>759</v>
      </c>
      <c r="B1366" s="42" t="s">
        <v>250</v>
      </c>
      <c r="C1366" s="42" t="s">
        <v>873</v>
      </c>
      <c r="D1366" s="42" t="s">
        <v>174</v>
      </c>
      <c r="E1366" s="42" t="s">
        <v>808</v>
      </c>
      <c r="F1366" s="45">
        <v>14000000</v>
      </c>
      <c r="G1366" s="42" t="s">
        <v>763</v>
      </c>
      <c r="H1366" s="42" t="s">
        <v>149</v>
      </c>
      <c r="I1366" s="42" t="s">
        <v>871</v>
      </c>
    </row>
    <row r="1367" spans="1:9">
      <c r="A1367" s="42" t="s">
        <v>759</v>
      </c>
      <c r="B1367" s="42" t="s">
        <v>298</v>
      </c>
      <c r="C1367" s="42" t="s">
        <v>855</v>
      </c>
      <c r="D1367" s="42" t="s">
        <v>174</v>
      </c>
      <c r="E1367" s="42" t="s">
        <v>808</v>
      </c>
      <c r="F1367" s="45">
        <v>4445000000</v>
      </c>
      <c r="G1367" s="42" t="s">
        <v>763</v>
      </c>
      <c r="H1367" s="42" t="s">
        <v>139</v>
      </c>
      <c r="I1367" s="42" t="s">
        <v>868</v>
      </c>
    </row>
    <row r="1368" spans="1:9">
      <c r="A1368" s="42" t="s">
        <v>759</v>
      </c>
      <c r="B1368" s="42" t="s">
        <v>251</v>
      </c>
      <c r="C1368" s="42" t="s">
        <v>874</v>
      </c>
      <c r="D1368" s="42" t="s">
        <v>174</v>
      </c>
      <c r="E1368" s="42" t="s">
        <v>808</v>
      </c>
      <c r="F1368" s="45">
        <v>1000000</v>
      </c>
      <c r="G1368" s="42" t="s">
        <v>763</v>
      </c>
      <c r="H1368" s="42" t="s">
        <v>149</v>
      </c>
      <c r="I1368" s="42" t="s">
        <v>871</v>
      </c>
    </row>
    <row r="1369" spans="1:9">
      <c r="A1369" s="42" t="s">
        <v>759</v>
      </c>
      <c r="B1369" s="42" t="s">
        <v>252</v>
      </c>
      <c r="C1369" s="42" t="s">
        <v>875</v>
      </c>
      <c r="D1369" s="42" t="s">
        <v>174</v>
      </c>
      <c r="E1369" s="42" t="s">
        <v>808</v>
      </c>
      <c r="F1369" s="45">
        <v>-30000000</v>
      </c>
      <c r="G1369" s="42" t="s">
        <v>763</v>
      </c>
      <c r="H1369" s="42" t="s">
        <v>149</v>
      </c>
      <c r="I1369" s="42" t="s">
        <v>871</v>
      </c>
    </row>
    <row r="1370" spans="1:9">
      <c r="A1370" s="42" t="s">
        <v>759</v>
      </c>
      <c r="B1370" s="42" t="s">
        <v>253</v>
      </c>
      <c r="C1370" s="42" t="s">
        <v>876</v>
      </c>
      <c r="D1370" s="42" t="s">
        <v>174</v>
      </c>
      <c r="E1370" s="42" t="s">
        <v>808</v>
      </c>
      <c r="F1370" s="45">
        <v>-40000000</v>
      </c>
      <c r="G1370" s="42" t="s">
        <v>763</v>
      </c>
      <c r="H1370" s="42" t="s">
        <v>149</v>
      </c>
      <c r="I1370" s="42" t="s">
        <v>871</v>
      </c>
    </row>
    <row r="1371" spans="1:9">
      <c r="A1371" s="42" t="s">
        <v>759</v>
      </c>
      <c r="B1371" s="42" t="s">
        <v>254</v>
      </c>
      <c r="C1371" s="42" t="s">
        <v>877</v>
      </c>
      <c r="D1371" s="42" t="s">
        <v>174</v>
      </c>
      <c r="E1371" s="42" t="s">
        <v>808</v>
      </c>
      <c r="F1371" s="45">
        <v>640000000</v>
      </c>
      <c r="G1371" s="42" t="s">
        <v>763</v>
      </c>
      <c r="H1371" s="42" t="s">
        <v>149</v>
      </c>
      <c r="I1371" s="42" t="s">
        <v>871</v>
      </c>
    </row>
    <row r="1372" spans="1:9">
      <c r="A1372" s="42" t="s">
        <v>759</v>
      </c>
      <c r="B1372" s="42" t="s">
        <v>255</v>
      </c>
      <c r="C1372" s="42" t="s">
        <v>878</v>
      </c>
      <c r="D1372" s="42" t="s">
        <v>174</v>
      </c>
      <c r="E1372" s="42" t="s">
        <v>808</v>
      </c>
      <c r="F1372" s="45">
        <v>787000000</v>
      </c>
      <c r="G1372" s="42" t="s">
        <v>763</v>
      </c>
      <c r="H1372" s="42" t="s">
        <v>149</v>
      </c>
      <c r="I1372" s="42" t="s">
        <v>871</v>
      </c>
    </row>
    <row r="1373" spans="1:9">
      <c r="A1373" s="42" t="s">
        <v>759</v>
      </c>
      <c r="B1373" s="42" t="s">
        <v>300</v>
      </c>
      <c r="C1373" s="42" t="s">
        <v>879</v>
      </c>
      <c r="D1373" s="42" t="s">
        <v>174</v>
      </c>
      <c r="E1373" s="42" t="s">
        <v>808</v>
      </c>
      <c r="F1373" s="45">
        <v>226000000</v>
      </c>
      <c r="G1373" s="42" t="s">
        <v>763</v>
      </c>
      <c r="H1373" s="42" t="s">
        <v>149</v>
      </c>
      <c r="I1373" s="42" t="s">
        <v>871</v>
      </c>
    </row>
    <row r="1374" spans="1:9">
      <c r="A1374" s="42" t="s">
        <v>759</v>
      </c>
      <c r="B1374" s="42" t="s">
        <v>256</v>
      </c>
      <c r="C1374" s="42" t="s">
        <v>880</v>
      </c>
      <c r="D1374" s="42" t="s">
        <v>174</v>
      </c>
      <c r="E1374" s="42" t="s">
        <v>808</v>
      </c>
      <c r="F1374" s="45">
        <v>5325000000</v>
      </c>
      <c r="G1374" s="42" t="s">
        <v>763</v>
      </c>
      <c r="H1374" s="42" t="s">
        <v>149</v>
      </c>
      <c r="I1374" s="42" t="s">
        <v>871</v>
      </c>
    </row>
    <row r="1375" spans="1:9">
      <c r="A1375" s="42" t="s">
        <v>759</v>
      </c>
      <c r="B1375" s="42" t="s">
        <v>257</v>
      </c>
      <c r="C1375" s="42" t="s">
        <v>881</v>
      </c>
      <c r="D1375" s="42" t="s">
        <v>174</v>
      </c>
      <c r="E1375" s="42" t="s">
        <v>808</v>
      </c>
      <c r="F1375" s="45">
        <v>35000000</v>
      </c>
      <c r="G1375" s="42" t="s">
        <v>763</v>
      </c>
      <c r="H1375" s="42" t="s">
        <v>149</v>
      </c>
      <c r="I1375" s="42" t="s">
        <v>871</v>
      </c>
    </row>
    <row r="1376" spans="1:9">
      <c r="A1376" s="42" t="s">
        <v>759</v>
      </c>
      <c r="B1376" s="42" t="s">
        <v>258</v>
      </c>
      <c r="C1376" s="42" t="s">
        <v>882</v>
      </c>
      <c r="D1376" s="42" t="s">
        <v>174</v>
      </c>
      <c r="E1376" s="42" t="s">
        <v>808</v>
      </c>
      <c r="F1376" s="45">
        <v>-684000000</v>
      </c>
      <c r="G1376" s="42" t="s">
        <v>763</v>
      </c>
      <c r="H1376" s="42" t="s">
        <v>149</v>
      </c>
      <c r="I1376" s="42" t="s">
        <v>871</v>
      </c>
    </row>
    <row r="1377" spans="1:9">
      <c r="A1377" s="42" t="s">
        <v>759</v>
      </c>
      <c r="B1377" s="42" t="s">
        <v>259</v>
      </c>
      <c r="C1377" s="42" t="s">
        <v>883</v>
      </c>
      <c r="D1377" s="42" t="s">
        <v>174</v>
      </c>
      <c r="E1377" s="42" t="s">
        <v>808</v>
      </c>
      <c r="F1377" s="45">
        <v>-1244000000</v>
      </c>
      <c r="G1377" s="42" t="s">
        <v>763</v>
      </c>
      <c r="H1377" s="42" t="s">
        <v>149</v>
      </c>
      <c r="I1377" s="42" t="s">
        <v>871</v>
      </c>
    </row>
    <row r="1378" spans="1:9">
      <c r="A1378" s="42" t="s">
        <v>759</v>
      </c>
      <c r="B1378" s="42" t="s">
        <v>260</v>
      </c>
      <c r="C1378" s="42" t="s">
        <v>784</v>
      </c>
      <c r="D1378" s="42" t="s">
        <v>174</v>
      </c>
      <c r="E1378" s="42" t="s">
        <v>808</v>
      </c>
      <c r="F1378" s="45">
        <v>8949000000</v>
      </c>
      <c r="G1378" s="42" t="s">
        <v>763</v>
      </c>
      <c r="H1378" s="42" t="s">
        <v>149</v>
      </c>
      <c r="I1378" s="42" t="s">
        <v>871</v>
      </c>
    </row>
    <row r="1379" spans="1:9">
      <c r="A1379" s="42" t="s">
        <v>759</v>
      </c>
      <c r="B1379" s="42" t="s">
        <v>261</v>
      </c>
      <c r="C1379" s="42" t="s">
        <v>785</v>
      </c>
      <c r="D1379" s="42" t="s">
        <v>174</v>
      </c>
      <c r="E1379" s="42" t="s">
        <v>808</v>
      </c>
      <c r="F1379" s="45">
        <v>102000000</v>
      </c>
      <c r="G1379" s="42" t="s">
        <v>763</v>
      </c>
      <c r="H1379" s="42" t="s">
        <v>149</v>
      </c>
      <c r="I1379" s="42" t="s">
        <v>871</v>
      </c>
    </row>
    <row r="1380" spans="1:9">
      <c r="A1380" s="42" t="s">
        <v>759</v>
      </c>
      <c r="B1380" s="42" t="s">
        <v>305</v>
      </c>
      <c r="C1380" s="42" t="s">
        <v>837</v>
      </c>
      <c r="D1380" s="42" t="s">
        <v>174</v>
      </c>
      <c r="E1380" s="42" t="s">
        <v>808</v>
      </c>
      <c r="F1380" s="45">
        <v>178222.6279591612</v>
      </c>
      <c r="G1380" s="42" t="s">
        <v>763</v>
      </c>
      <c r="H1380" s="42" t="s">
        <v>137</v>
      </c>
      <c r="I1380" s="42" t="s">
        <v>884</v>
      </c>
    </row>
    <row r="1381" spans="1:9">
      <c r="A1381" s="42" t="s">
        <v>759</v>
      </c>
      <c r="B1381" s="42" t="s">
        <v>306</v>
      </c>
      <c r="C1381" s="42" t="s">
        <v>857</v>
      </c>
      <c r="D1381" s="42" t="s">
        <v>174</v>
      </c>
      <c r="E1381" s="42" t="s">
        <v>808</v>
      </c>
      <c r="F1381" s="45">
        <v>457933.1412839559</v>
      </c>
      <c r="G1381" s="42" t="s">
        <v>763</v>
      </c>
      <c r="H1381" s="42" t="s">
        <v>137</v>
      </c>
      <c r="I1381" s="42" t="s">
        <v>884</v>
      </c>
    </row>
    <row r="1382" spans="1:9">
      <c r="A1382" s="42" t="s">
        <v>759</v>
      </c>
      <c r="B1382" s="42" t="s">
        <v>262</v>
      </c>
      <c r="C1382" s="42" t="s">
        <v>787</v>
      </c>
      <c r="D1382" s="42" t="s">
        <v>174</v>
      </c>
      <c r="E1382" s="42" t="s">
        <v>808</v>
      </c>
      <c r="F1382" s="45">
        <v>9051000000</v>
      </c>
      <c r="G1382" s="42" t="s">
        <v>763</v>
      </c>
      <c r="H1382" s="42" t="s">
        <v>149</v>
      </c>
      <c r="I1382" s="42" t="s">
        <v>871</v>
      </c>
    </row>
    <row r="1383" spans="1:9">
      <c r="A1383" s="42" t="s">
        <v>759</v>
      </c>
      <c r="B1383" s="42" t="s">
        <v>301</v>
      </c>
      <c r="C1383" s="42" t="s">
        <v>832</v>
      </c>
      <c r="D1383" s="42" t="s">
        <v>174</v>
      </c>
      <c r="E1383" s="42" t="s">
        <v>808</v>
      </c>
      <c r="F1383" s="45">
        <v>2660000000</v>
      </c>
      <c r="G1383" s="42" t="s">
        <v>763</v>
      </c>
      <c r="H1383" s="42" t="s">
        <v>149</v>
      </c>
      <c r="I1383" s="42" t="s">
        <v>871</v>
      </c>
    </row>
    <row r="1384" spans="1:9">
      <c r="A1384" s="42" t="s">
        <v>759</v>
      </c>
      <c r="B1384" s="42" t="s">
        <v>302</v>
      </c>
      <c r="C1384" s="42" t="s">
        <v>834</v>
      </c>
      <c r="D1384" s="42" t="s">
        <v>174</v>
      </c>
      <c r="E1384" s="42" t="s">
        <v>808</v>
      </c>
      <c r="F1384" s="45">
        <v>34000000</v>
      </c>
      <c r="G1384" s="42" t="s">
        <v>763</v>
      </c>
      <c r="H1384" s="42" t="s">
        <v>149</v>
      </c>
      <c r="I1384" s="42" t="s">
        <v>871</v>
      </c>
    </row>
    <row r="1385" spans="1:9">
      <c r="A1385" s="42" t="s">
        <v>759</v>
      </c>
      <c r="B1385" s="42" t="s">
        <v>303</v>
      </c>
      <c r="C1385" s="42" t="s">
        <v>833</v>
      </c>
      <c r="D1385" s="42" t="s">
        <v>174</v>
      </c>
      <c r="E1385" s="42" t="s">
        <v>808</v>
      </c>
      <c r="F1385" s="45">
        <v>1242000000</v>
      </c>
      <c r="G1385" s="42" t="s">
        <v>763</v>
      </c>
      <c r="H1385" s="42" t="s">
        <v>149</v>
      </c>
      <c r="I1385" s="42" t="s">
        <v>871</v>
      </c>
    </row>
    <row r="1386" spans="1:9">
      <c r="A1386" s="42" t="s">
        <v>759</v>
      </c>
      <c r="B1386" s="42" t="s">
        <v>304</v>
      </c>
      <c r="C1386" s="42" t="s">
        <v>835</v>
      </c>
      <c r="D1386" s="42" t="s">
        <v>174</v>
      </c>
      <c r="E1386" s="42" t="s">
        <v>808</v>
      </c>
      <c r="F1386" s="45">
        <v>4000000</v>
      </c>
      <c r="G1386" s="42" t="s">
        <v>763</v>
      </c>
      <c r="H1386" s="42" t="s">
        <v>149</v>
      </c>
      <c r="I1386" s="42" t="s">
        <v>871</v>
      </c>
    </row>
    <row r="1387" spans="1:9">
      <c r="A1387" s="42" t="s">
        <v>759</v>
      </c>
      <c r="B1387" s="42" t="s">
        <v>307</v>
      </c>
      <c r="C1387" s="42" t="s">
        <v>838</v>
      </c>
      <c r="D1387" s="42" t="s">
        <v>174</v>
      </c>
      <c r="E1387" s="42" t="s">
        <v>808</v>
      </c>
      <c r="F1387" s="45">
        <v>325000000</v>
      </c>
      <c r="G1387" s="42" t="s">
        <v>763</v>
      </c>
      <c r="H1387" s="42" t="s">
        <v>149</v>
      </c>
      <c r="I1387" s="42" t="s">
        <v>871</v>
      </c>
    </row>
    <row r="1388" spans="1:9">
      <c r="A1388" s="42" t="s">
        <v>759</v>
      </c>
      <c r="B1388" s="42" t="s">
        <v>308</v>
      </c>
      <c r="C1388" s="42" t="s">
        <v>839</v>
      </c>
      <c r="D1388" s="42" t="s">
        <v>174</v>
      </c>
      <c r="E1388" s="42" t="s">
        <v>808</v>
      </c>
      <c r="F1388" s="45">
        <v>6682000000</v>
      </c>
      <c r="G1388" s="42" t="s">
        <v>763</v>
      </c>
      <c r="H1388" s="42" t="s">
        <v>149</v>
      </c>
      <c r="I1388" s="42" t="s">
        <v>871</v>
      </c>
    </row>
    <row r="1389" spans="1:9">
      <c r="A1389" s="42" t="s">
        <v>759</v>
      </c>
      <c r="B1389" s="42" t="s">
        <v>309</v>
      </c>
      <c r="C1389" s="42" t="s">
        <v>840</v>
      </c>
      <c r="D1389" s="42" t="s">
        <v>174</v>
      </c>
      <c r="E1389" s="42" t="s">
        <v>808</v>
      </c>
      <c r="F1389" s="45">
        <v>112000000</v>
      </c>
      <c r="G1389" s="42" t="s">
        <v>763</v>
      </c>
      <c r="H1389" s="42" t="s">
        <v>149</v>
      </c>
      <c r="I1389" s="42" t="s">
        <v>871</v>
      </c>
    </row>
    <row r="1390" spans="1:9">
      <c r="A1390" s="42" t="s">
        <v>759</v>
      </c>
      <c r="B1390" s="42" t="s">
        <v>310</v>
      </c>
      <c r="C1390" s="42" t="s">
        <v>841</v>
      </c>
      <c r="D1390" s="42" t="s">
        <v>174</v>
      </c>
      <c r="E1390" s="42" t="s">
        <v>808</v>
      </c>
      <c r="F1390" s="45">
        <v>5000000</v>
      </c>
      <c r="G1390" s="42" t="s">
        <v>763</v>
      </c>
      <c r="H1390" s="42" t="s">
        <v>149</v>
      </c>
      <c r="I1390" s="42" t="s">
        <v>871</v>
      </c>
    </row>
    <row r="1391" spans="1:9">
      <c r="A1391" s="42" t="s">
        <v>759</v>
      </c>
      <c r="B1391" s="42" t="s">
        <v>273</v>
      </c>
      <c r="C1391" s="42" t="s">
        <v>842</v>
      </c>
      <c r="D1391" s="42" t="s">
        <v>174</v>
      </c>
      <c r="E1391" s="42" t="s">
        <v>808</v>
      </c>
      <c r="F1391" s="45">
        <v>11064000000</v>
      </c>
      <c r="G1391" s="42" t="s">
        <v>763</v>
      </c>
      <c r="H1391" s="42" t="s">
        <v>149</v>
      </c>
      <c r="I1391" s="42" t="s">
        <v>871</v>
      </c>
    </row>
    <row r="1392" spans="1:9">
      <c r="A1392" s="42" t="s">
        <v>759</v>
      </c>
      <c r="B1392" s="42" t="s">
        <v>301</v>
      </c>
      <c r="C1392" s="42" t="s">
        <v>795</v>
      </c>
      <c r="D1392" s="42" t="s">
        <v>174</v>
      </c>
      <c r="E1392" s="42" t="s">
        <v>808</v>
      </c>
      <c r="F1392" s="45">
        <v>181000000</v>
      </c>
      <c r="G1392" s="42" t="s">
        <v>763</v>
      </c>
      <c r="H1392" s="42" t="s">
        <v>149</v>
      </c>
      <c r="I1392" s="42" t="s">
        <v>871</v>
      </c>
    </row>
    <row r="1393" spans="1:9">
      <c r="A1393" s="42" t="s">
        <v>759</v>
      </c>
      <c r="B1393" s="42" t="s">
        <v>302</v>
      </c>
      <c r="C1393" s="42" t="s">
        <v>797</v>
      </c>
      <c r="D1393" s="42" t="s">
        <v>174</v>
      </c>
      <c r="E1393" s="42" t="s">
        <v>808</v>
      </c>
      <c r="F1393" s="45">
        <v>69000000</v>
      </c>
      <c r="G1393" s="42" t="s">
        <v>763</v>
      </c>
      <c r="H1393" s="42" t="s">
        <v>149</v>
      </c>
      <c r="I1393" s="42" t="s">
        <v>871</v>
      </c>
    </row>
    <row r="1394" spans="1:9">
      <c r="A1394" s="42" t="s">
        <v>759</v>
      </c>
      <c r="B1394" s="42" t="s">
        <v>304</v>
      </c>
      <c r="C1394" s="42" t="s">
        <v>796</v>
      </c>
      <c r="D1394" s="42" t="s">
        <v>174</v>
      </c>
      <c r="E1394" s="42" t="s">
        <v>808</v>
      </c>
      <c r="F1394" s="45">
        <v>31000000</v>
      </c>
      <c r="G1394" s="42" t="s">
        <v>763</v>
      </c>
      <c r="H1394" s="42" t="s">
        <v>149</v>
      </c>
      <c r="I1394" s="42" t="s">
        <v>871</v>
      </c>
    </row>
    <row r="1395" spans="1:9">
      <c r="A1395" s="42" t="s">
        <v>759</v>
      </c>
      <c r="B1395" s="42" t="s">
        <v>305</v>
      </c>
      <c r="C1395" s="42" t="s">
        <v>798</v>
      </c>
      <c r="D1395" s="42" t="s">
        <v>174</v>
      </c>
      <c r="E1395" s="42" t="s">
        <v>808</v>
      </c>
      <c r="F1395" s="45">
        <v>139000000</v>
      </c>
      <c r="G1395" s="42" t="s">
        <v>763</v>
      </c>
      <c r="H1395" s="42" t="s">
        <v>149</v>
      </c>
      <c r="I1395" s="42" t="s">
        <v>871</v>
      </c>
    </row>
    <row r="1396" spans="1:9">
      <c r="A1396" s="42" t="s">
        <v>759</v>
      </c>
      <c r="B1396" s="42" t="s">
        <v>306</v>
      </c>
      <c r="C1396" s="42" t="s">
        <v>799</v>
      </c>
      <c r="D1396" s="42" t="s">
        <v>174</v>
      </c>
      <c r="E1396" s="42" t="s">
        <v>808</v>
      </c>
      <c r="F1396" s="45">
        <v>210000000</v>
      </c>
      <c r="G1396" s="42" t="s">
        <v>763</v>
      </c>
      <c r="H1396" s="42" t="s">
        <v>149</v>
      </c>
      <c r="I1396" s="42" t="s">
        <v>871</v>
      </c>
    </row>
    <row r="1397" spans="1:9">
      <c r="A1397" s="42" t="s">
        <v>759</v>
      </c>
      <c r="B1397" s="42" t="s">
        <v>307</v>
      </c>
      <c r="C1397" s="42" t="s">
        <v>843</v>
      </c>
      <c r="D1397" s="42" t="s">
        <v>174</v>
      </c>
      <c r="E1397" s="42" t="s">
        <v>808</v>
      </c>
      <c r="F1397" s="45">
        <v>341000000</v>
      </c>
      <c r="G1397" s="42" t="s">
        <v>763</v>
      </c>
      <c r="H1397" s="42" t="s">
        <v>149</v>
      </c>
      <c r="I1397" s="42" t="s">
        <v>871</v>
      </c>
    </row>
    <row r="1398" spans="1:9">
      <c r="A1398" s="42" t="s">
        <v>759</v>
      </c>
      <c r="B1398" s="42" t="s">
        <v>308</v>
      </c>
      <c r="C1398" s="42" t="s">
        <v>800</v>
      </c>
      <c r="D1398" s="42" t="s">
        <v>174</v>
      </c>
      <c r="E1398" s="42" t="s">
        <v>808</v>
      </c>
      <c r="F1398" s="45">
        <v>1508000000</v>
      </c>
      <c r="G1398" s="42" t="s">
        <v>763</v>
      </c>
      <c r="H1398" s="42" t="s">
        <v>149</v>
      </c>
      <c r="I1398" s="42" t="s">
        <v>871</v>
      </c>
    </row>
    <row r="1399" spans="1:9">
      <c r="A1399" s="42" t="s">
        <v>759</v>
      </c>
      <c r="B1399" s="42" t="s">
        <v>309</v>
      </c>
      <c r="C1399" s="42" t="s">
        <v>801</v>
      </c>
      <c r="D1399" s="42" t="s">
        <v>174</v>
      </c>
      <c r="E1399" s="42" t="s">
        <v>808</v>
      </c>
      <c r="F1399" s="45">
        <v>122000000</v>
      </c>
      <c r="G1399" s="42" t="s">
        <v>763</v>
      </c>
      <c r="H1399" s="42" t="s">
        <v>149</v>
      </c>
      <c r="I1399" s="42" t="s">
        <v>871</v>
      </c>
    </row>
    <row r="1400" spans="1:9">
      <c r="A1400" s="42" t="s">
        <v>759</v>
      </c>
      <c r="B1400" s="42" t="s">
        <v>310</v>
      </c>
      <c r="C1400" s="42" t="s">
        <v>802</v>
      </c>
      <c r="D1400" s="42" t="s">
        <v>174</v>
      </c>
      <c r="E1400" s="42" t="s">
        <v>808</v>
      </c>
      <c r="F1400" s="45">
        <v>2319000000</v>
      </c>
      <c r="G1400" s="42" t="s">
        <v>763</v>
      </c>
      <c r="H1400" s="42" t="s">
        <v>149</v>
      </c>
      <c r="I1400" s="42" t="s">
        <v>871</v>
      </c>
    </row>
    <row r="1401" spans="1:9">
      <c r="A1401" s="42" t="s">
        <v>759</v>
      </c>
      <c r="B1401" s="42" t="s">
        <v>284</v>
      </c>
      <c r="C1401" s="42" t="s">
        <v>803</v>
      </c>
      <c r="D1401" s="42" t="s">
        <v>174</v>
      </c>
      <c r="E1401" s="42" t="s">
        <v>808</v>
      </c>
      <c r="F1401" s="45">
        <v>4920000000</v>
      </c>
      <c r="G1401" s="42" t="s">
        <v>763</v>
      </c>
      <c r="H1401" s="42" t="s">
        <v>149</v>
      </c>
      <c r="I1401" s="42" t="s">
        <v>871</v>
      </c>
    </row>
    <row r="1402" spans="1:9">
      <c r="A1402" s="42" t="s">
        <v>759</v>
      </c>
      <c r="B1402" s="42" t="s">
        <v>285</v>
      </c>
      <c r="C1402" s="42" t="s">
        <v>804</v>
      </c>
      <c r="D1402" s="42" t="s">
        <v>174</v>
      </c>
      <c r="E1402" s="42" t="s">
        <v>808</v>
      </c>
      <c r="F1402" s="45">
        <v>15984000000</v>
      </c>
      <c r="G1402" s="42" t="s">
        <v>763</v>
      </c>
      <c r="H1402" s="42" t="s">
        <v>149</v>
      </c>
      <c r="I1402" s="42" t="s">
        <v>871</v>
      </c>
    </row>
    <row r="1403" spans="1:9">
      <c r="A1403" s="42" t="s">
        <v>759</v>
      </c>
      <c r="B1403" s="42" t="s">
        <v>286</v>
      </c>
      <c r="C1403" s="42" t="s">
        <v>806</v>
      </c>
      <c r="D1403" s="42" t="s">
        <v>174</v>
      </c>
      <c r="E1403" s="42" t="s">
        <v>808</v>
      </c>
      <c r="F1403" s="45">
        <v>25035000000</v>
      </c>
      <c r="G1403" s="42" t="s">
        <v>763</v>
      </c>
      <c r="H1403" s="42" t="s">
        <v>149</v>
      </c>
      <c r="I1403" s="42" t="s">
        <v>871</v>
      </c>
    </row>
    <row r="1404" spans="1:9">
      <c r="A1404" s="42" t="s">
        <v>759</v>
      </c>
      <c r="B1404" s="42" t="s">
        <v>287</v>
      </c>
      <c r="C1404" s="42" t="s">
        <v>821</v>
      </c>
      <c r="D1404" s="42" t="s">
        <v>682</v>
      </c>
      <c r="E1404" s="42" t="s">
        <v>762</v>
      </c>
      <c r="F1404" s="45">
        <v>491000000</v>
      </c>
      <c r="G1404" s="42" t="s">
        <v>763</v>
      </c>
      <c r="H1404" s="42" t="s">
        <v>149</v>
      </c>
      <c r="I1404" s="42" t="s">
        <v>871</v>
      </c>
    </row>
    <row r="1405" spans="1:9">
      <c r="A1405" s="42" t="s">
        <v>759</v>
      </c>
      <c r="B1405" s="42" t="s">
        <v>288</v>
      </c>
      <c r="C1405" s="42" t="s">
        <v>823</v>
      </c>
      <c r="D1405" s="42" t="s">
        <v>682</v>
      </c>
      <c r="E1405" s="42" t="s">
        <v>762</v>
      </c>
      <c r="F1405" s="45">
        <v>18736000000</v>
      </c>
      <c r="G1405" s="42" t="s">
        <v>763</v>
      </c>
      <c r="H1405" s="42" t="s">
        <v>149</v>
      </c>
      <c r="I1405" s="42" t="s">
        <v>871</v>
      </c>
    </row>
    <row r="1406" spans="1:9">
      <c r="A1406" s="42" t="s">
        <v>759</v>
      </c>
      <c r="B1406" s="42" t="s">
        <v>289</v>
      </c>
      <c r="C1406" s="42" t="s">
        <v>825</v>
      </c>
      <c r="D1406" s="42" t="s">
        <v>682</v>
      </c>
      <c r="E1406" s="42" t="s">
        <v>762</v>
      </c>
      <c r="F1406" s="45">
        <v>743000000</v>
      </c>
      <c r="G1406" s="42" t="s">
        <v>763</v>
      </c>
      <c r="H1406" s="42" t="s">
        <v>149</v>
      </c>
      <c r="I1406" s="42" t="s">
        <v>871</v>
      </c>
    </row>
    <row r="1407" spans="1:9">
      <c r="A1407" s="42" t="s">
        <v>759</v>
      </c>
      <c r="B1407" s="42" t="s">
        <v>290</v>
      </c>
      <c r="C1407" s="42" t="s">
        <v>826</v>
      </c>
      <c r="D1407" s="42" t="s">
        <v>682</v>
      </c>
      <c r="E1407" s="42" t="s">
        <v>762</v>
      </c>
      <c r="F1407" s="45">
        <v>1960000000</v>
      </c>
      <c r="G1407" s="42" t="s">
        <v>763</v>
      </c>
      <c r="H1407" s="42" t="s">
        <v>149</v>
      </c>
      <c r="I1407" s="42" t="s">
        <v>871</v>
      </c>
    </row>
    <row r="1408" spans="1:9">
      <c r="A1408" s="42" t="s">
        <v>759</v>
      </c>
      <c r="B1408" s="42" t="s">
        <v>291</v>
      </c>
      <c r="C1408" s="42" t="s">
        <v>827</v>
      </c>
      <c r="D1408" s="42" t="s">
        <v>682</v>
      </c>
      <c r="E1408" s="42" t="s">
        <v>762</v>
      </c>
      <c r="F1408" s="45">
        <v>330000000</v>
      </c>
      <c r="G1408" s="42" t="s">
        <v>763</v>
      </c>
      <c r="H1408" s="42" t="s">
        <v>149</v>
      </c>
      <c r="I1408" s="42" t="s">
        <v>871</v>
      </c>
    </row>
    <row r="1409" spans="1:9">
      <c r="A1409" s="42" t="s">
        <v>759</v>
      </c>
      <c r="B1409" s="42" t="s">
        <v>292</v>
      </c>
      <c r="C1409" s="42" t="s">
        <v>828</v>
      </c>
      <c r="D1409" s="42" t="s">
        <v>682</v>
      </c>
      <c r="E1409" s="42" t="s">
        <v>762</v>
      </c>
      <c r="F1409" s="45">
        <v>337000000</v>
      </c>
      <c r="G1409" s="42" t="s">
        <v>763</v>
      </c>
      <c r="H1409" s="42" t="s">
        <v>149</v>
      </c>
      <c r="I1409" s="42" t="s">
        <v>871</v>
      </c>
    </row>
    <row r="1410" spans="1:9">
      <c r="A1410" s="42" t="s">
        <v>759</v>
      </c>
      <c r="B1410" s="42" t="s">
        <v>293</v>
      </c>
      <c r="C1410" s="42" t="s">
        <v>829</v>
      </c>
      <c r="D1410" s="42" t="s">
        <v>682</v>
      </c>
      <c r="E1410" s="42" t="s">
        <v>762</v>
      </c>
      <c r="F1410" s="45">
        <v>1000000</v>
      </c>
      <c r="G1410" s="42" t="s">
        <v>763</v>
      </c>
      <c r="H1410" s="42" t="s">
        <v>149</v>
      </c>
      <c r="I1410" s="42" t="s">
        <v>871</v>
      </c>
    </row>
    <row r="1411" spans="1:9">
      <c r="A1411" s="42" t="s">
        <v>759</v>
      </c>
      <c r="B1411" s="42" t="s">
        <v>239</v>
      </c>
      <c r="C1411" s="42" t="s">
        <v>830</v>
      </c>
      <c r="D1411" s="42" t="s">
        <v>682</v>
      </c>
      <c r="E1411" s="42" t="s">
        <v>762</v>
      </c>
      <c r="F1411" s="45">
        <v>22598000000</v>
      </c>
      <c r="G1411" s="42" t="s">
        <v>763</v>
      </c>
      <c r="H1411" s="42" t="s">
        <v>149</v>
      </c>
      <c r="I1411" s="42" t="s">
        <v>871</v>
      </c>
    </row>
    <row r="1412" spans="1:9">
      <c r="A1412" s="42" t="s">
        <v>759</v>
      </c>
      <c r="B1412" s="42" t="s">
        <v>240</v>
      </c>
      <c r="C1412" s="42" t="s">
        <v>818</v>
      </c>
      <c r="D1412" s="42" t="s">
        <v>682</v>
      </c>
      <c r="E1412" s="42" t="s">
        <v>762</v>
      </c>
      <c r="F1412" s="45">
        <v>1537000000</v>
      </c>
      <c r="G1412" s="42" t="s">
        <v>763</v>
      </c>
      <c r="H1412" s="42" t="s">
        <v>149</v>
      </c>
      <c r="I1412" s="42" t="s">
        <v>871</v>
      </c>
    </row>
    <row r="1413" spans="1:9">
      <c r="A1413" s="42" t="s">
        <v>759</v>
      </c>
      <c r="B1413" s="42" t="s">
        <v>241</v>
      </c>
      <c r="C1413" s="42" t="s">
        <v>772</v>
      </c>
      <c r="D1413" s="42" t="s">
        <v>682</v>
      </c>
      <c r="E1413" s="42" t="s">
        <v>762</v>
      </c>
      <c r="F1413" s="45">
        <v>1546000000</v>
      </c>
      <c r="G1413" s="42" t="s">
        <v>763</v>
      </c>
      <c r="H1413" s="42" t="s">
        <v>149</v>
      </c>
      <c r="I1413" s="42" t="s">
        <v>871</v>
      </c>
    </row>
    <row r="1414" spans="1:9">
      <c r="A1414" s="42" t="s">
        <v>759</v>
      </c>
      <c r="B1414" s="42" t="s">
        <v>242</v>
      </c>
      <c r="C1414" s="42" t="s">
        <v>773</v>
      </c>
      <c r="D1414" s="42" t="s">
        <v>682</v>
      </c>
      <c r="E1414" s="42" t="s">
        <v>762</v>
      </c>
      <c r="F1414" s="45">
        <v>30000000</v>
      </c>
      <c r="G1414" s="42" t="s">
        <v>763</v>
      </c>
      <c r="H1414" s="42" t="s">
        <v>149</v>
      </c>
      <c r="I1414" s="42" t="s">
        <v>871</v>
      </c>
    </row>
    <row r="1415" spans="1:9">
      <c r="A1415" s="42" t="s">
        <v>759</v>
      </c>
      <c r="B1415" s="42" t="s">
        <v>292</v>
      </c>
      <c r="C1415" s="42" t="s">
        <v>774</v>
      </c>
      <c r="D1415" s="42" t="s">
        <v>682</v>
      </c>
      <c r="E1415" s="42" t="s">
        <v>762</v>
      </c>
      <c r="F1415" s="45">
        <v>552000000</v>
      </c>
      <c r="G1415" s="42" t="s">
        <v>763</v>
      </c>
      <c r="H1415" s="42" t="s">
        <v>149</v>
      </c>
      <c r="I1415" s="42" t="s">
        <v>871</v>
      </c>
    </row>
    <row r="1416" spans="1:9">
      <c r="A1416" s="42" t="s">
        <v>759</v>
      </c>
      <c r="B1416" s="42" t="s">
        <v>293</v>
      </c>
      <c r="C1416" s="42" t="s">
        <v>775</v>
      </c>
      <c r="D1416" s="42" t="s">
        <v>682</v>
      </c>
      <c r="E1416" s="42" t="s">
        <v>762</v>
      </c>
      <c r="F1416" s="45">
        <v>1620000000</v>
      </c>
      <c r="G1416" s="42" t="s">
        <v>763</v>
      </c>
      <c r="H1416" s="42" t="s">
        <v>149</v>
      </c>
      <c r="I1416" s="42" t="s">
        <v>871</v>
      </c>
    </row>
    <row r="1417" spans="1:9">
      <c r="A1417" s="42" t="s">
        <v>759</v>
      </c>
      <c r="B1417" s="42" t="s">
        <v>862</v>
      </c>
      <c r="C1417" s="42" t="s">
        <v>776</v>
      </c>
      <c r="D1417" s="42" t="s">
        <v>682</v>
      </c>
      <c r="E1417" s="42" t="s">
        <v>762</v>
      </c>
      <c r="F1417" s="45">
        <v>390000000</v>
      </c>
      <c r="G1417" s="42" t="s">
        <v>763</v>
      </c>
      <c r="H1417" s="42" t="s">
        <v>149</v>
      </c>
      <c r="I1417" s="42" t="s">
        <v>871</v>
      </c>
    </row>
    <row r="1418" spans="1:9">
      <c r="A1418" s="42" t="s">
        <v>759</v>
      </c>
      <c r="B1418" s="42" t="s">
        <v>246</v>
      </c>
      <c r="C1418" s="42" t="s">
        <v>777</v>
      </c>
      <c r="D1418" s="42" t="s">
        <v>682</v>
      </c>
      <c r="E1418" s="42" t="s">
        <v>762</v>
      </c>
      <c r="F1418" s="45">
        <v>1118000000</v>
      </c>
      <c r="G1418" s="42" t="s">
        <v>763</v>
      </c>
      <c r="H1418" s="42" t="s">
        <v>149</v>
      </c>
      <c r="I1418" s="42" t="s">
        <v>871</v>
      </c>
    </row>
    <row r="1419" spans="1:9">
      <c r="A1419" s="42" t="s">
        <v>759</v>
      </c>
      <c r="B1419" s="42" t="s">
        <v>247</v>
      </c>
      <c r="C1419" s="42" t="s">
        <v>778</v>
      </c>
      <c r="D1419" s="42" t="s">
        <v>682</v>
      </c>
      <c r="E1419" s="42" t="s">
        <v>762</v>
      </c>
      <c r="F1419" s="45">
        <v>6793000000</v>
      </c>
      <c r="G1419" s="42" t="s">
        <v>763</v>
      </c>
      <c r="H1419" s="42" t="s">
        <v>149</v>
      </c>
      <c r="I1419" s="42" t="s">
        <v>871</v>
      </c>
    </row>
    <row r="1420" spans="1:9">
      <c r="A1420" s="42" t="s">
        <v>759</v>
      </c>
      <c r="B1420" s="42" t="s">
        <v>248</v>
      </c>
      <c r="C1420" s="42" t="s">
        <v>779</v>
      </c>
      <c r="D1420" s="42" t="s">
        <v>682</v>
      </c>
      <c r="E1420" s="42" t="s">
        <v>762</v>
      </c>
      <c r="F1420" s="45">
        <v>29391000000</v>
      </c>
      <c r="G1420" s="42" t="s">
        <v>763</v>
      </c>
      <c r="H1420" s="42" t="s">
        <v>149</v>
      </c>
      <c r="I1420" s="42" t="s">
        <v>871</v>
      </c>
    </row>
    <row r="1421" spans="1:9">
      <c r="A1421" s="42" t="s">
        <v>759</v>
      </c>
      <c r="B1421" s="42" t="s">
        <v>297</v>
      </c>
      <c r="C1421" s="42" t="s">
        <v>781</v>
      </c>
      <c r="D1421" s="42" t="s">
        <v>682</v>
      </c>
      <c r="E1421" s="42" t="s">
        <v>762</v>
      </c>
      <c r="F1421" s="45">
        <v>4506000000</v>
      </c>
      <c r="G1421" s="42" t="s">
        <v>763</v>
      </c>
      <c r="H1421" s="42" t="s">
        <v>145</v>
      </c>
      <c r="I1421" s="42" t="s">
        <v>888</v>
      </c>
    </row>
    <row r="1422" spans="1:9">
      <c r="A1422" s="42" t="s">
        <v>759</v>
      </c>
      <c r="B1422" s="42" t="s">
        <v>298</v>
      </c>
      <c r="C1422" s="42" t="s">
        <v>855</v>
      </c>
      <c r="D1422" s="42" t="s">
        <v>682</v>
      </c>
      <c r="E1422" s="42" t="s">
        <v>762</v>
      </c>
      <c r="F1422" s="45">
        <v>7146000000</v>
      </c>
      <c r="G1422" s="42" t="s">
        <v>763</v>
      </c>
      <c r="H1422" s="42" t="s">
        <v>145</v>
      </c>
      <c r="I1422" s="42" t="s">
        <v>888</v>
      </c>
    </row>
    <row r="1423" spans="1:9">
      <c r="A1423" s="42" t="s">
        <v>759</v>
      </c>
      <c r="B1423" s="42" t="s">
        <v>249</v>
      </c>
      <c r="C1423" s="42" t="s">
        <v>872</v>
      </c>
      <c r="D1423" s="42" t="s">
        <v>682</v>
      </c>
      <c r="E1423" s="42" t="s">
        <v>762</v>
      </c>
      <c r="F1423" s="45">
        <v>3922000000</v>
      </c>
      <c r="G1423" s="42" t="s">
        <v>763</v>
      </c>
      <c r="H1423" s="42" t="s">
        <v>149</v>
      </c>
      <c r="I1423" s="42" t="s">
        <v>871</v>
      </c>
    </row>
    <row r="1424" spans="1:9">
      <c r="A1424" s="42" t="s">
        <v>759</v>
      </c>
      <c r="B1424" s="42" t="s">
        <v>250</v>
      </c>
      <c r="C1424" s="42" t="s">
        <v>873</v>
      </c>
      <c r="D1424" s="42" t="s">
        <v>682</v>
      </c>
      <c r="E1424" s="42" t="s">
        <v>762</v>
      </c>
      <c r="F1424" s="45">
        <v>11000000</v>
      </c>
      <c r="G1424" s="42" t="s">
        <v>763</v>
      </c>
      <c r="H1424" s="42" t="s">
        <v>149</v>
      </c>
      <c r="I1424" s="42" t="s">
        <v>871</v>
      </c>
    </row>
    <row r="1425" spans="1:9">
      <c r="A1425" s="42" t="s">
        <v>759</v>
      </c>
      <c r="B1425" s="42" t="s">
        <v>251</v>
      </c>
      <c r="C1425" s="42" t="s">
        <v>874</v>
      </c>
      <c r="D1425" s="42" t="s">
        <v>682</v>
      </c>
      <c r="E1425" s="42" t="s">
        <v>762</v>
      </c>
      <c r="F1425" s="45">
        <v>3000000</v>
      </c>
      <c r="G1425" s="42" t="s">
        <v>763</v>
      </c>
      <c r="H1425" s="42" t="s">
        <v>149</v>
      </c>
      <c r="I1425" s="42" t="s">
        <v>871</v>
      </c>
    </row>
    <row r="1426" spans="1:9">
      <c r="A1426" s="42" t="s">
        <v>759</v>
      </c>
      <c r="B1426" s="42" t="s">
        <v>252</v>
      </c>
      <c r="C1426" s="42" t="s">
        <v>875</v>
      </c>
      <c r="D1426" s="42" t="s">
        <v>682</v>
      </c>
      <c r="E1426" s="42" t="s">
        <v>762</v>
      </c>
      <c r="F1426" s="45">
        <v>-28000000</v>
      </c>
      <c r="G1426" s="42" t="s">
        <v>763</v>
      </c>
      <c r="H1426" s="42" t="s">
        <v>149</v>
      </c>
      <c r="I1426" s="42" t="s">
        <v>871</v>
      </c>
    </row>
    <row r="1427" spans="1:9">
      <c r="A1427" s="42" t="s">
        <v>759</v>
      </c>
      <c r="B1427" s="42" t="s">
        <v>253</v>
      </c>
      <c r="C1427" s="42" t="s">
        <v>876</v>
      </c>
      <c r="D1427" s="42" t="s">
        <v>682</v>
      </c>
      <c r="E1427" s="42" t="s">
        <v>762</v>
      </c>
      <c r="F1427" s="45">
        <v>-42000000</v>
      </c>
      <c r="G1427" s="42" t="s">
        <v>763</v>
      </c>
      <c r="H1427" s="42" t="s">
        <v>149</v>
      </c>
      <c r="I1427" s="42" t="s">
        <v>871</v>
      </c>
    </row>
    <row r="1428" spans="1:9">
      <c r="A1428" s="42" t="s">
        <v>759</v>
      </c>
      <c r="B1428" s="42" t="s">
        <v>254</v>
      </c>
      <c r="C1428" s="42" t="s">
        <v>877</v>
      </c>
      <c r="D1428" s="42" t="s">
        <v>682</v>
      </c>
      <c r="E1428" s="42" t="s">
        <v>762</v>
      </c>
      <c r="F1428" s="45">
        <v>640000000</v>
      </c>
      <c r="G1428" s="42" t="s">
        <v>763</v>
      </c>
      <c r="H1428" s="42" t="s">
        <v>149</v>
      </c>
      <c r="I1428" s="42" t="s">
        <v>871</v>
      </c>
    </row>
    <row r="1429" spans="1:9">
      <c r="A1429" s="42" t="s">
        <v>759</v>
      </c>
      <c r="B1429" s="42" t="s">
        <v>255</v>
      </c>
      <c r="C1429" s="42" t="s">
        <v>878</v>
      </c>
      <c r="D1429" s="42" t="s">
        <v>682</v>
      </c>
      <c r="E1429" s="42" t="s">
        <v>762</v>
      </c>
      <c r="F1429" s="45">
        <v>787000000</v>
      </c>
      <c r="G1429" s="42" t="s">
        <v>763</v>
      </c>
      <c r="H1429" s="42" t="s">
        <v>149</v>
      </c>
      <c r="I1429" s="42" t="s">
        <v>871</v>
      </c>
    </row>
    <row r="1430" spans="1:9">
      <c r="A1430" s="42" t="s">
        <v>759</v>
      </c>
      <c r="B1430" s="42" t="s">
        <v>256</v>
      </c>
      <c r="C1430" s="42" t="s">
        <v>880</v>
      </c>
      <c r="D1430" s="42" t="s">
        <v>682</v>
      </c>
      <c r="E1430" s="42" t="s">
        <v>762</v>
      </c>
      <c r="F1430" s="45">
        <v>4236000000</v>
      </c>
      <c r="G1430" s="42" t="s">
        <v>763</v>
      </c>
      <c r="H1430" s="42" t="s">
        <v>149</v>
      </c>
      <c r="I1430" s="42" t="s">
        <v>871</v>
      </c>
    </row>
    <row r="1431" spans="1:9">
      <c r="A1431" s="42" t="s">
        <v>759</v>
      </c>
      <c r="B1431" s="42" t="s">
        <v>257</v>
      </c>
      <c r="C1431" s="42" t="s">
        <v>881</v>
      </c>
      <c r="D1431" s="42" t="s">
        <v>682</v>
      </c>
      <c r="E1431" s="42" t="s">
        <v>762</v>
      </c>
      <c r="F1431" s="45">
        <v>36000000</v>
      </c>
      <c r="G1431" s="42" t="s">
        <v>763</v>
      </c>
      <c r="H1431" s="42" t="s">
        <v>149</v>
      </c>
      <c r="I1431" s="42" t="s">
        <v>871</v>
      </c>
    </row>
    <row r="1432" spans="1:9">
      <c r="A1432" s="42" t="s">
        <v>759</v>
      </c>
      <c r="B1432" s="42" t="s">
        <v>258</v>
      </c>
      <c r="C1432" s="42" t="s">
        <v>882</v>
      </c>
      <c r="D1432" s="42" t="s">
        <v>682</v>
      </c>
      <c r="E1432" s="42" t="s">
        <v>762</v>
      </c>
      <c r="F1432" s="45">
        <v>-331000000</v>
      </c>
      <c r="G1432" s="42" t="s">
        <v>763</v>
      </c>
      <c r="H1432" s="42" t="s">
        <v>149</v>
      </c>
      <c r="I1432" s="42" t="s">
        <v>871</v>
      </c>
    </row>
    <row r="1433" spans="1:9">
      <c r="A1433" s="42" t="s">
        <v>759</v>
      </c>
      <c r="B1433" s="42" t="s">
        <v>259</v>
      </c>
      <c r="C1433" s="42" t="s">
        <v>883</v>
      </c>
      <c r="D1433" s="42" t="s">
        <v>682</v>
      </c>
      <c r="E1433" s="42" t="s">
        <v>762</v>
      </c>
      <c r="F1433" s="45">
        <v>2418000000</v>
      </c>
      <c r="G1433" s="42" t="s">
        <v>763</v>
      </c>
      <c r="H1433" s="42" t="s">
        <v>149</v>
      </c>
      <c r="I1433" s="42" t="s">
        <v>871</v>
      </c>
    </row>
    <row r="1434" spans="1:9">
      <c r="A1434" s="42" t="s">
        <v>759</v>
      </c>
      <c r="B1434" s="42" t="s">
        <v>260</v>
      </c>
      <c r="C1434" s="42" t="s">
        <v>784</v>
      </c>
      <c r="D1434" s="42" t="s">
        <v>682</v>
      </c>
      <c r="E1434" s="42" t="s">
        <v>762</v>
      </c>
      <c r="F1434" s="45">
        <v>11652000000</v>
      </c>
      <c r="G1434" s="42" t="s">
        <v>763</v>
      </c>
      <c r="H1434" s="42" t="s">
        <v>149</v>
      </c>
      <c r="I1434" s="42" t="s">
        <v>871</v>
      </c>
    </row>
    <row r="1435" spans="1:9">
      <c r="A1435" s="42" t="s">
        <v>759</v>
      </c>
      <c r="B1435" s="42" t="s">
        <v>261</v>
      </c>
      <c r="C1435" s="42" t="s">
        <v>785</v>
      </c>
      <c r="D1435" s="42" t="s">
        <v>682</v>
      </c>
      <c r="E1435" s="42" t="s">
        <v>762</v>
      </c>
      <c r="F1435" s="45">
        <v>218000000</v>
      </c>
      <c r="G1435" s="42" t="s">
        <v>763</v>
      </c>
      <c r="H1435" s="42" t="s">
        <v>149</v>
      </c>
      <c r="I1435" s="42" t="s">
        <v>871</v>
      </c>
    </row>
    <row r="1436" spans="1:9">
      <c r="A1436" s="42" t="s">
        <v>759</v>
      </c>
      <c r="B1436" s="42" t="s">
        <v>305</v>
      </c>
      <c r="C1436" s="42" t="s">
        <v>837</v>
      </c>
      <c r="D1436" s="42" t="s">
        <v>682</v>
      </c>
      <c r="E1436" s="42" t="s">
        <v>762</v>
      </c>
      <c r="F1436" s="45">
        <v>217269.9878637184</v>
      </c>
      <c r="G1436" s="42" t="s">
        <v>763</v>
      </c>
      <c r="H1436" s="42" t="s">
        <v>137</v>
      </c>
      <c r="I1436" s="42" t="s">
        <v>884</v>
      </c>
    </row>
    <row r="1437" spans="1:9">
      <c r="A1437" s="42" t="s">
        <v>759</v>
      </c>
      <c r="B1437" s="42" t="s">
        <v>262</v>
      </c>
      <c r="C1437" s="42" t="s">
        <v>787</v>
      </c>
      <c r="D1437" s="42" t="s">
        <v>682</v>
      </c>
      <c r="E1437" s="42" t="s">
        <v>762</v>
      </c>
      <c r="F1437" s="45">
        <v>11870000000</v>
      </c>
      <c r="G1437" s="42" t="s">
        <v>763</v>
      </c>
      <c r="H1437" s="42" t="s">
        <v>149</v>
      </c>
      <c r="I1437" s="42" t="s">
        <v>871</v>
      </c>
    </row>
    <row r="1438" spans="1:9">
      <c r="A1438" s="42" t="s">
        <v>759</v>
      </c>
      <c r="B1438" s="42" t="s">
        <v>301</v>
      </c>
      <c r="C1438" s="42" t="s">
        <v>832</v>
      </c>
      <c r="D1438" s="42" t="s">
        <v>682</v>
      </c>
      <c r="E1438" s="42" t="s">
        <v>762</v>
      </c>
      <c r="F1438" s="45">
        <v>1084000000</v>
      </c>
      <c r="G1438" s="42" t="s">
        <v>763</v>
      </c>
      <c r="H1438" s="42" t="s">
        <v>149</v>
      </c>
      <c r="I1438" s="42" t="s">
        <v>871</v>
      </c>
    </row>
    <row r="1439" spans="1:9">
      <c r="A1439" s="42" t="s">
        <v>759</v>
      </c>
      <c r="B1439" s="42" t="s">
        <v>302</v>
      </c>
      <c r="C1439" s="42" t="s">
        <v>834</v>
      </c>
      <c r="D1439" s="42" t="s">
        <v>682</v>
      </c>
      <c r="E1439" s="42" t="s">
        <v>762</v>
      </c>
      <c r="F1439" s="45">
        <v>114000000</v>
      </c>
      <c r="G1439" s="42" t="s">
        <v>763</v>
      </c>
      <c r="H1439" s="42" t="s">
        <v>149</v>
      </c>
      <c r="I1439" s="42" t="s">
        <v>871</v>
      </c>
    </row>
    <row r="1440" spans="1:9">
      <c r="A1440" s="42" t="s">
        <v>759</v>
      </c>
      <c r="B1440" s="42" t="s">
        <v>303</v>
      </c>
      <c r="C1440" s="42" t="s">
        <v>833</v>
      </c>
      <c r="D1440" s="42" t="s">
        <v>682</v>
      </c>
      <c r="E1440" s="42" t="s">
        <v>762</v>
      </c>
      <c r="F1440" s="45">
        <v>90000000</v>
      </c>
      <c r="G1440" s="42" t="s">
        <v>763</v>
      </c>
      <c r="H1440" s="42" t="s">
        <v>149</v>
      </c>
      <c r="I1440" s="42" t="s">
        <v>871</v>
      </c>
    </row>
    <row r="1441" spans="1:9">
      <c r="A1441" s="42" t="s">
        <v>759</v>
      </c>
      <c r="B1441" s="42" t="s">
        <v>304</v>
      </c>
      <c r="C1441" s="42" t="s">
        <v>835</v>
      </c>
      <c r="D1441" s="42" t="s">
        <v>682</v>
      </c>
      <c r="E1441" s="42" t="s">
        <v>762</v>
      </c>
      <c r="F1441" s="45">
        <v>2000000</v>
      </c>
      <c r="G1441" s="42" t="s">
        <v>763</v>
      </c>
      <c r="H1441" s="42" t="s">
        <v>149</v>
      </c>
      <c r="I1441" s="42" t="s">
        <v>871</v>
      </c>
    </row>
    <row r="1442" spans="1:9">
      <c r="A1442" s="42" t="s">
        <v>759</v>
      </c>
      <c r="B1442" s="42" t="s">
        <v>306</v>
      </c>
      <c r="C1442" s="42" t="s">
        <v>857</v>
      </c>
      <c r="D1442" s="42" t="s">
        <v>682</v>
      </c>
      <c r="E1442" s="42" t="s">
        <v>762</v>
      </c>
      <c r="F1442" s="45">
        <v>34000000</v>
      </c>
      <c r="G1442" s="42" t="s">
        <v>763</v>
      </c>
      <c r="H1442" s="42" t="s">
        <v>149</v>
      </c>
      <c r="I1442" s="42" t="s">
        <v>871</v>
      </c>
    </row>
    <row r="1443" spans="1:9">
      <c r="A1443" s="42" t="s">
        <v>759</v>
      </c>
      <c r="B1443" s="42" t="s">
        <v>307</v>
      </c>
      <c r="C1443" s="42" t="s">
        <v>838</v>
      </c>
      <c r="D1443" s="42" t="s">
        <v>682</v>
      </c>
      <c r="E1443" s="42" t="s">
        <v>762</v>
      </c>
      <c r="F1443" s="45">
        <v>406000000</v>
      </c>
      <c r="G1443" s="42" t="s">
        <v>763</v>
      </c>
      <c r="H1443" s="42" t="s">
        <v>149</v>
      </c>
      <c r="I1443" s="42" t="s">
        <v>871</v>
      </c>
    </row>
    <row r="1444" spans="1:9">
      <c r="A1444" s="42" t="s">
        <v>759</v>
      </c>
      <c r="B1444" s="42" t="s">
        <v>308</v>
      </c>
      <c r="C1444" s="42" t="s">
        <v>839</v>
      </c>
      <c r="D1444" s="42" t="s">
        <v>682</v>
      </c>
      <c r="E1444" s="42" t="s">
        <v>762</v>
      </c>
      <c r="F1444" s="45">
        <v>7035000000</v>
      </c>
      <c r="G1444" s="42" t="s">
        <v>763</v>
      </c>
      <c r="H1444" s="42" t="s">
        <v>149</v>
      </c>
      <c r="I1444" s="42" t="s">
        <v>871</v>
      </c>
    </row>
    <row r="1445" spans="1:9">
      <c r="A1445" s="42" t="s">
        <v>759</v>
      </c>
      <c r="B1445" s="42" t="s">
        <v>309</v>
      </c>
      <c r="C1445" s="42" t="s">
        <v>840</v>
      </c>
      <c r="D1445" s="42" t="s">
        <v>682</v>
      </c>
      <c r="E1445" s="42" t="s">
        <v>762</v>
      </c>
      <c r="F1445" s="45">
        <v>74000000</v>
      </c>
      <c r="G1445" s="42" t="s">
        <v>763</v>
      </c>
      <c r="H1445" s="42" t="s">
        <v>149</v>
      </c>
      <c r="I1445" s="42" t="s">
        <v>871</v>
      </c>
    </row>
    <row r="1446" spans="1:9">
      <c r="A1446" s="42" t="s">
        <v>759</v>
      </c>
      <c r="B1446" s="42" t="s">
        <v>310</v>
      </c>
      <c r="C1446" s="42" t="s">
        <v>841</v>
      </c>
      <c r="D1446" s="42" t="s">
        <v>682</v>
      </c>
      <c r="E1446" s="42" t="s">
        <v>762</v>
      </c>
      <c r="F1446" s="45">
        <v>6000000</v>
      </c>
      <c r="G1446" s="42" t="s">
        <v>763</v>
      </c>
      <c r="H1446" s="42" t="s">
        <v>149</v>
      </c>
      <c r="I1446" s="42" t="s">
        <v>871</v>
      </c>
    </row>
    <row r="1447" spans="1:9">
      <c r="A1447" s="42" t="s">
        <v>759</v>
      </c>
      <c r="B1447" s="42" t="s">
        <v>273</v>
      </c>
      <c r="C1447" s="42" t="s">
        <v>842</v>
      </c>
      <c r="D1447" s="42" t="s">
        <v>682</v>
      </c>
      <c r="E1447" s="42" t="s">
        <v>762</v>
      </c>
      <c r="F1447" s="45">
        <v>8845000000</v>
      </c>
      <c r="G1447" s="42" t="s">
        <v>763</v>
      </c>
      <c r="H1447" s="42" t="s">
        <v>149</v>
      </c>
      <c r="I1447" s="42" t="s">
        <v>871</v>
      </c>
    </row>
    <row r="1448" spans="1:9">
      <c r="A1448" s="42" t="s">
        <v>759</v>
      </c>
      <c r="B1448" s="42" t="s">
        <v>274</v>
      </c>
      <c r="C1448" s="42" t="s">
        <v>889</v>
      </c>
      <c r="D1448" s="42" t="s">
        <v>682</v>
      </c>
      <c r="E1448" s="42" t="s">
        <v>762</v>
      </c>
      <c r="F1448" s="45">
        <v>2136000000</v>
      </c>
      <c r="G1448" s="42" t="s">
        <v>763</v>
      </c>
      <c r="H1448" s="42" t="s">
        <v>149</v>
      </c>
      <c r="I1448" s="42" t="s">
        <v>871</v>
      </c>
    </row>
    <row r="1449" spans="1:9">
      <c r="A1449" s="42" t="s">
        <v>759</v>
      </c>
      <c r="B1449" s="42" t="s">
        <v>301</v>
      </c>
      <c r="C1449" s="42" t="s">
        <v>795</v>
      </c>
      <c r="D1449" s="42" t="s">
        <v>682</v>
      </c>
      <c r="E1449" s="42" t="s">
        <v>762</v>
      </c>
      <c r="F1449" s="45">
        <v>116000000</v>
      </c>
      <c r="G1449" s="42" t="s">
        <v>763</v>
      </c>
      <c r="H1449" s="42" t="s">
        <v>149</v>
      </c>
      <c r="I1449" s="42" t="s">
        <v>871</v>
      </c>
    </row>
    <row r="1450" spans="1:9">
      <c r="A1450" s="42" t="s">
        <v>759</v>
      </c>
      <c r="B1450" s="42" t="s">
        <v>302</v>
      </c>
      <c r="C1450" s="42" t="s">
        <v>797</v>
      </c>
      <c r="D1450" s="42" t="s">
        <v>682</v>
      </c>
      <c r="E1450" s="42" t="s">
        <v>762</v>
      </c>
      <c r="F1450" s="45">
        <v>73000000</v>
      </c>
      <c r="G1450" s="42" t="s">
        <v>763</v>
      </c>
      <c r="H1450" s="42" t="s">
        <v>149</v>
      </c>
      <c r="I1450" s="42" t="s">
        <v>871</v>
      </c>
    </row>
    <row r="1451" spans="1:9">
      <c r="A1451" s="42" t="s">
        <v>759</v>
      </c>
      <c r="B1451" s="42" t="s">
        <v>304</v>
      </c>
      <c r="C1451" s="42" t="s">
        <v>796</v>
      </c>
      <c r="D1451" s="42" t="s">
        <v>682</v>
      </c>
      <c r="E1451" s="42" t="s">
        <v>762</v>
      </c>
      <c r="F1451" s="45">
        <v>126000000</v>
      </c>
      <c r="G1451" s="42" t="s">
        <v>763</v>
      </c>
      <c r="H1451" s="42" t="s">
        <v>149</v>
      </c>
      <c r="I1451" s="42" t="s">
        <v>871</v>
      </c>
    </row>
    <row r="1452" spans="1:9">
      <c r="A1452" s="42" t="s">
        <v>759</v>
      </c>
      <c r="B1452" s="42" t="s">
        <v>305</v>
      </c>
      <c r="C1452" s="42" t="s">
        <v>798</v>
      </c>
      <c r="D1452" s="42" t="s">
        <v>682</v>
      </c>
      <c r="E1452" s="42" t="s">
        <v>762</v>
      </c>
      <c r="F1452" s="45">
        <v>247000000</v>
      </c>
      <c r="G1452" s="42" t="s">
        <v>763</v>
      </c>
      <c r="H1452" s="42" t="s">
        <v>149</v>
      </c>
      <c r="I1452" s="42" t="s">
        <v>871</v>
      </c>
    </row>
    <row r="1453" spans="1:9">
      <c r="A1453" s="42" t="s">
        <v>759</v>
      </c>
      <c r="B1453" s="42" t="s">
        <v>306</v>
      </c>
      <c r="C1453" s="42" t="s">
        <v>799</v>
      </c>
      <c r="D1453" s="42" t="s">
        <v>682</v>
      </c>
      <c r="E1453" s="42" t="s">
        <v>762</v>
      </c>
      <c r="F1453" s="45">
        <v>412000000</v>
      </c>
      <c r="G1453" s="42" t="s">
        <v>763</v>
      </c>
      <c r="H1453" s="42" t="s">
        <v>149</v>
      </c>
      <c r="I1453" s="42" t="s">
        <v>871</v>
      </c>
    </row>
    <row r="1454" spans="1:9">
      <c r="A1454" s="42" t="s">
        <v>759</v>
      </c>
      <c r="B1454" s="42" t="s">
        <v>307</v>
      </c>
      <c r="C1454" s="42" t="s">
        <v>843</v>
      </c>
      <c r="D1454" s="42" t="s">
        <v>682</v>
      </c>
      <c r="E1454" s="42" t="s">
        <v>762</v>
      </c>
      <c r="F1454" s="45">
        <v>370000000</v>
      </c>
      <c r="G1454" s="42" t="s">
        <v>763</v>
      </c>
      <c r="H1454" s="42" t="s">
        <v>149</v>
      </c>
      <c r="I1454" s="42" t="s">
        <v>871</v>
      </c>
    </row>
    <row r="1455" spans="1:9">
      <c r="A1455" s="42" t="s">
        <v>759</v>
      </c>
      <c r="B1455" s="42" t="s">
        <v>308</v>
      </c>
      <c r="C1455" s="42" t="s">
        <v>800</v>
      </c>
      <c r="D1455" s="42" t="s">
        <v>682</v>
      </c>
      <c r="E1455" s="42" t="s">
        <v>762</v>
      </c>
      <c r="F1455" s="45">
        <v>1907000000</v>
      </c>
      <c r="G1455" s="42" t="s">
        <v>763</v>
      </c>
      <c r="H1455" s="42" t="s">
        <v>149</v>
      </c>
      <c r="I1455" s="42" t="s">
        <v>871</v>
      </c>
    </row>
    <row r="1456" spans="1:9">
      <c r="A1456" s="42" t="s">
        <v>759</v>
      </c>
      <c r="B1456" s="42" t="s">
        <v>309</v>
      </c>
      <c r="C1456" s="42" t="s">
        <v>801</v>
      </c>
      <c r="D1456" s="42" t="s">
        <v>682</v>
      </c>
      <c r="E1456" s="42" t="s">
        <v>762</v>
      </c>
      <c r="F1456" s="45">
        <v>410000000</v>
      </c>
      <c r="G1456" s="42" t="s">
        <v>763</v>
      </c>
      <c r="H1456" s="42" t="s">
        <v>149</v>
      </c>
      <c r="I1456" s="42" t="s">
        <v>871</v>
      </c>
    </row>
    <row r="1457" spans="1:9">
      <c r="A1457" s="42" t="s">
        <v>759</v>
      </c>
      <c r="B1457" s="42" t="s">
        <v>310</v>
      </c>
      <c r="C1457" s="42" t="s">
        <v>802</v>
      </c>
      <c r="D1457" s="42" t="s">
        <v>682</v>
      </c>
      <c r="E1457" s="42" t="s">
        <v>762</v>
      </c>
      <c r="F1457" s="45">
        <v>2879000000</v>
      </c>
      <c r="G1457" s="42" t="s">
        <v>763</v>
      </c>
      <c r="H1457" s="42" t="s">
        <v>149</v>
      </c>
      <c r="I1457" s="42" t="s">
        <v>871</v>
      </c>
    </row>
    <row r="1458" spans="1:9">
      <c r="A1458" s="42" t="s">
        <v>759</v>
      </c>
      <c r="B1458" s="42" t="s">
        <v>284</v>
      </c>
      <c r="C1458" s="42" t="s">
        <v>803</v>
      </c>
      <c r="D1458" s="42" t="s">
        <v>682</v>
      </c>
      <c r="E1458" s="42" t="s">
        <v>762</v>
      </c>
      <c r="F1458" s="45">
        <v>8676000000</v>
      </c>
      <c r="G1458" s="42" t="s">
        <v>763</v>
      </c>
      <c r="H1458" s="42" t="s">
        <v>149</v>
      </c>
      <c r="I1458" s="42" t="s">
        <v>871</v>
      </c>
    </row>
    <row r="1459" spans="1:9">
      <c r="A1459" s="42" t="s">
        <v>759</v>
      </c>
      <c r="B1459" s="42" t="s">
        <v>285</v>
      </c>
      <c r="C1459" s="42" t="s">
        <v>804</v>
      </c>
      <c r="D1459" s="42" t="s">
        <v>682</v>
      </c>
      <c r="E1459" s="42" t="s">
        <v>762</v>
      </c>
      <c r="F1459" s="45">
        <v>17521000000</v>
      </c>
      <c r="G1459" s="42" t="s">
        <v>763</v>
      </c>
      <c r="H1459" s="42" t="s">
        <v>149</v>
      </c>
      <c r="I1459" s="42" t="s">
        <v>871</v>
      </c>
    </row>
    <row r="1460" spans="1:9">
      <c r="A1460" s="42" t="s">
        <v>759</v>
      </c>
      <c r="B1460" s="42" t="s">
        <v>286</v>
      </c>
      <c r="C1460" s="42" t="s">
        <v>806</v>
      </c>
      <c r="D1460" s="42" t="s">
        <v>682</v>
      </c>
      <c r="E1460" s="42" t="s">
        <v>762</v>
      </c>
      <c r="F1460" s="45">
        <v>29391000000</v>
      </c>
      <c r="G1460" s="42" t="s">
        <v>763</v>
      </c>
      <c r="H1460" s="42" t="s">
        <v>149</v>
      </c>
      <c r="I1460" s="42" t="s">
        <v>871</v>
      </c>
    </row>
    <row r="1461" spans="1:9">
      <c r="A1461" s="42" t="s">
        <v>759</v>
      </c>
      <c r="B1461" s="42" t="s">
        <v>287</v>
      </c>
      <c r="C1461" s="42" t="s">
        <v>821</v>
      </c>
      <c r="D1461" s="42" t="s">
        <v>175</v>
      </c>
      <c r="E1461" s="42" t="s">
        <v>808</v>
      </c>
      <c r="F1461" s="45">
        <v>377000000</v>
      </c>
      <c r="G1461" s="42" t="s">
        <v>763</v>
      </c>
      <c r="H1461" s="42" t="s">
        <v>131</v>
      </c>
      <c r="I1461" s="42" t="s">
        <v>890</v>
      </c>
    </row>
    <row r="1462" spans="1:9">
      <c r="A1462" s="42" t="s">
        <v>759</v>
      </c>
      <c r="B1462" s="42" t="s">
        <v>288</v>
      </c>
      <c r="C1462" s="42" t="s">
        <v>823</v>
      </c>
      <c r="D1462" s="42" t="s">
        <v>175</v>
      </c>
      <c r="E1462" s="42" t="s">
        <v>808</v>
      </c>
      <c r="F1462" s="45">
        <v>16699000000</v>
      </c>
      <c r="G1462" s="42" t="s">
        <v>763</v>
      </c>
      <c r="H1462" s="42" t="s">
        <v>131</v>
      </c>
      <c r="I1462" s="42" t="s">
        <v>890</v>
      </c>
    </row>
    <row r="1463" spans="1:9">
      <c r="A1463" s="42" t="s">
        <v>759</v>
      </c>
      <c r="B1463" s="42" t="s">
        <v>289</v>
      </c>
      <c r="C1463" s="42" t="s">
        <v>825</v>
      </c>
      <c r="D1463" s="42" t="s">
        <v>175</v>
      </c>
      <c r="E1463" s="42" t="s">
        <v>808</v>
      </c>
      <c r="F1463" s="45">
        <v>614000000</v>
      </c>
      <c r="G1463" s="42" t="s">
        <v>763</v>
      </c>
      <c r="H1463" s="42" t="s">
        <v>131</v>
      </c>
      <c r="I1463" s="42" t="s">
        <v>890</v>
      </c>
    </row>
    <row r="1464" spans="1:9">
      <c r="A1464" s="42" t="s">
        <v>759</v>
      </c>
      <c r="B1464" s="42" t="s">
        <v>290</v>
      </c>
      <c r="C1464" s="42" t="s">
        <v>826</v>
      </c>
      <c r="D1464" s="42" t="s">
        <v>175</v>
      </c>
      <c r="E1464" s="42" t="s">
        <v>808</v>
      </c>
      <c r="F1464" s="45">
        <v>1834000000</v>
      </c>
      <c r="G1464" s="42" t="s">
        <v>763</v>
      </c>
      <c r="H1464" s="42" t="s">
        <v>131</v>
      </c>
      <c r="I1464" s="42" t="s">
        <v>890</v>
      </c>
    </row>
    <row r="1465" spans="1:9">
      <c r="A1465" s="42" t="s">
        <v>759</v>
      </c>
      <c r="B1465" s="42" t="s">
        <v>291</v>
      </c>
      <c r="C1465" s="42" t="s">
        <v>827</v>
      </c>
      <c r="D1465" s="42" t="s">
        <v>175</v>
      </c>
      <c r="E1465" s="42" t="s">
        <v>808</v>
      </c>
      <c r="F1465" s="45">
        <v>18000000</v>
      </c>
      <c r="G1465" s="42" t="s">
        <v>763</v>
      </c>
      <c r="H1465" s="42" t="s">
        <v>131</v>
      </c>
      <c r="I1465" s="42" t="s">
        <v>890</v>
      </c>
    </row>
    <row r="1466" spans="1:9">
      <c r="A1466" s="42" t="s">
        <v>759</v>
      </c>
      <c r="B1466" s="42" t="s">
        <v>292</v>
      </c>
      <c r="C1466" s="42" t="s">
        <v>828</v>
      </c>
      <c r="D1466" s="42" t="s">
        <v>175</v>
      </c>
      <c r="E1466" s="42" t="s">
        <v>808</v>
      </c>
      <c r="F1466" s="45">
        <v>177000000</v>
      </c>
      <c r="G1466" s="42" t="s">
        <v>763</v>
      </c>
      <c r="H1466" s="42" t="s">
        <v>131</v>
      </c>
      <c r="I1466" s="42" t="s">
        <v>890</v>
      </c>
    </row>
    <row r="1467" spans="1:9">
      <c r="A1467" s="42" t="s">
        <v>759</v>
      </c>
      <c r="B1467" s="42" t="s">
        <v>293</v>
      </c>
      <c r="C1467" s="42" t="s">
        <v>829</v>
      </c>
      <c r="D1467" s="42" t="s">
        <v>175</v>
      </c>
      <c r="E1467" s="42" t="s">
        <v>808</v>
      </c>
      <c r="F1467" s="45">
        <v>31000000</v>
      </c>
      <c r="G1467" s="42" t="s">
        <v>763</v>
      </c>
      <c r="H1467" s="42" t="s">
        <v>131</v>
      </c>
      <c r="I1467" s="42" t="s">
        <v>890</v>
      </c>
    </row>
    <row r="1468" spans="1:9">
      <c r="A1468" s="42" t="s">
        <v>759</v>
      </c>
      <c r="B1468" s="42" t="s">
        <v>862</v>
      </c>
      <c r="C1468" s="42" t="s">
        <v>863</v>
      </c>
      <c r="D1468" s="42" t="s">
        <v>175</v>
      </c>
      <c r="E1468" s="42" t="s">
        <v>808</v>
      </c>
      <c r="F1468" s="45">
        <v>7000000</v>
      </c>
      <c r="G1468" s="42" t="s">
        <v>763</v>
      </c>
      <c r="H1468" s="42" t="s">
        <v>131</v>
      </c>
      <c r="I1468" s="42" t="s">
        <v>890</v>
      </c>
    </row>
    <row r="1469" spans="1:9">
      <c r="A1469" s="42" t="s">
        <v>759</v>
      </c>
      <c r="B1469" s="42" t="s">
        <v>239</v>
      </c>
      <c r="C1469" s="42" t="s">
        <v>830</v>
      </c>
      <c r="D1469" s="42" t="s">
        <v>175</v>
      </c>
      <c r="E1469" s="42" t="s">
        <v>808</v>
      </c>
      <c r="F1469" s="45">
        <v>19757000000</v>
      </c>
      <c r="G1469" s="42" t="s">
        <v>763</v>
      </c>
      <c r="H1469" s="42" t="s">
        <v>131</v>
      </c>
      <c r="I1469" s="42" t="s">
        <v>890</v>
      </c>
    </row>
    <row r="1470" spans="1:9">
      <c r="A1470" s="42" t="s">
        <v>759</v>
      </c>
      <c r="B1470" s="42" t="s">
        <v>240</v>
      </c>
      <c r="C1470" s="42" t="s">
        <v>818</v>
      </c>
      <c r="D1470" s="42" t="s">
        <v>175</v>
      </c>
      <c r="E1470" s="42" t="s">
        <v>808</v>
      </c>
      <c r="F1470" s="45">
        <v>1858000000</v>
      </c>
      <c r="G1470" s="42" t="s">
        <v>763</v>
      </c>
      <c r="H1470" s="42" t="s">
        <v>131</v>
      </c>
      <c r="I1470" s="42" t="s">
        <v>890</v>
      </c>
    </row>
    <row r="1471" spans="1:9">
      <c r="A1471" s="42" t="s">
        <v>759</v>
      </c>
      <c r="B1471" s="42" t="s">
        <v>241</v>
      </c>
      <c r="C1471" s="42" t="s">
        <v>772</v>
      </c>
      <c r="D1471" s="42" t="s">
        <v>175</v>
      </c>
      <c r="E1471" s="42" t="s">
        <v>808</v>
      </c>
      <c r="F1471" s="45">
        <v>1574000000</v>
      </c>
      <c r="G1471" s="42" t="s">
        <v>763</v>
      </c>
      <c r="H1471" s="42" t="s">
        <v>131</v>
      </c>
      <c r="I1471" s="42" t="s">
        <v>890</v>
      </c>
    </row>
    <row r="1472" spans="1:9">
      <c r="A1472" s="42" t="s">
        <v>759</v>
      </c>
      <c r="B1472" s="42" t="s">
        <v>242</v>
      </c>
      <c r="C1472" s="42" t="s">
        <v>773</v>
      </c>
      <c r="D1472" s="42" t="s">
        <v>175</v>
      </c>
      <c r="E1472" s="42" t="s">
        <v>808</v>
      </c>
      <c r="F1472" s="45">
        <v>17000000</v>
      </c>
      <c r="G1472" s="42" t="s">
        <v>763</v>
      </c>
      <c r="H1472" s="42" t="s">
        <v>131</v>
      </c>
      <c r="I1472" s="42" t="s">
        <v>890</v>
      </c>
    </row>
    <row r="1473" spans="1:9">
      <c r="A1473" s="42" t="s">
        <v>759</v>
      </c>
      <c r="B1473" s="42" t="s">
        <v>292</v>
      </c>
      <c r="C1473" s="42" t="s">
        <v>774</v>
      </c>
      <c r="D1473" s="42" t="s">
        <v>175</v>
      </c>
      <c r="E1473" s="42" t="s">
        <v>808</v>
      </c>
      <c r="F1473" s="45">
        <v>444000000</v>
      </c>
      <c r="G1473" s="42" t="s">
        <v>763</v>
      </c>
      <c r="H1473" s="42" t="s">
        <v>131</v>
      </c>
      <c r="I1473" s="42" t="s">
        <v>890</v>
      </c>
    </row>
    <row r="1474" spans="1:9">
      <c r="A1474" s="42" t="s">
        <v>759</v>
      </c>
      <c r="B1474" s="42" t="s">
        <v>293</v>
      </c>
      <c r="C1474" s="42" t="s">
        <v>775</v>
      </c>
      <c r="D1474" s="42" t="s">
        <v>175</v>
      </c>
      <c r="E1474" s="42" t="s">
        <v>808</v>
      </c>
      <c r="F1474" s="45">
        <v>1400000000</v>
      </c>
      <c r="G1474" s="42" t="s">
        <v>763</v>
      </c>
      <c r="H1474" s="42" t="s">
        <v>131</v>
      </c>
      <c r="I1474" s="42" t="s">
        <v>890</v>
      </c>
    </row>
    <row r="1475" spans="1:9">
      <c r="A1475" s="42" t="s">
        <v>759</v>
      </c>
      <c r="B1475" s="42" t="s">
        <v>862</v>
      </c>
      <c r="C1475" s="42" t="s">
        <v>776</v>
      </c>
      <c r="D1475" s="42" t="s">
        <v>175</v>
      </c>
      <c r="E1475" s="42" t="s">
        <v>808</v>
      </c>
      <c r="F1475" s="45">
        <v>290000000</v>
      </c>
      <c r="G1475" s="42" t="s">
        <v>763</v>
      </c>
      <c r="H1475" s="42" t="s">
        <v>131</v>
      </c>
      <c r="I1475" s="42" t="s">
        <v>890</v>
      </c>
    </row>
    <row r="1476" spans="1:9">
      <c r="A1476" s="42" t="s">
        <v>759</v>
      </c>
      <c r="B1476" s="42" t="s">
        <v>246</v>
      </c>
      <c r="C1476" s="42" t="s">
        <v>777</v>
      </c>
      <c r="D1476" s="42" t="s">
        <v>175</v>
      </c>
      <c r="E1476" s="42" t="s">
        <v>808</v>
      </c>
      <c r="F1476" s="45">
        <v>1309000000</v>
      </c>
      <c r="G1476" s="42" t="s">
        <v>763</v>
      </c>
      <c r="H1476" s="42" t="s">
        <v>131</v>
      </c>
      <c r="I1476" s="42" t="s">
        <v>890</v>
      </c>
    </row>
    <row r="1477" spans="1:9">
      <c r="A1477" s="42" t="s">
        <v>759</v>
      </c>
      <c r="B1477" s="42" t="s">
        <v>247</v>
      </c>
      <c r="C1477" s="42" t="s">
        <v>778</v>
      </c>
      <c r="D1477" s="42" t="s">
        <v>175</v>
      </c>
      <c r="E1477" s="42" t="s">
        <v>808</v>
      </c>
      <c r="F1477" s="45">
        <v>6892000000</v>
      </c>
      <c r="G1477" s="42" t="s">
        <v>763</v>
      </c>
      <c r="H1477" s="42" t="s">
        <v>131</v>
      </c>
      <c r="I1477" s="42" t="s">
        <v>890</v>
      </c>
    </row>
    <row r="1478" spans="1:9">
      <c r="A1478" s="42" t="s">
        <v>759</v>
      </c>
      <c r="B1478" s="42" t="s">
        <v>248</v>
      </c>
      <c r="C1478" s="42" t="s">
        <v>779</v>
      </c>
      <c r="D1478" s="42" t="s">
        <v>175</v>
      </c>
      <c r="E1478" s="42" t="s">
        <v>808</v>
      </c>
      <c r="F1478" s="45">
        <v>26649000000</v>
      </c>
      <c r="G1478" s="42" t="s">
        <v>763</v>
      </c>
      <c r="H1478" s="42" t="s">
        <v>131</v>
      </c>
      <c r="I1478" s="42" t="s">
        <v>890</v>
      </c>
    </row>
    <row r="1479" spans="1:9">
      <c r="A1479" s="42" t="s">
        <v>759</v>
      </c>
      <c r="B1479" s="42" t="s">
        <v>780</v>
      </c>
      <c r="C1479" s="42" t="s">
        <v>781</v>
      </c>
      <c r="D1479" s="42" t="s">
        <v>175</v>
      </c>
      <c r="E1479" s="42" t="s">
        <v>808</v>
      </c>
      <c r="F1479" s="45">
        <v>4505000000</v>
      </c>
      <c r="G1479" s="42" t="s">
        <v>763</v>
      </c>
      <c r="H1479" s="42" t="s">
        <v>131</v>
      </c>
      <c r="I1479" s="42" t="s">
        <v>890</v>
      </c>
    </row>
    <row r="1480" spans="1:9">
      <c r="A1480" s="42" t="s">
        <v>759</v>
      </c>
      <c r="B1480" s="42" t="s">
        <v>298</v>
      </c>
      <c r="C1480" s="42" t="s">
        <v>855</v>
      </c>
      <c r="D1480" s="42" t="s">
        <v>175</v>
      </c>
      <c r="E1480" s="42" t="s">
        <v>808</v>
      </c>
      <c r="F1480" s="45">
        <v>5308000000</v>
      </c>
      <c r="G1480" s="42" t="s">
        <v>763</v>
      </c>
      <c r="H1480" s="42" t="s">
        <v>131</v>
      </c>
      <c r="I1480" s="42" t="s">
        <v>890</v>
      </c>
    </row>
    <row r="1481" spans="1:9">
      <c r="A1481" s="42" t="s">
        <v>759</v>
      </c>
      <c r="B1481" s="42" t="s">
        <v>783</v>
      </c>
      <c r="C1481" s="42" t="s">
        <v>784</v>
      </c>
      <c r="D1481" s="42" t="s">
        <v>175</v>
      </c>
      <c r="E1481" s="42" t="s">
        <v>808</v>
      </c>
      <c r="F1481" s="45">
        <v>9813000000</v>
      </c>
      <c r="G1481" s="42" t="s">
        <v>763</v>
      </c>
      <c r="H1481" s="42" t="s">
        <v>131</v>
      </c>
      <c r="I1481" s="42" t="s">
        <v>890</v>
      </c>
    </row>
    <row r="1482" spans="1:9">
      <c r="A1482" s="42" t="s">
        <v>759</v>
      </c>
      <c r="B1482" s="42" t="s">
        <v>261</v>
      </c>
      <c r="C1482" s="42" t="s">
        <v>785</v>
      </c>
      <c r="D1482" s="42" t="s">
        <v>175</v>
      </c>
      <c r="E1482" s="42" t="s">
        <v>808</v>
      </c>
      <c r="F1482" s="45">
        <v>154000000</v>
      </c>
      <c r="G1482" s="42" t="s">
        <v>763</v>
      </c>
      <c r="H1482" s="42" t="s">
        <v>131</v>
      </c>
      <c r="I1482" s="42" t="s">
        <v>890</v>
      </c>
    </row>
    <row r="1483" spans="1:9">
      <c r="A1483" s="42" t="s">
        <v>759</v>
      </c>
      <c r="B1483" s="42" t="s">
        <v>786</v>
      </c>
      <c r="C1483" s="42" t="s">
        <v>787</v>
      </c>
      <c r="D1483" s="42" t="s">
        <v>175</v>
      </c>
      <c r="E1483" s="42" t="s">
        <v>808</v>
      </c>
      <c r="F1483" s="45">
        <v>9967000000</v>
      </c>
      <c r="G1483" s="42" t="s">
        <v>763</v>
      </c>
      <c r="H1483" s="42" t="s">
        <v>131</v>
      </c>
      <c r="I1483" s="42" t="s">
        <v>890</v>
      </c>
    </row>
    <row r="1484" spans="1:9">
      <c r="A1484" s="42" t="s">
        <v>759</v>
      </c>
      <c r="B1484" s="42" t="s">
        <v>301</v>
      </c>
      <c r="C1484" s="42" t="s">
        <v>832</v>
      </c>
      <c r="D1484" s="42" t="s">
        <v>175</v>
      </c>
      <c r="E1484" s="42" t="s">
        <v>808</v>
      </c>
      <c r="F1484" s="45">
        <v>686000000</v>
      </c>
      <c r="G1484" s="42" t="s">
        <v>763</v>
      </c>
      <c r="H1484" s="42" t="s">
        <v>131</v>
      </c>
      <c r="I1484" s="42" t="s">
        <v>890</v>
      </c>
    </row>
    <row r="1485" spans="1:9">
      <c r="A1485" s="42" t="s">
        <v>759</v>
      </c>
      <c r="B1485" s="42" t="s">
        <v>302</v>
      </c>
      <c r="C1485" s="42" t="s">
        <v>834</v>
      </c>
      <c r="D1485" s="42" t="s">
        <v>175</v>
      </c>
      <c r="E1485" s="42" t="s">
        <v>808</v>
      </c>
      <c r="F1485" s="45">
        <v>33000000</v>
      </c>
      <c r="G1485" s="42" t="s">
        <v>763</v>
      </c>
      <c r="H1485" s="42" t="s">
        <v>131</v>
      </c>
      <c r="I1485" s="42" t="s">
        <v>890</v>
      </c>
    </row>
    <row r="1486" spans="1:9">
      <c r="A1486" s="42" t="s">
        <v>759</v>
      </c>
      <c r="B1486" s="42" t="s">
        <v>303</v>
      </c>
      <c r="C1486" s="42" t="s">
        <v>833</v>
      </c>
      <c r="D1486" s="42" t="s">
        <v>175</v>
      </c>
      <c r="E1486" s="42" t="s">
        <v>808</v>
      </c>
      <c r="F1486" s="45">
        <v>1066000000</v>
      </c>
      <c r="G1486" s="42" t="s">
        <v>763</v>
      </c>
      <c r="H1486" s="42" t="s">
        <v>131</v>
      </c>
      <c r="I1486" s="42" t="s">
        <v>890</v>
      </c>
    </row>
    <row r="1487" spans="1:9">
      <c r="A1487" s="42" t="s">
        <v>759</v>
      </c>
      <c r="B1487" s="42" t="s">
        <v>304</v>
      </c>
      <c r="C1487" s="42" t="s">
        <v>835</v>
      </c>
      <c r="D1487" s="42" t="s">
        <v>175</v>
      </c>
      <c r="E1487" s="42" t="s">
        <v>808</v>
      </c>
      <c r="F1487" s="45">
        <v>4000000</v>
      </c>
      <c r="G1487" s="42" t="s">
        <v>763</v>
      </c>
      <c r="H1487" s="42" t="s">
        <v>131</v>
      </c>
      <c r="I1487" s="42" t="s">
        <v>890</v>
      </c>
    </row>
    <row r="1488" spans="1:9">
      <c r="A1488" s="42" t="s">
        <v>759</v>
      </c>
      <c r="B1488" s="42" t="s">
        <v>307</v>
      </c>
      <c r="C1488" s="42" t="s">
        <v>838</v>
      </c>
      <c r="D1488" s="42" t="s">
        <v>175</v>
      </c>
      <c r="E1488" s="42" t="s">
        <v>808</v>
      </c>
      <c r="F1488" s="45">
        <v>312000000</v>
      </c>
      <c r="G1488" s="42" t="s">
        <v>763</v>
      </c>
      <c r="H1488" s="42" t="s">
        <v>131</v>
      </c>
      <c r="I1488" s="42" t="s">
        <v>890</v>
      </c>
    </row>
    <row r="1489" spans="1:9">
      <c r="A1489" s="42" t="s">
        <v>759</v>
      </c>
      <c r="B1489" s="42" t="s">
        <v>308</v>
      </c>
      <c r="C1489" s="42" t="s">
        <v>839</v>
      </c>
      <c r="D1489" s="42" t="s">
        <v>175</v>
      </c>
      <c r="E1489" s="42" t="s">
        <v>808</v>
      </c>
      <c r="F1489" s="45">
        <v>7240000000</v>
      </c>
      <c r="G1489" s="42" t="s">
        <v>763</v>
      </c>
      <c r="H1489" s="42" t="s">
        <v>131</v>
      </c>
      <c r="I1489" s="42" t="s">
        <v>890</v>
      </c>
    </row>
    <row r="1490" spans="1:9">
      <c r="A1490" s="42" t="s">
        <v>759</v>
      </c>
      <c r="B1490" s="42" t="s">
        <v>309</v>
      </c>
      <c r="C1490" s="42" t="s">
        <v>840</v>
      </c>
      <c r="D1490" s="42" t="s">
        <v>175</v>
      </c>
      <c r="E1490" s="42" t="s">
        <v>808</v>
      </c>
      <c r="F1490" s="45">
        <v>74000000</v>
      </c>
      <c r="G1490" s="42" t="s">
        <v>763</v>
      </c>
      <c r="H1490" s="42" t="s">
        <v>131</v>
      </c>
      <c r="I1490" s="42" t="s">
        <v>890</v>
      </c>
    </row>
    <row r="1491" spans="1:9">
      <c r="A1491" s="42" t="s">
        <v>759</v>
      </c>
      <c r="B1491" s="42" t="s">
        <v>310</v>
      </c>
      <c r="C1491" s="42" t="s">
        <v>841</v>
      </c>
      <c r="D1491" s="42" t="s">
        <v>175</v>
      </c>
      <c r="E1491" s="42" t="s">
        <v>808</v>
      </c>
      <c r="F1491" s="45">
        <v>5000000</v>
      </c>
      <c r="G1491" s="42" t="s">
        <v>763</v>
      </c>
      <c r="H1491" s="42" t="s">
        <v>131</v>
      </c>
      <c r="I1491" s="42" t="s">
        <v>890</v>
      </c>
    </row>
    <row r="1492" spans="1:9">
      <c r="A1492" s="42" t="s">
        <v>759</v>
      </c>
      <c r="B1492" s="42" t="s">
        <v>273</v>
      </c>
      <c r="C1492" s="42" t="s">
        <v>842</v>
      </c>
      <c r="D1492" s="42" t="s">
        <v>175</v>
      </c>
      <c r="E1492" s="42" t="s">
        <v>808</v>
      </c>
      <c r="F1492" s="45">
        <v>9420000000</v>
      </c>
      <c r="G1492" s="42" t="s">
        <v>763</v>
      </c>
      <c r="H1492" s="42" t="s">
        <v>131</v>
      </c>
      <c r="I1492" s="42" t="s">
        <v>890</v>
      </c>
    </row>
    <row r="1493" spans="1:9">
      <c r="A1493" s="42" t="s">
        <v>759</v>
      </c>
      <c r="B1493" s="42" t="s">
        <v>274</v>
      </c>
      <c r="C1493" s="42" t="s">
        <v>889</v>
      </c>
      <c r="D1493" s="42" t="s">
        <v>175</v>
      </c>
      <c r="E1493" s="42" t="s">
        <v>808</v>
      </c>
      <c r="F1493" s="45">
        <v>2039000000</v>
      </c>
      <c r="G1493" s="42" t="s">
        <v>763</v>
      </c>
      <c r="H1493" s="42" t="s">
        <v>131</v>
      </c>
      <c r="I1493" s="42" t="s">
        <v>890</v>
      </c>
    </row>
    <row r="1494" spans="1:9">
      <c r="A1494" s="42" t="s">
        <v>759</v>
      </c>
      <c r="B1494" s="42" t="s">
        <v>301</v>
      </c>
      <c r="C1494" s="42" t="s">
        <v>795</v>
      </c>
      <c r="D1494" s="42" t="s">
        <v>175</v>
      </c>
      <c r="E1494" s="42" t="s">
        <v>808</v>
      </c>
      <c r="F1494" s="45">
        <v>207000000</v>
      </c>
      <c r="G1494" s="42" t="s">
        <v>763</v>
      </c>
      <c r="H1494" s="42" t="s">
        <v>131</v>
      </c>
      <c r="I1494" s="42" t="s">
        <v>890</v>
      </c>
    </row>
    <row r="1495" spans="1:9">
      <c r="A1495" s="42" t="s">
        <v>759</v>
      </c>
      <c r="B1495" s="42" t="s">
        <v>302</v>
      </c>
      <c r="C1495" s="42" t="s">
        <v>797</v>
      </c>
      <c r="D1495" s="42" t="s">
        <v>175</v>
      </c>
      <c r="E1495" s="42" t="s">
        <v>808</v>
      </c>
      <c r="F1495" s="45">
        <v>54000000</v>
      </c>
      <c r="G1495" s="42" t="s">
        <v>763</v>
      </c>
      <c r="H1495" s="42" t="s">
        <v>131</v>
      </c>
      <c r="I1495" s="42" t="s">
        <v>890</v>
      </c>
    </row>
    <row r="1496" spans="1:9">
      <c r="A1496" s="42" t="s">
        <v>759</v>
      </c>
      <c r="B1496" s="42" t="s">
        <v>304</v>
      </c>
      <c r="C1496" s="42" t="s">
        <v>796</v>
      </c>
      <c r="D1496" s="42" t="s">
        <v>175</v>
      </c>
      <c r="E1496" s="42" t="s">
        <v>808</v>
      </c>
      <c r="F1496" s="45">
        <v>45000000</v>
      </c>
      <c r="G1496" s="42" t="s">
        <v>763</v>
      </c>
      <c r="H1496" s="42" t="s">
        <v>131</v>
      </c>
      <c r="I1496" s="42" t="s">
        <v>890</v>
      </c>
    </row>
    <row r="1497" spans="1:9">
      <c r="A1497" s="42" t="s">
        <v>759</v>
      </c>
      <c r="B1497" s="42" t="s">
        <v>305</v>
      </c>
      <c r="C1497" s="42" t="s">
        <v>798</v>
      </c>
      <c r="D1497" s="42" t="s">
        <v>175</v>
      </c>
      <c r="E1497" s="42" t="s">
        <v>808</v>
      </c>
      <c r="F1497" s="45">
        <v>248000000</v>
      </c>
      <c r="G1497" s="42" t="s">
        <v>763</v>
      </c>
      <c r="H1497" s="42" t="s">
        <v>131</v>
      </c>
      <c r="I1497" s="42" t="s">
        <v>890</v>
      </c>
    </row>
    <row r="1498" spans="1:9">
      <c r="A1498" s="42" t="s">
        <v>759</v>
      </c>
      <c r="B1498" s="42" t="s">
        <v>306</v>
      </c>
      <c r="C1498" s="42" t="s">
        <v>799</v>
      </c>
      <c r="D1498" s="42" t="s">
        <v>175</v>
      </c>
      <c r="E1498" s="42" t="s">
        <v>808</v>
      </c>
      <c r="F1498" s="45">
        <v>175000000</v>
      </c>
      <c r="G1498" s="42" t="s">
        <v>763</v>
      </c>
      <c r="H1498" s="42" t="s">
        <v>131</v>
      </c>
      <c r="I1498" s="42" t="s">
        <v>890</v>
      </c>
    </row>
    <row r="1499" spans="1:9">
      <c r="A1499" s="42" t="s">
        <v>759</v>
      </c>
      <c r="B1499" s="42" t="s">
        <v>307</v>
      </c>
      <c r="C1499" s="42" t="s">
        <v>843</v>
      </c>
      <c r="D1499" s="42" t="s">
        <v>175</v>
      </c>
      <c r="E1499" s="42" t="s">
        <v>808</v>
      </c>
      <c r="F1499" s="45">
        <v>336000000</v>
      </c>
      <c r="G1499" s="42" t="s">
        <v>763</v>
      </c>
      <c r="H1499" s="42" t="s">
        <v>131</v>
      </c>
      <c r="I1499" s="42" t="s">
        <v>890</v>
      </c>
    </row>
    <row r="1500" spans="1:9">
      <c r="A1500" s="42" t="s">
        <v>759</v>
      </c>
      <c r="B1500" s="42" t="s">
        <v>308</v>
      </c>
      <c r="C1500" s="42" t="s">
        <v>800</v>
      </c>
      <c r="D1500" s="42" t="s">
        <v>175</v>
      </c>
      <c r="E1500" s="42" t="s">
        <v>808</v>
      </c>
      <c r="F1500" s="45">
        <v>1559000000</v>
      </c>
      <c r="G1500" s="42" t="s">
        <v>763</v>
      </c>
      <c r="H1500" s="42" t="s">
        <v>131</v>
      </c>
      <c r="I1500" s="42" t="s">
        <v>890</v>
      </c>
    </row>
    <row r="1501" spans="1:9">
      <c r="A1501" s="42" t="s">
        <v>759</v>
      </c>
      <c r="B1501" s="42" t="s">
        <v>309</v>
      </c>
      <c r="C1501" s="42" t="s">
        <v>801</v>
      </c>
      <c r="D1501" s="42" t="s">
        <v>175</v>
      </c>
      <c r="E1501" s="42" t="s">
        <v>808</v>
      </c>
      <c r="F1501" s="45">
        <v>117000000</v>
      </c>
      <c r="G1501" s="42" t="s">
        <v>763</v>
      </c>
      <c r="H1501" s="42" t="s">
        <v>131</v>
      </c>
      <c r="I1501" s="42" t="s">
        <v>890</v>
      </c>
    </row>
    <row r="1502" spans="1:9">
      <c r="A1502" s="42" t="s">
        <v>759</v>
      </c>
      <c r="B1502" s="42" t="s">
        <v>310</v>
      </c>
      <c r="C1502" s="42" t="s">
        <v>802</v>
      </c>
      <c r="D1502" s="42" t="s">
        <v>175</v>
      </c>
      <c r="E1502" s="42" t="s">
        <v>808</v>
      </c>
      <c r="F1502" s="45">
        <v>2482000000</v>
      </c>
      <c r="G1502" s="42" t="s">
        <v>763</v>
      </c>
      <c r="H1502" s="42" t="s">
        <v>131</v>
      </c>
      <c r="I1502" s="42" t="s">
        <v>890</v>
      </c>
    </row>
    <row r="1503" spans="1:9">
      <c r="A1503" s="42" t="s">
        <v>759</v>
      </c>
      <c r="B1503" s="42" t="s">
        <v>284</v>
      </c>
      <c r="C1503" s="42" t="s">
        <v>803</v>
      </c>
      <c r="D1503" s="42" t="s">
        <v>175</v>
      </c>
      <c r="E1503" s="42" t="s">
        <v>808</v>
      </c>
      <c r="F1503" s="45">
        <v>7262000000</v>
      </c>
      <c r="G1503" s="42" t="s">
        <v>763</v>
      </c>
      <c r="H1503" s="42" t="s">
        <v>131</v>
      </c>
      <c r="I1503" s="42" t="s">
        <v>890</v>
      </c>
    </row>
    <row r="1504" spans="1:9">
      <c r="A1504" s="42" t="s">
        <v>759</v>
      </c>
      <c r="B1504" s="42" t="s">
        <v>285</v>
      </c>
      <c r="C1504" s="42" t="s">
        <v>804</v>
      </c>
      <c r="D1504" s="42" t="s">
        <v>175</v>
      </c>
      <c r="E1504" s="42" t="s">
        <v>808</v>
      </c>
      <c r="F1504" s="45">
        <v>16682000000</v>
      </c>
      <c r="G1504" s="42" t="s">
        <v>763</v>
      </c>
      <c r="H1504" s="42" t="s">
        <v>131</v>
      </c>
      <c r="I1504" s="42" t="s">
        <v>890</v>
      </c>
    </row>
    <row r="1505" spans="1:9">
      <c r="A1505" s="42" t="s">
        <v>759</v>
      </c>
      <c r="B1505" s="42" t="s">
        <v>805</v>
      </c>
      <c r="C1505" s="42" t="s">
        <v>806</v>
      </c>
      <c r="D1505" s="42" t="s">
        <v>175</v>
      </c>
      <c r="E1505" s="42" t="s">
        <v>808</v>
      </c>
      <c r="F1505" s="45">
        <v>26649000000</v>
      </c>
      <c r="G1505" s="42" t="s">
        <v>763</v>
      </c>
      <c r="H1505" s="42" t="s">
        <v>131</v>
      </c>
      <c r="I1505" s="42" t="s">
        <v>890</v>
      </c>
    </row>
    <row r="1506" spans="1:9">
      <c r="A1506" s="42" t="s">
        <v>759</v>
      </c>
      <c r="B1506" s="42" t="s">
        <v>287</v>
      </c>
      <c r="C1506" s="42" t="s">
        <v>821</v>
      </c>
      <c r="D1506" s="42" t="s">
        <v>176</v>
      </c>
      <c r="E1506" s="42" t="s">
        <v>808</v>
      </c>
      <c r="F1506" s="45">
        <v>389000000</v>
      </c>
      <c r="G1506" s="42" t="s">
        <v>763</v>
      </c>
      <c r="H1506" s="42" t="s">
        <v>133</v>
      </c>
      <c r="I1506" s="42" t="s">
        <v>891</v>
      </c>
    </row>
    <row r="1507" spans="1:9">
      <c r="A1507" s="42" t="s">
        <v>759</v>
      </c>
      <c r="B1507" s="42" t="s">
        <v>288</v>
      </c>
      <c r="C1507" s="42" t="s">
        <v>823</v>
      </c>
      <c r="D1507" s="42" t="s">
        <v>176</v>
      </c>
      <c r="E1507" s="42" t="s">
        <v>808</v>
      </c>
      <c r="F1507" s="45">
        <v>17423000000</v>
      </c>
      <c r="G1507" s="42" t="s">
        <v>763</v>
      </c>
      <c r="H1507" s="42" t="s">
        <v>133</v>
      </c>
      <c r="I1507" s="42" t="s">
        <v>891</v>
      </c>
    </row>
    <row r="1508" spans="1:9">
      <c r="A1508" s="42" t="s">
        <v>759</v>
      </c>
      <c r="B1508" s="42" t="s">
        <v>289</v>
      </c>
      <c r="C1508" s="42" t="s">
        <v>825</v>
      </c>
      <c r="D1508" s="42" t="s">
        <v>176</v>
      </c>
      <c r="E1508" s="42" t="s">
        <v>808</v>
      </c>
      <c r="F1508" s="45">
        <v>565000000</v>
      </c>
      <c r="G1508" s="42" t="s">
        <v>763</v>
      </c>
      <c r="H1508" s="42" t="s">
        <v>133</v>
      </c>
      <c r="I1508" s="42" t="s">
        <v>891</v>
      </c>
    </row>
    <row r="1509" spans="1:9">
      <c r="A1509" s="42" t="s">
        <v>759</v>
      </c>
      <c r="B1509" s="42" t="s">
        <v>290</v>
      </c>
      <c r="C1509" s="42" t="s">
        <v>826</v>
      </c>
      <c r="D1509" s="42" t="s">
        <v>176</v>
      </c>
      <c r="E1509" s="42" t="s">
        <v>808</v>
      </c>
      <c r="F1509" s="45">
        <v>1745000000</v>
      </c>
      <c r="G1509" s="42" t="s">
        <v>763</v>
      </c>
      <c r="H1509" s="42" t="s">
        <v>133</v>
      </c>
      <c r="I1509" s="42" t="s">
        <v>891</v>
      </c>
    </row>
    <row r="1510" spans="1:9">
      <c r="A1510" s="42" t="s">
        <v>759</v>
      </c>
      <c r="B1510" s="42" t="s">
        <v>291</v>
      </c>
      <c r="C1510" s="42" t="s">
        <v>827</v>
      </c>
      <c r="D1510" s="42" t="s">
        <v>176</v>
      </c>
      <c r="E1510" s="42" t="s">
        <v>808</v>
      </c>
      <c r="F1510" s="45">
        <v>19000000</v>
      </c>
      <c r="G1510" s="42" t="s">
        <v>763</v>
      </c>
      <c r="H1510" s="42" t="s">
        <v>133</v>
      </c>
      <c r="I1510" s="42" t="s">
        <v>891</v>
      </c>
    </row>
    <row r="1511" spans="1:9">
      <c r="A1511" s="42" t="s">
        <v>759</v>
      </c>
      <c r="B1511" s="42" t="s">
        <v>292</v>
      </c>
      <c r="C1511" s="42" t="s">
        <v>828</v>
      </c>
      <c r="D1511" s="42" t="s">
        <v>176</v>
      </c>
      <c r="E1511" s="42" t="s">
        <v>808</v>
      </c>
      <c r="F1511" s="45">
        <v>242000000</v>
      </c>
      <c r="G1511" s="42" t="s">
        <v>763</v>
      </c>
      <c r="H1511" s="42" t="s">
        <v>133</v>
      </c>
      <c r="I1511" s="42" t="s">
        <v>891</v>
      </c>
    </row>
    <row r="1512" spans="1:9">
      <c r="A1512" s="42" t="s">
        <v>759</v>
      </c>
      <c r="B1512" s="42" t="s">
        <v>293</v>
      </c>
      <c r="C1512" s="42" t="s">
        <v>829</v>
      </c>
      <c r="D1512" s="42" t="s">
        <v>176</v>
      </c>
      <c r="E1512" s="42" t="s">
        <v>808</v>
      </c>
      <c r="F1512" s="45">
        <v>32000000</v>
      </c>
      <c r="G1512" s="42" t="s">
        <v>763</v>
      </c>
      <c r="H1512" s="42" t="s">
        <v>133</v>
      </c>
      <c r="I1512" s="42" t="s">
        <v>891</v>
      </c>
    </row>
    <row r="1513" spans="1:9">
      <c r="A1513" s="42" t="s">
        <v>759</v>
      </c>
      <c r="B1513" s="42" t="s">
        <v>862</v>
      </c>
      <c r="C1513" s="42" t="s">
        <v>863</v>
      </c>
      <c r="D1513" s="42" t="s">
        <v>176</v>
      </c>
      <c r="E1513" s="42" t="s">
        <v>808</v>
      </c>
      <c r="F1513" s="45">
        <v>7000000</v>
      </c>
      <c r="G1513" s="42" t="s">
        <v>763</v>
      </c>
      <c r="H1513" s="42" t="s">
        <v>133</v>
      </c>
      <c r="I1513" s="42" t="s">
        <v>891</v>
      </c>
    </row>
    <row r="1514" spans="1:9">
      <c r="A1514" s="42" t="s">
        <v>759</v>
      </c>
      <c r="B1514" s="42" t="s">
        <v>239</v>
      </c>
      <c r="C1514" s="42" t="s">
        <v>830</v>
      </c>
      <c r="D1514" s="42" t="s">
        <v>176</v>
      </c>
      <c r="E1514" s="42" t="s">
        <v>808</v>
      </c>
      <c r="F1514" s="45">
        <v>20422000000</v>
      </c>
      <c r="G1514" s="42" t="s">
        <v>763</v>
      </c>
      <c r="H1514" s="42" t="s">
        <v>133</v>
      </c>
      <c r="I1514" s="42" t="s">
        <v>891</v>
      </c>
    </row>
    <row r="1515" spans="1:9">
      <c r="A1515" s="42" t="s">
        <v>759</v>
      </c>
      <c r="B1515" s="42" t="s">
        <v>240</v>
      </c>
      <c r="C1515" s="42" t="s">
        <v>818</v>
      </c>
      <c r="D1515" s="42" t="s">
        <v>176</v>
      </c>
      <c r="E1515" s="42" t="s">
        <v>808</v>
      </c>
      <c r="F1515" s="45">
        <v>1940000000</v>
      </c>
      <c r="G1515" s="42" t="s">
        <v>763</v>
      </c>
      <c r="H1515" s="42" t="s">
        <v>133</v>
      </c>
      <c r="I1515" s="42" t="s">
        <v>891</v>
      </c>
    </row>
    <row r="1516" spans="1:9">
      <c r="A1516" s="42" t="s">
        <v>759</v>
      </c>
      <c r="B1516" s="42" t="s">
        <v>241</v>
      </c>
      <c r="C1516" s="42" t="s">
        <v>772</v>
      </c>
      <c r="D1516" s="42" t="s">
        <v>176</v>
      </c>
      <c r="E1516" s="42" t="s">
        <v>808</v>
      </c>
      <c r="F1516" s="45">
        <v>1577000000</v>
      </c>
      <c r="G1516" s="42" t="s">
        <v>763</v>
      </c>
      <c r="H1516" s="42" t="s">
        <v>133</v>
      </c>
      <c r="I1516" s="42" t="s">
        <v>891</v>
      </c>
    </row>
    <row r="1517" spans="1:9">
      <c r="A1517" s="42" t="s">
        <v>759</v>
      </c>
      <c r="B1517" s="42" t="s">
        <v>242</v>
      </c>
      <c r="C1517" s="42" t="s">
        <v>773</v>
      </c>
      <c r="D1517" s="42" t="s">
        <v>176</v>
      </c>
      <c r="E1517" s="42" t="s">
        <v>808</v>
      </c>
      <c r="F1517" s="45">
        <v>21000000</v>
      </c>
      <c r="G1517" s="42" t="s">
        <v>763</v>
      </c>
      <c r="H1517" s="42" t="s">
        <v>133</v>
      </c>
      <c r="I1517" s="42" t="s">
        <v>891</v>
      </c>
    </row>
    <row r="1518" spans="1:9">
      <c r="A1518" s="42" t="s">
        <v>759</v>
      </c>
      <c r="B1518" s="42" t="s">
        <v>292</v>
      </c>
      <c r="C1518" s="42" t="s">
        <v>774</v>
      </c>
      <c r="D1518" s="42" t="s">
        <v>176</v>
      </c>
      <c r="E1518" s="42" t="s">
        <v>808</v>
      </c>
      <c r="F1518" s="45">
        <v>482000000</v>
      </c>
      <c r="G1518" s="42" t="s">
        <v>763</v>
      </c>
      <c r="H1518" s="42" t="s">
        <v>133</v>
      </c>
      <c r="I1518" s="42" t="s">
        <v>891</v>
      </c>
    </row>
    <row r="1519" spans="1:9">
      <c r="A1519" s="42" t="s">
        <v>759</v>
      </c>
      <c r="B1519" s="42" t="s">
        <v>293</v>
      </c>
      <c r="C1519" s="42" t="s">
        <v>775</v>
      </c>
      <c r="D1519" s="42" t="s">
        <v>176</v>
      </c>
      <c r="E1519" s="42" t="s">
        <v>808</v>
      </c>
      <c r="F1519" s="45">
        <v>1703000000</v>
      </c>
      <c r="G1519" s="42" t="s">
        <v>763</v>
      </c>
      <c r="H1519" s="42" t="s">
        <v>133</v>
      </c>
      <c r="I1519" s="42" t="s">
        <v>891</v>
      </c>
    </row>
    <row r="1520" spans="1:9">
      <c r="A1520" s="42" t="s">
        <v>759</v>
      </c>
      <c r="B1520" s="42" t="s">
        <v>862</v>
      </c>
      <c r="C1520" s="42" t="s">
        <v>776</v>
      </c>
      <c r="D1520" s="42" t="s">
        <v>176</v>
      </c>
      <c r="E1520" s="42" t="s">
        <v>808</v>
      </c>
      <c r="F1520" s="45">
        <v>353000000</v>
      </c>
      <c r="G1520" s="42" t="s">
        <v>763</v>
      </c>
      <c r="H1520" s="42" t="s">
        <v>133</v>
      </c>
      <c r="I1520" s="42" t="s">
        <v>891</v>
      </c>
    </row>
    <row r="1521" spans="1:9">
      <c r="A1521" s="42" t="s">
        <v>759</v>
      </c>
      <c r="B1521" s="42" t="s">
        <v>246</v>
      </c>
      <c r="C1521" s="42" t="s">
        <v>777</v>
      </c>
      <c r="D1521" s="42" t="s">
        <v>176</v>
      </c>
      <c r="E1521" s="42" t="s">
        <v>808</v>
      </c>
      <c r="F1521" s="45">
        <v>1041000000</v>
      </c>
      <c r="G1521" s="42" t="s">
        <v>763</v>
      </c>
      <c r="H1521" s="42" t="s">
        <v>133</v>
      </c>
      <c r="I1521" s="42" t="s">
        <v>891</v>
      </c>
    </row>
    <row r="1522" spans="1:9">
      <c r="A1522" s="42" t="s">
        <v>759</v>
      </c>
      <c r="B1522" s="42" t="s">
        <v>247</v>
      </c>
      <c r="C1522" s="42" t="s">
        <v>778</v>
      </c>
      <c r="D1522" s="42" t="s">
        <v>176</v>
      </c>
      <c r="E1522" s="42" t="s">
        <v>808</v>
      </c>
      <c r="F1522" s="45">
        <v>7117000000</v>
      </c>
      <c r="G1522" s="42" t="s">
        <v>763</v>
      </c>
      <c r="H1522" s="42" t="s">
        <v>133</v>
      </c>
      <c r="I1522" s="42" t="s">
        <v>891</v>
      </c>
    </row>
    <row r="1523" spans="1:9">
      <c r="A1523" s="42" t="s">
        <v>759</v>
      </c>
      <c r="B1523" s="42" t="s">
        <v>248</v>
      </c>
      <c r="C1523" s="42" t="s">
        <v>779</v>
      </c>
      <c r="D1523" s="42" t="s">
        <v>176</v>
      </c>
      <c r="E1523" s="42" t="s">
        <v>808</v>
      </c>
      <c r="F1523" s="45">
        <v>27539000000</v>
      </c>
      <c r="G1523" s="42" t="s">
        <v>763</v>
      </c>
      <c r="H1523" s="42" t="s">
        <v>133</v>
      </c>
      <c r="I1523" s="42" t="s">
        <v>891</v>
      </c>
    </row>
    <row r="1524" spans="1:9">
      <c r="A1524" s="42" t="s">
        <v>759</v>
      </c>
      <c r="B1524" s="42" t="s">
        <v>780</v>
      </c>
      <c r="C1524" s="42" t="s">
        <v>781</v>
      </c>
      <c r="D1524" s="42" t="s">
        <v>176</v>
      </c>
      <c r="E1524" s="42" t="s">
        <v>808</v>
      </c>
      <c r="F1524" s="45">
        <v>4506000000</v>
      </c>
      <c r="G1524" s="42" t="s">
        <v>763</v>
      </c>
      <c r="H1524" s="42" t="s">
        <v>133</v>
      </c>
      <c r="I1524" s="42" t="s">
        <v>891</v>
      </c>
    </row>
    <row r="1525" spans="1:9">
      <c r="A1525" s="42" t="s">
        <v>759</v>
      </c>
      <c r="B1525" s="42" t="s">
        <v>298</v>
      </c>
      <c r="C1525" s="42" t="s">
        <v>855</v>
      </c>
      <c r="D1525" s="42" t="s">
        <v>176</v>
      </c>
      <c r="E1525" s="42" t="s">
        <v>808</v>
      </c>
      <c r="F1525" s="45">
        <v>5912000000</v>
      </c>
      <c r="G1525" s="42" t="s">
        <v>763</v>
      </c>
      <c r="H1525" s="42" t="s">
        <v>133</v>
      </c>
      <c r="I1525" s="42" t="s">
        <v>891</v>
      </c>
    </row>
    <row r="1526" spans="1:9">
      <c r="A1526" s="42" t="s">
        <v>759</v>
      </c>
      <c r="B1526" s="42" t="s">
        <v>783</v>
      </c>
      <c r="C1526" s="42" t="s">
        <v>784</v>
      </c>
      <c r="D1526" s="42" t="s">
        <v>176</v>
      </c>
      <c r="E1526" s="42" t="s">
        <v>808</v>
      </c>
      <c r="F1526" s="45">
        <v>10418000000</v>
      </c>
      <c r="G1526" s="42" t="s">
        <v>763</v>
      </c>
      <c r="H1526" s="42" t="s">
        <v>133</v>
      </c>
      <c r="I1526" s="42" t="s">
        <v>891</v>
      </c>
    </row>
    <row r="1527" spans="1:9">
      <c r="A1527" s="42" t="s">
        <v>759</v>
      </c>
      <c r="B1527" s="42" t="s">
        <v>261</v>
      </c>
      <c r="C1527" s="42" t="s">
        <v>785</v>
      </c>
      <c r="D1527" s="42" t="s">
        <v>176</v>
      </c>
      <c r="E1527" s="42" t="s">
        <v>808</v>
      </c>
      <c r="F1527" s="45">
        <v>187000000</v>
      </c>
      <c r="G1527" s="42" t="s">
        <v>763</v>
      </c>
      <c r="H1527" s="42" t="s">
        <v>133</v>
      </c>
      <c r="I1527" s="42" t="s">
        <v>891</v>
      </c>
    </row>
    <row r="1528" spans="1:9">
      <c r="A1528" s="42" t="s">
        <v>759</v>
      </c>
      <c r="B1528" s="42" t="s">
        <v>786</v>
      </c>
      <c r="C1528" s="42" t="s">
        <v>787</v>
      </c>
      <c r="D1528" s="42" t="s">
        <v>176</v>
      </c>
      <c r="E1528" s="42" t="s">
        <v>808</v>
      </c>
      <c r="F1528" s="45">
        <v>10605000000</v>
      </c>
      <c r="G1528" s="42" t="s">
        <v>763</v>
      </c>
      <c r="H1528" s="42" t="s">
        <v>133</v>
      </c>
      <c r="I1528" s="42" t="s">
        <v>891</v>
      </c>
    </row>
    <row r="1529" spans="1:9">
      <c r="A1529" s="42" t="s">
        <v>759</v>
      </c>
      <c r="B1529" s="42" t="s">
        <v>301</v>
      </c>
      <c r="C1529" s="42" t="s">
        <v>832</v>
      </c>
      <c r="D1529" s="42" t="s">
        <v>176</v>
      </c>
      <c r="E1529" s="42" t="s">
        <v>808</v>
      </c>
      <c r="F1529" s="45">
        <v>771000000</v>
      </c>
      <c r="G1529" s="42" t="s">
        <v>763</v>
      </c>
      <c r="H1529" s="42" t="s">
        <v>133</v>
      </c>
      <c r="I1529" s="42" t="s">
        <v>891</v>
      </c>
    </row>
    <row r="1530" spans="1:9">
      <c r="A1530" s="42" t="s">
        <v>759</v>
      </c>
      <c r="B1530" s="42" t="s">
        <v>302</v>
      </c>
      <c r="C1530" s="42" t="s">
        <v>834</v>
      </c>
      <c r="D1530" s="42" t="s">
        <v>176</v>
      </c>
      <c r="E1530" s="42" t="s">
        <v>808</v>
      </c>
      <c r="F1530" s="45">
        <v>32000000</v>
      </c>
      <c r="G1530" s="42" t="s">
        <v>763</v>
      </c>
      <c r="H1530" s="42" t="s">
        <v>133</v>
      </c>
      <c r="I1530" s="42" t="s">
        <v>891</v>
      </c>
    </row>
    <row r="1531" spans="1:9">
      <c r="A1531" s="42" t="s">
        <v>759</v>
      </c>
      <c r="B1531" s="42" t="s">
        <v>303</v>
      </c>
      <c r="C1531" s="42" t="s">
        <v>833</v>
      </c>
      <c r="D1531" s="42" t="s">
        <v>176</v>
      </c>
      <c r="E1531" s="42" t="s">
        <v>808</v>
      </c>
      <c r="F1531" s="45">
        <v>927000000</v>
      </c>
      <c r="G1531" s="42" t="s">
        <v>763</v>
      </c>
      <c r="H1531" s="42" t="s">
        <v>133</v>
      </c>
      <c r="I1531" s="42" t="s">
        <v>891</v>
      </c>
    </row>
    <row r="1532" spans="1:9">
      <c r="A1532" s="42" t="s">
        <v>759</v>
      </c>
      <c r="B1532" s="42" t="s">
        <v>304</v>
      </c>
      <c r="C1532" s="42" t="s">
        <v>835</v>
      </c>
      <c r="D1532" s="42" t="s">
        <v>176</v>
      </c>
      <c r="E1532" s="42" t="s">
        <v>808</v>
      </c>
      <c r="F1532" s="45">
        <v>3000000</v>
      </c>
      <c r="G1532" s="42" t="s">
        <v>763</v>
      </c>
      <c r="H1532" s="42" t="s">
        <v>133</v>
      </c>
      <c r="I1532" s="42" t="s">
        <v>891</v>
      </c>
    </row>
    <row r="1533" spans="1:9">
      <c r="A1533" s="42" t="s">
        <v>759</v>
      </c>
      <c r="B1533" s="42" t="s">
        <v>306</v>
      </c>
      <c r="C1533" s="42" t="s">
        <v>857</v>
      </c>
      <c r="D1533" s="42" t="s">
        <v>176</v>
      </c>
      <c r="E1533" s="42" t="s">
        <v>808</v>
      </c>
      <c r="F1533" s="45">
        <v>4000000</v>
      </c>
      <c r="G1533" s="42" t="s">
        <v>763</v>
      </c>
      <c r="H1533" s="42" t="s">
        <v>133</v>
      </c>
      <c r="I1533" s="42" t="s">
        <v>891</v>
      </c>
    </row>
    <row r="1534" spans="1:9">
      <c r="A1534" s="42" t="s">
        <v>759</v>
      </c>
      <c r="B1534" s="42" t="s">
        <v>307</v>
      </c>
      <c r="C1534" s="42" t="s">
        <v>838</v>
      </c>
      <c r="D1534" s="42" t="s">
        <v>176</v>
      </c>
      <c r="E1534" s="42" t="s">
        <v>808</v>
      </c>
      <c r="F1534" s="45">
        <v>292000000</v>
      </c>
      <c r="G1534" s="42" t="s">
        <v>763</v>
      </c>
      <c r="H1534" s="42" t="s">
        <v>133</v>
      </c>
      <c r="I1534" s="42" t="s">
        <v>891</v>
      </c>
    </row>
    <row r="1535" spans="1:9">
      <c r="A1535" s="42" t="s">
        <v>759</v>
      </c>
      <c r="B1535" s="42" t="s">
        <v>308</v>
      </c>
      <c r="C1535" s="42" t="s">
        <v>839</v>
      </c>
      <c r="D1535" s="42" t="s">
        <v>176</v>
      </c>
      <c r="E1535" s="42" t="s">
        <v>808</v>
      </c>
      <c r="F1535" s="45">
        <v>7200000000</v>
      </c>
      <c r="G1535" s="42" t="s">
        <v>763</v>
      </c>
      <c r="H1535" s="42" t="s">
        <v>133</v>
      </c>
      <c r="I1535" s="42" t="s">
        <v>891</v>
      </c>
    </row>
    <row r="1536" spans="1:9">
      <c r="A1536" s="42" t="s">
        <v>759</v>
      </c>
      <c r="B1536" s="42" t="s">
        <v>309</v>
      </c>
      <c r="C1536" s="42" t="s">
        <v>840</v>
      </c>
      <c r="D1536" s="42" t="s">
        <v>176</v>
      </c>
      <c r="E1536" s="42" t="s">
        <v>808</v>
      </c>
      <c r="F1536" s="45">
        <v>76000000</v>
      </c>
      <c r="G1536" s="42" t="s">
        <v>763</v>
      </c>
      <c r="H1536" s="42" t="s">
        <v>133</v>
      </c>
      <c r="I1536" s="42" t="s">
        <v>891</v>
      </c>
    </row>
    <row r="1537" spans="1:9">
      <c r="A1537" s="42" t="s">
        <v>759</v>
      </c>
      <c r="B1537" s="42" t="s">
        <v>310</v>
      </c>
      <c r="C1537" s="42" t="s">
        <v>841</v>
      </c>
      <c r="D1537" s="42" t="s">
        <v>176</v>
      </c>
      <c r="E1537" s="42" t="s">
        <v>808</v>
      </c>
      <c r="F1537" s="45">
        <v>5000000</v>
      </c>
      <c r="G1537" s="42" t="s">
        <v>763</v>
      </c>
      <c r="H1537" s="42" t="s">
        <v>133</v>
      </c>
      <c r="I1537" s="42" t="s">
        <v>891</v>
      </c>
    </row>
    <row r="1538" spans="1:9">
      <c r="A1538" s="42" t="s">
        <v>759</v>
      </c>
      <c r="B1538" s="42" t="s">
        <v>273</v>
      </c>
      <c r="C1538" s="42" t="s">
        <v>842</v>
      </c>
      <c r="D1538" s="42" t="s">
        <v>176</v>
      </c>
      <c r="E1538" s="42" t="s">
        <v>808</v>
      </c>
      <c r="F1538" s="45">
        <v>9310000000</v>
      </c>
      <c r="G1538" s="42" t="s">
        <v>763</v>
      </c>
      <c r="H1538" s="42" t="s">
        <v>133</v>
      </c>
      <c r="I1538" s="42" t="s">
        <v>891</v>
      </c>
    </row>
    <row r="1539" spans="1:9">
      <c r="A1539" s="42" t="s">
        <v>759</v>
      </c>
      <c r="B1539" s="42" t="s">
        <v>274</v>
      </c>
      <c r="C1539" s="42" t="s">
        <v>889</v>
      </c>
      <c r="D1539" s="42" t="s">
        <v>176</v>
      </c>
      <c r="E1539" s="42" t="s">
        <v>808</v>
      </c>
      <c r="F1539" s="45">
        <v>2085000000</v>
      </c>
      <c r="G1539" s="42" t="s">
        <v>763</v>
      </c>
      <c r="H1539" s="42" t="s">
        <v>133</v>
      </c>
      <c r="I1539" s="42" t="s">
        <v>891</v>
      </c>
    </row>
    <row r="1540" spans="1:9">
      <c r="A1540" s="42" t="s">
        <v>759</v>
      </c>
      <c r="B1540" s="42" t="s">
        <v>301</v>
      </c>
      <c r="C1540" s="42" t="s">
        <v>795</v>
      </c>
      <c r="D1540" s="42" t="s">
        <v>176</v>
      </c>
      <c r="E1540" s="42" t="s">
        <v>808</v>
      </c>
      <c r="F1540" s="45">
        <v>201000000</v>
      </c>
      <c r="G1540" s="42" t="s">
        <v>763</v>
      </c>
      <c r="H1540" s="42" t="s">
        <v>133</v>
      </c>
      <c r="I1540" s="42" t="s">
        <v>891</v>
      </c>
    </row>
    <row r="1541" spans="1:9">
      <c r="A1541" s="42" t="s">
        <v>759</v>
      </c>
      <c r="B1541" s="42" t="s">
        <v>302</v>
      </c>
      <c r="C1541" s="42" t="s">
        <v>797</v>
      </c>
      <c r="D1541" s="42" t="s">
        <v>176</v>
      </c>
      <c r="E1541" s="42" t="s">
        <v>808</v>
      </c>
      <c r="F1541" s="45">
        <v>68000000</v>
      </c>
      <c r="G1541" s="42" t="s">
        <v>763</v>
      </c>
      <c r="H1541" s="42" t="s">
        <v>133</v>
      </c>
      <c r="I1541" s="42" t="s">
        <v>891</v>
      </c>
    </row>
    <row r="1542" spans="1:9">
      <c r="A1542" s="42" t="s">
        <v>759</v>
      </c>
      <c r="B1542" s="42" t="s">
        <v>304</v>
      </c>
      <c r="C1542" s="42" t="s">
        <v>796</v>
      </c>
      <c r="D1542" s="42" t="s">
        <v>176</v>
      </c>
      <c r="E1542" s="42" t="s">
        <v>808</v>
      </c>
      <c r="F1542" s="45">
        <v>38000000</v>
      </c>
      <c r="G1542" s="42" t="s">
        <v>763</v>
      </c>
      <c r="H1542" s="42" t="s">
        <v>133</v>
      </c>
      <c r="I1542" s="42" t="s">
        <v>891</v>
      </c>
    </row>
    <row r="1543" spans="1:9">
      <c r="A1543" s="42" t="s">
        <v>759</v>
      </c>
      <c r="B1543" s="42" t="s">
        <v>305</v>
      </c>
      <c r="C1543" s="42" t="s">
        <v>798</v>
      </c>
      <c r="D1543" s="42" t="s">
        <v>176</v>
      </c>
      <c r="E1543" s="42" t="s">
        <v>808</v>
      </c>
      <c r="F1543" s="45">
        <v>279000000</v>
      </c>
      <c r="G1543" s="42" t="s">
        <v>763</v>
      </c>
      <c r="H1543" s="42" t="s">
        <v>133</v>
      </c>
      <c r="I1543" s="42" t="s">
        <v>891</v>
      </c>
    </row>
    <row r="1544" spans="1:9">
      <c r="A1544" s="42" t="s">
        <v>759</v>
      </c>
      <c r="B1544" s="42" t="s">
        <v>306</v>
      </c>
      <c r="C1544" s="42" t="s">
        <v>799</v>
      </c>
      <c r="D1544" s="42" t="s">
        <v>176</v>
      </c>
      <c r="E1544" s="42" t="s">
        <v>808</v>
      </c>
      <c r="F1544" s="45">
        <v>268000000</v>
      </c>
      <c r="G1544" s="42" t="s">
        <v>763</v>
      </c>
      <c r="H1544" s="42" t="s">
        <v>133</v>
      </c>
      <c r="I1544" s="42" t="s">
        <v>891</v>
      </c>
    </row>
    <row r="1545" spans="1:9">
      <c r="A1545" s="42" t="s">
        <v>759</v>
      </c>
      <c r="B1545" s="42" t="s">
        <v>307</v>
      </c>
      <c r="C1545" s="42" t="s">
        <v>843</v>
      </c>
      <c r="D1545" s="42" t="s">
        <v>176</v>
      </c>
      <c r="E1545" s="42" t="s">
        <v>808</v>
      </c>
      <c r="F1545" s="45">
        <v>311000000</v>
      </c>
      <c r="G1545" s="42" t="s">
        <v>763</v>
      </c>
      <c r="H1545" s="42" t="s">
        <v>133</v>
      </c>
      <c r="I1545" s="42" t="s">
        <v>891</v>
      </c>
    </row>
    <row r="1546" spans="1:9">
      <c r="A1546" s="42" t="s">
        <v>759</v>
      </c>
      <c r="B1546" s="42" t="s">
        <v>308</v>
      </c>
      <c r="C1546" s="42" t="s">
        <v>800</v>
      </c>
      <c r="D1546" s="42" t="s">
        <v>176</v>
      </c>
      <c r="E1546" s="42" t="s">
        <v>808</v>
      </c>
      <c r="F1546" s="45">
        <v>1651000000</v>
      </c>
      <c r="G1546" s="42" t="s">
        <v>763</v>
      </c>
      <c r="H1546" s="42" t="s">
        <v>133</v>
      </c>
      <c r="I1546" s="42" t="s">
        <v>891</v>
      </c>
    </row>
    <row r="1547" spans="1:9">
      <c r="A1547" s="42" t="s">
        <v>759</v>
      </c>
      <c r="B1547" s="42" t="s">
        <v>309</v>
      </c>
      <c r="C1547" s="42" t="s">
        <v>801</v>
      </c>
      <c r="D1547" s="42" t="s">
        <v>176</v>
      </c>
      <c r="E1547" s="42" t="s">
        <v>808</v>
      </c>
      <c r="F1547" s="45">
        <v>123000000</v>
      </c>
      <c r="G1547" s="42" t="s">
        <v>763</v>
      </c>
      <c r="H1547" s="42" t="s">
        <v>133</v>
      </c>
      <c r="I1547" s="42" t="s">
        <v>891</v>
      </c>
    </row>
    <row r="1548" spans="1:9">
      <c r="A1548" s="42" t="s">
        <v>759</v>
      </c>
      <c r="B1548" s="42" t="s">
        <v>310</v>
      </c>
      <c r="C1548" s="42" t="s">
        <v>802</v>
      </c>
      <c r="D1548" s="42" t="s">
        <v>176</v>
      </c>
      <c r="E1548" s="42" t="s">
        <v>808</v>
      </c>
      <c r="F1548" s="45">
        <v>2600000000</v>
      </c>
      <c r="G1548" s="42" t="s">
        <v>763</v>
      </c>
      <c r="H1548" s="42" t="s">
        <v>133</v>
      </c>
      <c r="I1548" s="42" t="s">
        <v>891</v>
      </c>
    </row>
    <row r="1549" spans="1:9">
      <c r="A1549" s="42" t="s">
        <v>759</v>
      </c>
      <c r="B1549" s="42" t="s">
        <v>284</v>
      </c>
      <c r="C1549" s="42" t="s">
        <v>803</v>
      </c>
      <c r="D1549" s="42" t="s">
        <v>176</v>
      </c>
      <c r="E1549" s="42" t="s">
        <v>808</v>
      </c>
      <c r="F1549" s="45">
        <v>7624000000</v>
      </c>
      <c r="G1549" s="42" t="s">
        <v>763</v>
      </c>
      <c r="H1549" s="42" t="s">
        <v>133</v>
      </c>
      <c r="I1549" s="42" t="s">
        <v>891</v>
      </c>
    </row>
    <row r="1550" spans="1:9">
      <c r="A1550" s="42" t="s">
        <v>759</v>
      </c>
      <c r="B1550" s="42" t="s">
        <v>285</v>
      </c>
      <c r="C1550" s="42" t="s">
        <v>804</v>
      </c>
      <c r="D1550" s="42" t="s">
        <v>176</v>
      </c>
      <c r="E1550" s="42" t="s">
        <v>808</v>
      </c>
      <c r="F1550" s="45">
        <v>16934000000</v>
      </c>
      <c r="G1550" s="42" t="s">
        <v>763</v>
      </c>
      <c r="H1550" s="42" t="s">
        <v>133</v>
      </c>
      <c r="I1550" s="42" t="s">
        <v>891</v>
      </c>
    </row>
    <row r="1551" spans="1:9">
      <c r="A1551" s="42" t="s">
        <v>759</v>
      </c>
      <c r="B1551" s="42" t="s">
        <v>805</v>
      </c>
      <c r="C1551" s="42" t="s">
        <v>806</v>
      </c>
      <c r="D1551" s="42" t="s">
        <v>176</v>
      </c>
      <c r="E1551" s="42" t="s">
        <v>808</v>
      </c>
      <c r="F1551" s="45">
        <v>27539000000</v>
      </c>
      <c r="G1551" s="42" t="s">
        <v>763</v>
      </c>
      <c r="H1551" s="42" t="s">
        <v>133</v>
      </c>
      <c r="I1551" s="42" t="s">
        <v>891</v>
      </c>
    </row>
    <row r="1552" spans="1:9">
      <c r="A1552" s="42" t="s">
        <v>759</v>
      </c>
      <c r="B1552" s="42" t="s">
        <v>287</v>
      </c>
      <c r="C1552" s="42" t="s">
        <v>821</v>
      </c>
      <c r="D1552" s="42" t="s">
        <v>177</v>
      </c>
      <c r="E1552" s="42" t="s">
        <v>808</v>
      </c>
      <c r="F1552" s="45">
        <v>407000000</v>
      </c>
      <c r="G1552" s="42" t="s">
        <v>763</v>
      </c>
      <c r="H1552" s="42" t="s">
        <v>135</v>
      </c>
      <c r="I1552" s="42" t="s">
        <v>892</v>
      </c>
    </row>
    <row r="1553" spans="1:9">
      <c r="A1553" s="42" t="s">
        <v>759</v>
      </c>
      <c r="B1553" s="42" t="s">
        <v>288</v>
      </c>
      <c r="C1553" s="42" t="s">
        <v>823</v>
      </c>
      <c r="D1553" s="42" t="s">
        <v>177</v>
      </c>
      <c r="E1553" s="42" t="s">
        <v>808</v>
      </c>
      <c r="F1553" s="45">
        <v>18102000000</v>
      </c>
      <c r="G1553" s="42" t="s">
        <v>763</v>
      </c>
      <c r="H1553" s="42" t="s">
        <v>135</v>
      </c>
      <c r="I1553" s="42" t="s">
        <v>892</v>
      </c>
    </row>
    <row r="1554" spans="1:9">
      <c r="A1554" s="42" t="s">
        <v>759</v>
      </c>
      <c r="B1554" s="42" t="s">
        <v>289</v>
      </c>
      <c r="C1554" s="42" t="s">
        <v>825</v>
      </c>
      <c r="D1554" s="42" t="s">
        <v>177</v>
      </c>
      <c r="E1554" s="42" t="s">
        <v>808</v>
      </c>
      <c r="F1554" s="45">
        <v>551000000</v>
      </c>
      <c r="G1554" s="42" t="s">
        <v>763</v>
      </c>
      <c r="H1554" s="42" t="s">
        <v>135</v>
      </c>
      <c r="I1554" s="42" t="s">
        <v>892</v>
      </c>
    </row>
    <row r="1555" spans="1:9">
      <c r="A1555" s="42" t="s">
        <v>759</v>
      </c>
      <c r="B1555" s="42" t="s">
        <v>290</v>
      </c>
      <c r="C1555" s="42" t="s">
        <v>826</v>
      </c>
      <c r="D1555" s="42" t="s">
        <v>177</v>
      </c>
      <c r="E1555" s="42" t="s">
        <v>808</v>
      </c>
      <c r="F1555" s="45">
        <v>1858000000</v>
      </c>
      <c r="G1555" s="42" t="s">
        <v>763</v>
      </c>
      <c r="H1555" s="42" t="s">
        <v>135</v>
      </c>
      <c r="I1555" s="42" t="s">
        <v>892</v>
      </c>
    </row>
    <row r="1556" spans="1:9">
      <c r="A1556" s="42" t="s">
        <v>759</v>
      </c>
      <c r="B1556" s="42" t="s">
        <v>291</v>
      </c>
      <c r="C1556" s="42" t="s">
        <v>827</v>
      </c>
      <c r="D1556" s="42" t="s">
        <v>177</v>
      </c>
      <c r="E1556" s="42" t="s">
        <v>808</v>
      </c>
      <c r="F1556" s="45">
        <v>67000000</v>
      </c>
      <c r="G1556" s="42" t="s">
        <v>763</v>
      </c>
      <c r="H1556" s="42" t="s">
        <v>135</v>
      </c>
      <c r="I1556" s="42" t="s">
        <v>892</v>
      </c>
    </row>
    <row r="1557" spans="1:9">
      <c r="A1557" s="42" t="s">
        <v>759</v>
      </c>
      <c r="B1557" s="42" t="s">
        <v>292</v>
      </c>
      <c r="C1557" s="42" t="s">
        <v>828</v>
      </c>
      <c r="D1557" s="42" t="s">
        <v>177</v>
      </c>
      <c r="E1557" s="42" t="s">
        <v>808</v>
      </c>
      <c r="F1557" s="45">
        <v>290000000</v>
      </c>
      <c r="G1557" s="42" t="s">
        <v>763</v>
      </c>
      <c r="H1557" s="42" t="s">
        <v>135</v>
      </c>
      <c r="I1557" s="42" t="s">
        <v>892</v>
      </c>
    </row>
    <row r="1558" spans="1:9">
      <c r="A1558" s="42" t="s">
        <v>759</v>
      </c>
      <c r="B1558" s="42" t="s">
        <v>293</v>
      </c>
      <c r="C1558" s="42" t="s">
        <v>829</v>
      </c>
      <c r="D1558" s="42" t="s">
        <v>177</v>
      </c>
      <c r="E1558" s="42" t="s">
        <v>808</v>
      </c>
      <c r="F1558" s="45">
        <v>31000000</v>
      </c>
      <c r="G1558" s="42" t="s">
        <v>763</v>
      </c>
      <c r="H1558" s="42" t="s">
        <v>135</v>
      </c>
      <c r="I1558" s="42" t="s">
        <v>892</v>
      </c>
    </row>
    <row r="1559" spans="1:9">
      <c r="A1559" s="42" t="s">
        <v>759</v>
      </c>
      <c r="B1559" s="42" t="s">
        <v>239</v>
      </c>
      <c r="C1559" s="42" t="s">
        <v>830</v>
      </c>
      <c r="D1559" s="42" t="s">
        <v>177</v>
      </c>
      <c r="E1559" s="42" t="s">
        <v>808</v>
      </c>
      <c r="F1559" s="45">
        <v>21306000000</v>
      </c>
      <c r="G1559" s="42" t="s">
        <v>763</v>
      </c>
      <c r="H1559" s="42" t="s">
        <v>135</v>
      </c>
      <c r="I1559" s="42" t="s">
        <v>892</v>
      </c>
    </row>
    <row r="1560" spans="1:9">
      <c r="A1560" s="42" t="s">
        <v>759</v>
      </c>
      <c r="B1560" s="42" t="s">
        <v>240</v>
      </c>
      <c r="C1560" s="42" t="s">
        <v>818</v>
      </c>
      <c r="D1560" s="42" t="s">
        <v>177</v>
      </c>
      <c r="E1560" s="42" t="s">
        <v>808</v>
      </c>
      <c r="F1560" s="45">
        <v>2072000000</v>
      </c>
      <c r="G1560" s="42" t="s">
        <v>763</v>
      </c>
      <c r="H1560" s="42" t="s">
        <v>135</v>
      </c>
      <c r="I1560" s="42" t="s">
        <v>892</v>
      </c>
    </row>
    <row r="1561" spans="1:9">
      <c r="A1561" s="42" t="s">
        <v>759</v>
      </c>
      <c r="B1561" s="42" t="s">
        <v>241</v>
      </c>
      <c r="C1561" s="42" t="s">
        <v>772</v>
      </c>
      <c r="D1561" s="42" t="s">
        <v>177</v>
      </c>
      <c r="E1561" s="42" t="s">
        <v>808</v>
      </c>
      <c r="F1561" s="45">
        <v>1713000000</v>
      </c>
      <c r="G1561" s="42" t="s">
        <v>763</v>
      </c>
      <c r="H1561" s="42" t="s">
        <v>135</v>
      </c>
      <c r="I1561" s="42" t="s">
        <v>892</v>
      </c>
    </row>
    <row r="1562" spans="1:9">
      <c r="A1562" s="42" t="s">
        <v>759</v>
      </c>
      <c r="B1562" s="42" t="s">
        <v>242</v>
      </c>
      <c r="C1562" s="42" t="s">
        <v>773</v>
      </c>
      <c r="D1562" s="42" t="s">
        <v>177</v>
      </c>
      <c r="E1562" s="42" t="s">
        <v>808</v>
      </c>
      <c r="F1562" s="45">
        <v>38000000</v>
      </c>
      <c r="G1562" s="42" t="s">
        <v>763</v>
      </c>
      <c r="H1562" s="42" t="s">
        <v>135</v>
      </c>
      <c r="I1562" s="42" t="s">
        <v>892</v>
      </c>
    </row>
    <row r="1563" spans="1:9">
      <c r="A1563" s="42" t="s">
        <v>759</v>
      </c>
      <c r="B1563" s="42" t="s">
        <v>292</v>
      </c>
      <c r="C1563" s="42" t="s">
        <v>774</v>
      </c>
      <c r="D1563" s="42" t="s">
        <v>177</v>
      </c>
      <c r="E1563" s="42" t="s">
        <v>808</v>
      </c>
      <c r="F1563" s="45">
        <v>498000000</v>
      </c>
      <c r="G1563" s="42" t="s">
        <v>763</v>
      </c>
      <c r="H1563" s="42" t="s">
        <v>135</v>
      </c>
      <c r="I1563" s="42" t="s">
        <v>892</v>
      </c>
    </row>
    <row r="1564" spans="1:9">
      <c r="A1564" s="42" t="s">
        <v>759</v>
      </c>
      <c r="B1564" s="42" t="s">
        <v>293</v>
      </c>
      <c r="C1564" s="42" t="s">
        <v>775</v>
      </c>
      <c r="D1564" s="42" t="s">
        <v>177</v>
      </c>
      <c r="E1564" s="42" t="s">
        <v>808</v>
      </c>
      <c r="F1564" s="45">
        <v>1936000000</v>
      </c>
      <c r="G1564" s="42" t="s">
        <v>763</v>
      </c>
      <c r="H1564" s="42" t="s">
        <v>135</v>
      </c>
      <c r="I1564" s="42" t="s">
        <v>892</v>
      </c>
    </row>
    <row r="1565" spans="1:9">
      <c r="A1565" s="42" t="s">
        <v>759</v>
      </c>
      <c r="B1565" s="42" t="s">
        <v>862</v>
      </c>
      <c r="C1565" s="42" t="s">
        <v>776</v>
      </c>
      <c r="D1565" s="42" t="s">
        <v>177</v>
      </c>
      <c r="E1565" s="42" t="s">
        <v>808</v>
      </c>
      <c r="F1565" s="45">
        <v>318000000</v>
      </c>
      <c r="G1565" s="42" t="s">
        <v>763</v>
      </c>
      <c r="H1565" s="42" t="s">
        <v>135</v>
      </c>
      <c r="I1565" s="42" t="s">
        <v>892</v>
      </c>
    </row>
    <row r="1566" spans="1:9">
      <c r="A1566" s="42" t="s">
        <v>759</v>
      </c>
      <c r="B1566" s="42" t="s">
        <v>246</v>
      </c>
      <c r="C1566" s="42" t="s">
        <v>777</v>
      </c>
      <c r="D1566" s="42" t="s">
        <v>177</v>
      </c>
      <c r="E1566" s="42" t="s">
        <v>808</v>
      </c>
      <c r="F1566" s="45">
        <v>877000000</v>
      </c>
      <c r="G1566" s="42" t="s">
        <v>763</v>
      </c>
      <c r="H1566" s="42" t="s">
        <v>135</v>
      </c>
      <c r="I1566" s="42" t="s">
        <v>892</v>
      </c>
    </row>
    <row r="1567" spans="1:9">
      <c r="A1567" s="42" t="s">
        <v>759</v>
      </c>
      <c r="B1567" s="42" t="s">
        <v>247</v>
      </c>
      <c r="C1567" s="42" t="s">
        <v>778</v>
      </c>
      <c r="D1567" s="42" t="s">
        <v>177</v>
      </c>
      <c r="E1567" s="42" t="s">
        <v>808</v>
      </c>
      <c r="F1567" s="45">
        <v>7452000000</v>
      </c>
      <c r="G1567" s="42" t="s">
        <v>763</v>
      </c>
      <c r="H1567" s="42" t="s">
        <v>135</v>
      </c>
      <c r="I1567" s="42" t="s">
        <v>892</v>
      </c>
    </row>
    <row r="1568" spans="1:9">
      <c r="A1568" s="42" t="s">
        <v>759</v>
      </c>
      <c r="B1568" s="42" t="s">
        <v>248</v>
      </c>
      <c r="C1568" s="42" t="s">
        <v>779</v>
      </c>
      <c r="D1568" s="42" t="s">
        <v>177</v>
      </c>
      <c r="E1568" s="42" t="s">
        <v>808</v>
      </c>
      <c r="F1568" s="45">
        <v>28758000000</v>
      </c>
      <c r="G1568" s="42" t="s">
        <v>763</v>
      </c>
      <c r="H1568" s="42" t="s">
        <v>135</v>
      </c>
      <c r="I1568" s="42" t="s">
        <v>892</v>
      </c>
    </row>
    <row r="1569" spans="1:9">
      <c r="A1569" s="42" t="s">
        <v>759</v>
      </c>
      <c r="B1569" s="42" t="s">
        <v>780</v>
      </c>
      <c r="C1569" s="42" t="s">
        <v>781</v>
      </c>
      <c r="D1569" s="42" t="s">
        <v>177</v>
      </c>
      <c r="E1569" s="42" t="s">
        <v>808</v>
      </c>
      <c r="F1569" s="45">
        <v>4504000000</v>
      </c>
      <c r="G1569" s="42" t="s">
        <v>763</v>
      </c>
      <c r="H1569" s="42" t="s">
        <v>135</v>
      </c>
      <c r="I1569" s="42" t="s">
        <v>892</v>
      </c>
    </row>
    <row r="1570" spans="1:9">
      <c r="A1570" s="42" t="s">
        <v>759</v>
      </c>
      <c r="B1570" s="42" t="s">
        <v>298</v>
      </c>
      <c r="C1570" s="42" t="s">
        <v>855</v>
      </c>
      <c r="D1570" s="42" t="s">
        <v>177</v>
      </c>
      <c r="E1570" s="42" t="s">
        <v>808</v>
      </c>
      <c r="F1570" s="45">
        <v>7422000000</v>
      </c>
      <c r="G1570" s="42" t="s">
        <v>763</v>
      </c>
      <c r="H1570" s="42" t="s">
        <v>135</v>
      </c>
      <c r="I1570" s="42" t="s">
        <v>892</v>
      </c>
    </row>
    <row r="1571" spans="1:9">
      <c r="A1571" s="42" t="s">
        <v>759</v>
      </c>
      <c r="B1571" s="42" t="s">
        <v>783</v>
      </c>
      <c r="C1571" s="42" t="s">
        <v>784</v>
      </c>
      <c r="D1571" s="42" t="s">
        <v>177</v>
      </c>
      <c r="E1571" s="42" t="s">
        <v>808</v>
      </c>
      <c r="F1571" s="45">
        <v>11926000000</v>
      </c>
      <c r="G1571" s="42" t="s">
        <v>763</v>
      </c>
      <c r="H1571" s="42" t="s">
        <v>135</v>
      </c>
      <c r="I1571" s="42" t="s">
        <v>892</v>
      </c>
    </row>
    <row r="1572" spans="1:9">
      <c r="A1572" s="42" t="s">
        <v>759</v>
      </c>
      <c r="B1572" s="42" t="s">
        <v>261</v>
      </c>
      <c r="C1572" s="42" t="s">
        <v>785</v>
      </c>
      <c r="D1572" s="42" t="s">
        <v>177</v>
      </c>
      <c r="E1572" s="42" t="s">
        <v>808</v>
      </c>
      <c r="F1572" s="45">
        <v>209000000</v>
      </c>
      <c r="G1572" s="42" t="s">
        <v>763</v>
      </c>
      <c r="H1572" s="42" t="s">
        <v>135</v>
      </c>
      <c r="I1572" s="42" t="s">
        <v>892</v>
      </c>
    </row>
    <row r="1573" spans="1:9">
      <c r="A1573" s="42" t="s">
        <v>759</v>
      </c>
      <c r="B1573" s="42" t="s">
        <v>786</v>
      </c>
      <c r="C1573" s="42" t="s">
        <v>787</v>
      </c>
      <c r="D1573" s="42" t="s">
        <v>177</v>
      </c>
      <c r="E1573" s="42" t="s">
        <v>808</v>
      </c>
      <c r="F1573" s="45">
        <v>12135000000</v>
      </c>
      <c r="G1573" s="42" t="s">
        <v>763</v>
      </c>
      <c r="H1573" s="42" t="s">
        <v>135</v>
      </c>
      <c r="I1573" s="42" t="s">
        <v>892</v>
      </c>
    </row>
    <row r="1574" spans="1:9">
      <c r="A1574" s="42" t="s">
        <v>759</v>
      </c>
      <c r="B1574" s="42" t="s">
        <v>301</v>
      </c>
      <c r="C1574" s="42" t="s">
        <v>832</v>
      </c>
      <c r="D1574" s="42" t="s">
        <v>177</v>
      </c>
      <c r="E1574" s="42" t="s">
        <v>808</v>
      </c>
      <c r="F1574" s="45">
        <v>756000000</v>
      </c>
      <c r="G1574" s="42" t="s">
        <v>763</v>
      </c>
      <c r="H1574" s="42" t="s">
        <v>135</v>
      </c>
      <c r="I1574" s="42" t="s">
        <v>892</v>
      </c>
    </row>
    <row r="1575" spans="1:9">
      <c r="A1575" s="42" t="s">
        <v>759</v>
      </c>
      <c r="B1575" s="42" t="s">
        <v>302</v>
      </c>
      <c r="C1575" s="42" t="s">
        <v>834</v>
      </c>
      <c r="D1575" s="42" t="s">
        <v>177</v>
      </c>
      <c r="E1575" s="42" t="s">
        <v>808</v>
      </c>
      <c r="F1575" s="45">
        <v>31000000</v>
      </c>
      <c r="G1575" s="42" t="s">
        <v>763</v>
      </c>
      <c r="H1575" s="42" t="s">
        <v>135</v>
      </c>
      <c r="I1575" s="42" t="s">
        <v>892</v>
      </c>
    </row>
    <row r="1576" spans="1:9">
      <c r="A1576" s="42" t="s">
        <v>759</v>
      </c>
      <c r="B1576" s="42" t="s">
        <v>303</v>
      </c>
      <c r="C1576" s="42" t="s">
        <v>833</v>
      </c>
      <c r="D1576" s="42" t="s">
        <v>177</v>
      </c>
      <c r="E1576" s="42" t="s">
        <v>808</v>
      </c>
      <c r="F1576" s="45">
        <v>92000000</v>
      </c>
      <c r="G1576" s="42" t="s">
        <v>763</v>
      </c>
      <c r="H1576" s="42" t="s">
        <v>135</v>
      </c>
      <c r="I1576" s="42" t="s">
        <v>892</v>
      </c>
    </row>
    <row r="1577" spans="1:9">
      <c r="A1577" s="42" t="s">
        <v>759</v>
      </c>
      <c r="B1577" s="42" t="s">
        <v>304</v>
      </c>
      <c r="C1577" s="42" t="s">
        <v>835</v>
      </c>
      <c r="D1577" s="42" t="s">
        <v>177</v>
      </c>
      <c r="E1577" s="42" t="s">
        <v>808</v>
      </c>
      <c r="F1577" s="45">
        <v>3000000</v>
      </c>
      <c r="G1577" s="42" t="s">
        <v>763</v>
      </c>
      <c r="H1577" s="42" t="s">
        <v>135</v>
      </c>
      <c r="I1577" s="42" t="s">
        <v>892</v>
      </c>
    </row>
    <row r="1578" spans="1:9">
      <c r="A1578" s="42" t="s">
        <v>759</v>
      </c>
      <c r="B1578" s="42" t="s">
        <v>306</v>
      </c>
      <c r="C1578" s="42" t="s">
        <v>857</v>
      </c>
      <c r="D1578" s="42" t="s">
        <v>177</v>
      </c>
      <c r="E1578" s="42" t="s">
        <v>808</v>
      </c>
      <c r="F1578" s="45">
        <v>8000000</v>
      </c>
      <c r="G1578" s="42" t="s">
        <v>763</v>
      </c>
      <c r="H1578" s="42" t="s">
        <v>135</v>
      </c>
      <c r="I1578" s="42" t="s">
        <v>892</v>
      </c>
    </row>
    <row r="1579" spans="1:9">
      <c r="A1579" s="42" t="s">
        <v>759</v>
      </c>
      <c r="B1579" s="42" t="s">
        <v>307</v>
      </c>
      <c r="C1579" s="42" t="s">
        <v>838</v>
      </c>
      <c r="D1579" s="42" t="s">
        <v>177</v>
      </c>
      <c r="E1579" s="42" t="s">
        <v>808</v>
      </c>
      <c r="F1579" s="45">
        <v>290000000</v>
      </c>
      <c r="G1579" s="42" t="s">
        <v>763</v>
      </c>
      <c r="H1579" s="42" t="s">
        <v>135</v>
      </c>
      <c r="I1579" s="42" t="s">
        <v>892</v>
      </c>
    </row>
    <row r="1580" spans="1:9">
      <c r="A1580" s="42" t="s">
        <v>759</v>
      </c>
      <c r="B1580" s="42" t="s">
        <v>308</v>
      </c>
      <c r="C1580" s="42" t="s">
        <v>839</v>
      </c>
      <c r="D1580" s="42" t="s">
        <v>177</v>
      </c>
      <c r="E1580" s="42" t="s">
        <v>808</v>
      </c>
      <c r="F1580" s="45">
        <v>6869000000</v>
      </c>
      <c r="G1580" s="42" t="s">
        <v>763</v>
      </c>
      <c r="H1580" s="42" t="s">
        <v>135</v>
      </c>
      <c r="I1580" s="42" t="s">
        <v>892</v>
      </c>
    </row>
    <row r="1581" spans="1:9">
      <c r="A1581" s="42" t="s">
        <v>759</v>
      </c>
      <c r="B1581" s="42" t="s">
        <v>309</v>
      </c>
      <c r="C1581" s="42" t="s">
        <v>840</v>
      </c>
      <c r="D1581" s="42" t="s">
        <v>177</v>
      </c>
      <c r="E1581" s="42" t="s">
        <v>808</v>
      </c>
      <c r="F1581" s="45">
        <v>71000000</v>
      </c>
      <c r="G1581" s="42" t="s">
        <v>763</v>
      </c>
      <c r="H1581" s="42" t="s">
        <v>135</v>
      </c>
      <c r="I1581" s="42" t="s">
        <v>892</v>
      </c>
    </row>
    <row r="1582" spans="1:9">
      <c r="A1582" s="42" t="s">
        <v>759</v>
      </c>
      <c r="B1582" s="42" t="s">
        <v>310</v>
      </c>
      <c r="C1582" s="42" t="s">
        <v>841</v>
      </c>
      <c r="D1582" s="42" t="s">
        <v>177</v>
      </c>
      <c r="E1582" s="42" t="s">
        <v>808</v>
      </c>
      <c r="F1582" s="45">
        <v>6000000</v>
      </c>
      <c r="G1582" s="42" t="s">
        <v>763</v>
      </c>
      <c r="H1582" s="42" t="s">
        <v>135</v>
      </c>
      <c r="I1582" s="42" t="s">
        <v>892</v>
      </c>
    </row>
    <row r="1583" spans="1:9">
      <c r="A1583" s="42" t="s">
        <v>759</v>
      </c>
      <c r="B1583" s="42" t="s">
        <v>273</v>
      </c>
      <c r="C1583" s="42" t="s">
        <v>842</v>
      </c>
      <c r="D1583" s="42" t="s">
        <v>177</v>
      </c>
      <c r="E1583" s="42" t="s">
        <v>808</v>
      </c>
      <c r="F1583" s="45">
        <v>8126000000</v>
      </c>
      <c r="G1583" s="42" t="s">
        <v>763</v>
      </c>
      <c r="H1583" s="42" t="s">
        <v>135</v>
      </c>
      <c r="I1583" s="42" t="s">
        <v>892</v>
      </c>
    </row>
    <row r="1584" spans="1:9">
      <c r="A1584" s="42" t="s">
        <v>759</v>
      </c>
      <c r="B1584" s="42" t="s">
        <v>274</v>
      </c>
      <c r="C1584" s="42" t="s">
        <v>889</v>
      </c>
      <c r="D1584" s="42" t="s">
        <v>177</v>
      </c>
      <c r="E1584" s="42" t="s">
        <v>808</v>
      </c>
      <c r="F1584" s="45">
        <v>2204000000</v>
      </c>
      <c r="G1584" s="42" t="s">
        <v>763</v>
      </c>
      <c r="H1584" s="42" t="s">
        <v>135</v>
      </c>
      <c r="I1584" s="42" t="s">
        <v>892</v>
      </c>
    </row>
    <row r="1585" spans="1:9">
      <c r="A1585" s="42" t="s">
        <v>759</v>
      </c>
      <c r="B1585" s="42" t="s">
        <v>301</v>
      </c>
      <c r="C1585" s="42" t="s">
        <v>795</v>
      </c>
      <c r="D1585" s="42" t="s">
        <v>177</v>
      </c>
      <c r="E1585" s="42" t="s">
        <v>808</v>
      </c>
      <c r="F1585" s="45">
        <v>186000000</v>
      </c>
      <c r="G1585" s="42" t="s">
        <v>763</v>
      </c>
      <c r="H1585" s="42" t="s">
        <v>135</v>
      </c>
      <c r="I1585" s="42" t="s">
        <v>892</v>
      </c>
    </row>
    <row r="1586" spans="1:9">
      <c r="A1586" s="42" t="s">
        <v>759</v>
      </c>
      <c r="B1586" s="42" t="s">
        <v>302</v>
      </c>
      <c r="C1586" s="42" t="s">
        <v>797</v>
      </c>
      <c r="D1586" s="42" t="s">
        <v>177</v>
      </c>
      <c r="E1586" s="42" t="s">
        <v>808</v>
      </c>
      <c r="F1586" s="45">
        <v>77000000</v>
      </c>
      <c r="G1586" s="42" t="s">
        <v>763</v>
      </c>
      <c r="H1586" s="42" t="s">
        <v>135</v>
      </c>
      <c r="I1586" s="42" t="s">
        <v>892</v>
      </c>
    </row>
    <row r="1587" spans="1:9">
      <c r="A1587" s="42" t="s">
        <v>759</v>
      </c>
      <c r="B1587" s="42" t="s">
        <v>304</v>
      </c>
      <c r="C1587" s="42" t="s">
        <v>796</v>
      </c>
      <c r="D1587" s="42" t="s">
        <v>177</v>
      </c>
      <c r="E1587" s="42" t="s">
        <v>808</v>
      </c>
      <c r="F1587" s="45">
        <v>93000000</v>
      </c>
      <c r="G1587" s="42" t="s">
        <v>763</v>
      </c>
      <c r="H1587" s="42" t="s">
        <v>135</v>
      </c>
      <c r="I1587" s="42" t="s">
        <v>892</v>
      </c>
    </row>
    <row r="1588" spans="1:9">
      <c r="A1588" s="42" t="s">
        <v>759</v>
      </c>
      <c r="B1588" s="42" t="s">
        <v>305</v>
      </c>
      <c r="C1588" s="42" t="s">
        <v>798</v>
      </c>
      <c r="D1588" s="42" t="s">
        <v>177</v>
      </c>
      <c r="E1588" s="42" t="s">
        <v>808</v>
      </c>
      <c r="F1588" s="45">
        <v>260000000</v>
      </c>
      <c r="G1588" s="42" t="s">
        <v>763</v>
      </c>
      <c r="H1588" s="42" t="s">
        <v>135</v>
      </c>
      <c r="I1588" s="42" t="s">
        <v>892</v>
      </c>
    </row>
    <row r="1589" spans="1:9">
      <c r="A1589" s="42" t="s">
        <v>759</v>
      </c>
      <c r="B1589" s="42" t="s">
        <v>306</v>
      </c>
      <c r="C1589" s="42" t="s">
        <v>799</v>
      </c>
      <c r="D1589" s="42" t="s">
        <v>177</v>
      </c>
      <c r="E1589" s="42" t="s">
        <v>808</v>
      </c>
      <c r="F1589" s="45">
        <v>389000000</v>
      </c>
      <c r="G1589" s="42" t="s">
        <v>763</v>
      </c>
      <c r="H1589" s="42" t="s">
        <v>135</v>
      </c>
      <c r="I1589" s="42" t="s">
        <v>892</v>
      </c>
    </row>
    <row r="1590" spans="1:9">
      <c r="A1590" s="42" t="s">
        <v>759</v>
      </c>
      <c r="B1590" s="42" t="s">
        <v>307</v>
      </c>
      <c r="C1590" s="42" t="s">
        <v>843</v>
      </c>
      <c r="D1590" s="42" t="s">
        <v>177</v>
      </c>
      <c r="E1590" s="42" t="s">
        <v>808</v>
      </c>
      <c r="F1590" s="45">
        <v>296000000</v>
      </c>
      <c r="G1590" s="42" t="s">
        <v>763</v>
      </c>
      <c r="H1590" s="42" t="s">
        <v>135</v>
      </c>
      <c r="I1590" s="42" t="s">
        <v>892</v>
      </c>
    </row>
    <row r="1591" spans="1:9">
      <c r="A1591" s="42" t="s">
        <v>759</v>
      </c>
      <c r="B1591" s="42" t="s">
        <v>308</v>
      </c>
      <c r="C1591" s="42" t="s">
        <v>800</v>
      </c>
      <c r="D1591" s="42" t="s">
        <v>177</v>
      </c>
      <c r="E1591" s="42" t="s">
        <v>808</v>
      </c>
      <c r="F1591" s="45">
        <v>1832000000</v>
      </c>
      <c r="G1591" s="42" t="s">
        <v>763</v>
      </c>
      <c r="H1591" s="42" t="s">
        <v>135</v>
      </c>
      <c r="I1591" s="42" t="s">
        <v>892</v>
      </c>
    </row>
    <row r="1592" spans="1:9">
      <c r="A1592" s="42" t="s">
        <v>759</v>
      </c>
      <c r="B1592" s="42" t="s">
        <v>309</v>
      </c>
      <c r="C1592" s="42" t="s">
        <v>801</v>
      </c>
      <c r="D1592" s="42" t="s">
        <v>177</v>
      </c>
      <c r="E1592" s="42" t="s">
        <v>808</v>
      </c>
      <c r="F1592" s="45">
        <v>181000000</v>
      </c>
      <c r="G1592" s="42" t="s">
        <v>763</v>
      </c>
      <c r="H1592" s="42" t="s">
        <v>135</v>
      </c>
      <c r="I1592" s="42" t="s">
        <v>892</v>
      </c>
    </row>
    <row r="1593" spans="1:9">
      <c r="A1593" s="42" t="s">
        <v>759</v>
      </c>
      <c r="B1593" s="42" t="s">
        <v>310</v>
      </c>
      <c r="C1593" s="42" t="s">
        <v>802</v>
      </c>
      <c r="D1593" s="42" t="s">
        <v>177</v>
      </c>
      <c r="E1593" s="42" t="s">
        <v>808</v>
      </c>
      <c r="F1593" s="45">
        <v>2979000000</v>
      </c>
      <c r="G1593" s="42" t="s">
        <v>763</v>
      </c>
      <c r="H1593" s="42" t="s">
        <v>135</v>
      </c>
      <c r="I1593" s="42" t="s">
        <v>892</v>
      </c>
    </row>
    <row r="1594" spans="1:9">
      <c r="A1594" s="42" t="s">
        <v>759</v>
      </c>
      <c r="B1594" s="42" t="s">
        <v>284</v>
      </c>
      <c r="C1594" s="42" t="s">
        <v>803</v>
      </c>
      <c r="D1594" s="42" t="s">
        <v>177</v>
      </c>
      <c r="E1594" s="42" t="s">
        <v>808</v>
      </c>
      <c r="F1594" s="45">
        <v>8497000000</v>
      </c>
      <c r="G1594" s="42" t="s">
        <v>763</v>
      </c>
      <c r="H1594" s="42" t="s">
        <v>135</v>
      </c>
      <c r="I1594" s="42" t="s">
        <v>892</v>
      </c>
    </row>
    <row r="1595" spans="1:9">
      <c r="A1595" s="42" t="s">
        <v>759</v>
      </c>
      <c r="B1595" s="42" t="s">
        <v>285</v>
      </c>
      <c r="C1595" s="42" t="s">
        <v>804</v>
      </c>
      <c r="D1595" s="42" t="s">
        <v>177</v>
      </c>
      <c r="E1595" s="42" t="s">
        <v>808</v>
      </c>
      <c r="F1595" s="45">
        <v>16623000000</v>
      </c>
      <c r="G1595" s="42" t="s">
        <v>763</v>
      </c>
      <c r="H1595" s="42" t="s">
        <v>135</v>
      </c>
      <c r="I1595" s="42" t="s">
        <v>892</v>
      </c>
    </row>
    <row r="1596" spans="1:9">
      <c r="A1596" s="42" t="s">
        <v>759</v>
      </c>
      <c r="B1596" s="42" t="s">
        <v>805</v>
      </c>
      <c r="C1596" s="42" t="s">
        <v>806</v>
      </c>
      <c r="D1596" s="42" t="s">
        <v>177</v>
      </c>
      <c r="E1596" s="42" t="s">
        <v>808</v>
      </c>
      <c r="F1596" s="45">
        <v>28758000000</v>
      </c>
      <c r="G1596" s="42" t="s">
        <v>763</v>
      </c>
      <c r="H1596" s="42" t="s">
        <v>135</v>
      </c>
      <c r="I1596" s="42" t="s">
        <v>892</v>
      </c>
    </row>
    <row r="1597" spans="1:9">
      <c r="A1597" s="42" t="s">
        <v>759</v>
      </c>
      <c r="B1597" s="42" t="s">
        <v>287</v>
      </c>
      <c r="C1597" s="42" t="s">
        <v>821</v>
      </c>
      <c r="D1597" s="42" t="s">
        <v>178</v>
      </c>
      <c r="E1597" s="42" t="s">
        <v>808</v>
      </c>
      <c r="F1597" s="45">
        <v>491000000</v>
      </c>
      <c r="G1597" s="42" t="s">
        <v>763</v>
      </c>
      <c r="H1597" s="42" t="s">
        <v>149</v>
      </c>
      <c r="I1597" s="42" t="s">
        <v>871</v>
      </c>
    </row>
    <row r="1598" spans="1:9">
      <c r="A1598" s="42" t="s">
        <v>759</v>
      </c>
      <c r="B1598" s="42" t="s">
        <v>288</v>
      </c>
      <c r="C1598" s="42" t="s">
        <v>823</v>
      </c>
      <c r="D1598" s="42" t="s">
        <v>178</v>
      </c>
      <c r="E1598" s="42" t="s">
        <v>808</v>
      </c>
      <c r="F1598" s="45">
        <v>18736000000</v>
      </c>
      <c r="G1598" s="42" t="s">
        <v>763</v>
      </c>
      <c r="H1598" s="42" t="s">
        <v>149</v>
      </c>
      <c r="I1598" s="42" t="s">
        <v>871</v>
      </c>
    </row>
    <row r="1599" spans="1:9">
      <c r="A1599" s="42" t="s">
        <v>759</v>
      </c>
      <c r="B1599" s="42" t="s">
        <v>289</v>
      </c>
      <c r="C1599" s="42" t="s">
        <v>825</v>
      </c>
      <c r="D1599" s="42" t="s">
        <v>178</v>
      </c>
      <c r="E1599" s="42" t="s">
        <v>808</v>
      </c>
      <c r="F1599" s="45">
        <v>743000000</v>
      </c>
      <c r="G1599" s="42" t="s">
        <v>763</v>
      </c>
      <c r="H1599" s="42" t="s">
        <v>149</v>
      </c>
      <c r="I1599" s="42" t="s">
        <v>871</v>
      </c>
    </row>
    <row r="1600" spans="1:9">
      <c r="A1600" s="42" t="s">
        <v>759</v>
      </c>
      <c r="B1600" s="42" t="s">
        <v>290</v>
      </c>
      <c r="C1600" s="42" t="s">
        <v>826</v>
      </c>
      <c r="D1600" s="42" t="s">
        <v>178</v>
      </c>
      <c r="E1600" s="42" t="s">
        <v>808</v>
      </c>
      <c r="F1600" s="45">
        <v>1960000000</v>
      </c>
      <c r="G1600" s="42" t="s">
        <v>763</v>
      </c>
      <c r="H1600" s="42" t="s">
        <v>149</v>
      </c>
      <c r="I1600" s="42" t="s">
        <v>871</v>
      </c>
    </row>
    <row r="1601" spans="1:9">
      <c r="A1601" s="42" t="s">
        <v>759</v>
      </c>
      <c r="B1601" s="42" t="s">
        <v>291</v>
      </c>
      <c r="C1601" s="42" t="s">
        <v>827</v>
      </c>
      <c r="D1601" s="42" t="s">
        <v>178</v>
      </c>
      <c r="E1601" s="42" t="s">
        <v>808</v>
      </c>
      <c r="F1601" s="45">
        <v>330000000</v>
      </c>
      <c r="G1601" s="42" t="s">
        <v>763</v>
      </c>
      <c r="H1601" s="42" t="s">
        <v>149</v>
      </c>
      <c r="I1601" s="42" t="s">
        <v>871</v>
      </c>
    </row>
    <row r="1602" spans="1:9">
      <c r="A1602" s="42" t="s">
        <v>759</v>
      </c>
      <c r="B1602" s="42" t="s">
        <v>292</v>
      </c>
      <c r="C1602" s="42" t="s">
        <v>828</v>
      </c>
      <c r="D1602" s="42" t="s">
        <v>178</v>
      </c>
      <c r="E1602" s="42" t="s">
        <v>808</v>
      </c>
      <c r="F1602" s="45">
        <v>337000000</v>
      </c>
      <c r="G1602" s="42" t="s">
        <v>763</v>
      </c>
      <c r="H1602" s="42" t="s">
        <v>149</v>
      </c>
      <c r="I1602" s="42" t="s">
        <v>871</v>
      </c>
    </row>
    <row r="1603" spans="1:9">
      <c r="A1603" s="42" t="s">
        <v>759</v>
      </c>
      <c r="B1603" s="42" t="s">
        <v>293</v>
      </c>
      <c r="C1603" s="42" t="s">
        <v>829</v>
      </c>
      <c r="D1603" s="42" t="s">
        <v>178</v>
      </c>
      <c r="E1603" s="42" t="s">
        <v>808</v>
      </c>
      <c r="F1603" s="45">
        <v>1000000</v>
      </c>
      <c r="G1603" s="42" t="s">
        <v>763</v>
      </c>
      <c r="H1603" s="42" t="s">
        <v>149</v>
      </c>
      <c r="I1603" s="42" t="s">
        <v>871</v>
      </c>
    </row>
    <row r="1604" spans="1:9">
      <c r="A1604" s="42" t="s">
        <v>759</v>
      </c>
      <c r="B1604" s="42" t="s">
        <v>239</v>
      </c>
      <c r="C1604" s="42" t="s">
        <v>830</v>
      </c>
      <c r="D1604" s="42" t="s">
        <v>178</v>
      </c>
      <c r="E1604" s="42" t="s">
        <v>808</v>
      </c>
      <c r="F1604" s="45">
        <v>22598000000</v>
      </c>
      <c r="G1604" s="42" t="s">
        <v>763</v>
      </c>
      <c r="H1604" s="42" t="s">
        <v>149</v>
      </c>
      <c r="I1604" s="42" t="s">
        <v>871</v>
      </c>
    </row>
    <row r="1605" spans="1:9">
      <c r="A1605" s="42" t="s">
        <v>759</v>
      </c>
      <c r="B1605" s="42" t="s">
        <v>240</v>
      </c>
      <c r="C1605" s="42" t="s">
        <v>818</v>
      </c>
      <c r="D1605" s="42" t="s">
        <v>178</v>
      </c>
      <c r="E1605" s="42" t="s">
        <v>808</v>
      </c>
      <c r="F1605" s="45">
        <v>1537000000</v>
      </c>
      <c r="G1605" s="42" t="s">
        <v>763</v>
      </c>
      <c r="H1605" s="42" t="s">
        <v>149</v>
      </c>
      <c r="I1605" s="42" t="s">
        <v>871</v>
      </c>
    </row>
    <row r="1606" spans="1:9">
      <c r="A1606" s="42" t="s">
        <v>759</v>
      </c>
      <c r="B1606" s="42" t="s">
        <v>241</v>
      </c>
      <c r="C1606" s="42" t="s">
        <v>772</v>
      </c>
      <c r="D1606" s="42" t="s">
        <v>178</v>
      </c>
      <c r="E1606" s="42" t="s">
        <v>808</v>
      </c>
      <c r="F1606" s="45">
        <v>1546000000</v>
      </c>
      <c r="G1606" s="42" t="s">
        <v>763</v>
      </c>
      <c r="H1606" s="42" t="s">
        <v>149</v>
      </c>
      <c r="I1606" s="42" t="s">
        <v>871</v>
      </c>
    </row>
    <row r="1607" spans="1:9">
      <c r="A1607" s="42" t="s">
        <v>759</v>
      </c>
      <c r="B1607" s="42" t="s">
        <v>242</v>
      </c>
      <c r="C1607" s="42" t="s">
        <v>773</v>
      </c>
      <c r="D1607" s="42" t="s">
        <v>178</v>
      </c>
      <c r="E1607" s="42" t="s">
        <v>808</v>
      </c>
      <c r="F1607" s="45">
        <v>30000000</v>
      </c>
      <c r="G1607" s="42" t="s">
        <v>763</v>
      </c>
      <c r="H1607" s="42" t="s">
        <v>149</v>
      </c>
      <c r="I1607" s="42" t="s">
        <v>871</v>
      </c>
    </row>
    <row r="1608" spans="1:9">
      <c r="A1608" s="42" t="s">
        <v>759</v>
      </c>
      <c r="B1608" s="42" t="s">
        <v>292</v>
      </c>
      <c r="C1608" s="42" t="s">
        <v>774</v>
      </c>
      <c r="D1608" s="42" t="s">
        <v>178</v>
      </c>
      <c r="E1608" s="42" t="s">
        <v>808</v>
      </c>
      <c r="F1608" s="45">
        <v>552000000</v>
      </c>
      <c r="G1608" s="42" t="s">
        <v>763</v>
      </c>
      <c r="H1608" s="42" t="s">
        <v>149</v>
      </c>
      <c r="I1608" s="42" t="s">
        <v>871</v>
      </c>
    </row>
    <row r="1609" spans="1:9">
      <c r="A1609" s="42" t="s">
        <v>759</v>
      </c>
      <c r="B1609" s="42" t="s">
        <v>293</v>
      </c>
      <c r="C1609" s="42" t="s">
        <v>775</v>
      </c>
      <c r="D1609" s="42" t="s">
        <v>178</v>
      </c>
      <c r="E1609" s="42" t="s">
        <v>808</v>
      </c>
      <c r="F1609" s="45">
        <v>1620000000</v>
      </c>
      <c r="G1609" s="42" t="s">
        <v>763</v>
      </c>
      <c r="H1609" s="42" t="s">
        <v>149</v>
      </c>
      <c r="I1609" s="42" t="s">
        <v>871</v>
      </c>
    </row>
    <row r="1610" spans="1:9">
      <c r="A1610" s="42" t="s">
        <v>759</v>
      </c>
      <c r="B1610" s="42" t="s">
        <v>862</v>
      </c>
      <c r="C1610" s="42" t="s">
        <v>776</v>
      </c>
      <c r="D1610" s="42" t="s">
        <v>178</v>
      </c>
      <c r="E1610" s="42" t="s">
        <v>808</v>
      </c>
      <c r="F1610" s="45">
        <v>390000000</v>
      </c>
      <c r="G1610" s="42" t="s">
        <v>763</v>
      </c>
      <c r="H1610" s="42" t="s">
        <v>149</v>
      </c>
      <c r="I1610" s="42" t="s">
        <v>871</v>
      </c>
    </row>
    <row r="1611" spans="1:9">
      <c r="A1611" s="42" t="s">
        <v>759</v>
      </c>
      <c r="B1611" s="42" t="s">
        <v>246</v>
      </c>
      <c r="C1611" s="42" t="s">
        <v>777</v>
      </c>
      <c r="D1611" s="42" t="s">
        <v>178</v>
      </c>
      <c r="E1611" s="42" t="s">
        <v>808</v>
      </c>
      <c r="F1611" s="45">
        <v>1118000000</v>
      </c>
      <c r="G1611" s="42" t="s">
        <v>763</v>
      </c>
      <c r="H1611" s="42" t="s">
        <v>149</v>
      </c>
      <c r="I1611" s="42" t="s">
        <v>871</v>
      </c>
    </row>
    <row r="1612" spans="1:9">
      <c r="A1612" s="42" t="s">
        <v>759</v>
      </c>
      <c r="B1612" s="42" t="s">
        <v>247</v>
      </c>
      <c r="C1612" s="42" t="s">
        <v>778</v>
      </c>
      <c r="D1612" s="42" t="s">
        <v>178</v>
      </c>
      <c r="E1612" s="42" t="s">
        <v>808</v>
      </c>
      <c r="F1612" s="45">
        <v>6793000000</v>
      </c>
      <c r="G1612" s="42" t="s">
        <v>763</v>
      </c>
      <c r="H1612" s="42" t="s">
        <v>149</v>
      </c>
      <c r="I1612" s="42" t="s">
        <v>871</v>
      </c>
    </row>
    <row r="1613" spans="1:9">
      <c r="A1613" s="42" t="s">
        <v>759</v>
      </c>
      <c r="B1613" s="42" t="s">
        <v>248</v>
      </c>
      <c r="C1613" s="42" t="s">
        <v>779</v>
      </c>
      <c r="D1613" s="42" t="s">
        <v>178</v>
      </c>
      <c r="E1613" s="42" t="s">
        <v>808</v>
      </c>
      <c r="F1613" s="45">
        <v>29391000000</v>
      </c>
      <c r="G1613" s="42" t="s">
        <v>763</v>
      </c>
      <c r="H1613" s="42" t="s">
        <v>149</v>
      </c>
      <c r="I1613" s="42" t="s">
        <v>871</v>
      </c>
    </row>
    <row r="1614" spans="1:9">
      <c r="A1614" s="42" t="s">
        <v>759</v>
      </c>
      <c r="B1614" s="42" t="s">
        <v>297</v>
      </c>
      <c r="C1614" s="42" t="s">
        <v>781</v>
      </c>
      <c r="D1614" s="42" t="s">
        <v>178</v>
      </c>
      <c r="E1614" s="42" t="s">
        <v>808</v>
      </c>
      <c r="F1614" s="45">
        <v>4506000000</v>
      </c>
      <c r="G1614" s="42" t="s">
        <v>763</v>
      </c>
      <c r="H1614" s="42" t="s">
        <v>145</v>
      </c>
      <c r="I1614" s="42" t="s">
        <v>888</v>
      </c>
    </row>
    <row r="1615" spans="1:9">
      <c r="A1615" s="42" t="s">
        <v>759</v>
      </c>
      <c r="B1615" s="42" t="s">
        <v>298</v>
      </c>
      <c r="C1615" s="42" t="s">
        <v>855</v>
      </c>
      <c r="D1615" s="42" t="s">
        <v>178</v>
      </c>
      <c r="E1615" s="42" t="s">
        <v>808</v>
      </c>
      <c r="F1615" s="45">
        <v>7146000000</v>
      </c>
      <c r="G1615" s="42" t="s">
        <v>763</v>
      </c>
      <c r="H1615" s="42" t="s">
        <v>145</v>
      </c>
      <c r="I1615" s="42" t="s">
        <v>888</v>
      </c>
    </row>
    <row r="1616" spans="1:9">
      <c r="A1616" s="42" t="s">
        <v>759</v>
      </c>
      <c r="B1616" s="42" t="s">
        <v>249</v>
      </c>
      <c r="C1616" s="42" t="s">
        <v>872</v>
      </c>
      <c r="D1616" s="42" t="s">
        <v>178</v>
      </c>
      <c r="E1616" s="42" t="s">
        <v>808</v>
      </c>
      <c r="F1616" s="45">
        <v>3922000000</v>
      </c>
      <c r="G1616" s="42" t="s">
        <v>763</v>
      </c>
      <c r="H1616" s="42" t="s">
        <v>149</v>
      </c>
      <c r="I1616" s="42" t="s">
        <v>871</v>
      </c>
    </row>
    <row r="1617" spans="1:9">
      <c r="A1617" s="42" t="s">
        <v>759</v>
      </c>
      <c r="B1617" s="42" t="s">
        <v>250</v>
      </c>
      <c r="C1617" s="42" t="s">
        <v>873</v>
      </c>
      <c r="D1617" s="42" t="s">
        <v>178</v>
      </c>
      <c r="E1617" s="42" t="s">
        <v>808</v>
      </c>
      <c r="F1617" s="45">
        <v>11000000</v>
      </c>
      <c r="G1617" s="42" t="s">
        <v>763</v>
      </c>
      <c r="H1617" s="42" t="s">
        <v>149</v>
      </c>
      <c r="I1617" s="42" t="s">
        <v>871</v>
      </c>
    </row>
    <row r="1618" spans="1:9">
      <c r="A1618" s="42" t="s">
        <v>759</v>
      </c>
      <c r="B1618" s="42" t="s">
        <v>251</v>
      </c>
      <c r="C1618" s="42" t="s">
        <v>874</v>
      </c>
      <c r="D1618" s="42" t="s">
        <v>178</v>
      </c>
      <c r="E1618" s="42" t="s">
        <v>808</v>
      </c>
      <c r="F1618" s="45">
        <v>3000000</v>
      </c>
      <c r="G1618" s="42" t="s">
        <v>763</v>
      </c>
      <c r="H1618" s="42" t="s">
        <v>149</v>
      </c>
      <c r="I1618" s="42" t="s">
        <v>871</v>
      </c>
    </row>
    <row r="1619" spans="1:9">
      <c r="A1619" s="42" t="s">
        <v>759</v>
      </c>
      <c r="B1619" s="42" t="s">
        <v>252</v>
      </c>
      <c r="C1619" s="42" t="s">
        <v>875</v>
      </c>
      <c r="D1619" s="42" t="s">
        <v>178</v>
      </c>
      <c r="E1619" s="42" t="s">
        <v>808</v>
      </c>
      <c r="F1619" s="45">
        <v>-28000000</v>
      </c>
      <c r="G1619" s="42" t="s">
        <v>763</v>
      </c>
      <c r="H1619" s="42" t="s">
        <v>149</v>
      </c>
      <c r="I1619" s="42" t="s">
        <v>871</v>
      </c>
    </row>
    <row r="1620" spans="1:9">
      <c r="A1620" s="42" t="s">
        <v>759</v>
      </c>
      <c r="B1620" s="42" t="s">
        <v>253</v>
      </c>
      <c r="C1620" s="42" t="s">
        <v>876</v>
      </c>
      <c r="D1620" s="42" t="s">
        <v>178</v>
      </c>
      <c r="E1620" s="42" t="s">
        <v>808</v>
      </c>
      <c r="F1620" s="45">
        <v>-42000000</v>
      </c>
      <c r="G1620" s="42" t="s">
        <v>763</v>
      </c>
      <c r="H1620" s="42" t="s">
        <v>149</v>
      </c>
      <c r="I1620" s="42" t="s">
        <v>871</v>
      </c>
    </row>
    <row r="1621" spans="1:9">
      <c r="A1621" s="42" t="s">
        <v>759</v>
      </c>
      <c r="B1621" s="42" t="s">
        <v>254</v>
      </c>
      <c r="C1621" s="42" t="s">
        <v>877</v>
      </c>
      <c r="D1621" s="42" t="s">
        <v>178</v>
      </c>
      <c r="E1621" s="42" t="s">
        <v>808</v>
      </c>
      <c r="F1621" s="45">
        <v>640000000</v>
      </c>
      <c r="G1621" s="42" t="s">
        <v>763</v>
      </c>
      <c r="H1621" s="42" t="s">
        <v>149</v>
      </c>
      <c r="I1621" s="42" t="s">
        <v>871</v>
      </c>
    </row>
    <row r="1622" spans="1:9">
      <c r="A1622" s="42" t="s">
        <v>759</v>
      </c>
      <c r="B1622" s="42" t="s">
        <v>255</v>
      </c>
      <c r="C1622" s="42" t="s">
        <v>878</v>
      </c>
      <c r="D1622" s="42" t="s">
        <v>178</v>
      </c>
      <c r="E1622" s="42" t="s">
        <v>808</v>
      </c>
      <c r="F1622" s="45">
        <v>787000000</v>
      </c>
      <c r="G1622" s="42" t="s">
        <v>763</v>
      </c>
      <c r="H1622" s="42" t="s">
        <v>149</v>
      </c>
      <c r="I1622" s="42" t="s">
        <v>871</v>
      </c>
    </row>
    <row r="1623" spans="1:9">
      <c r="A1623" s="42" t="s">
        <v>759</v>
      </c>
      <c r="B1623" s="42" t="s">
        <v>256</v>
      </c>
      <c r="C1623" s="42" t="s">
        <v>880</v>
      </c>
      <c r="D1623" s="42" t="s">
        <v>178</v>
      </c>
      <c r="E1623" s="42" t="s">
        <v>808</v>
      </c>
      <c r="F1623" s="45">
        <v>4236000000</v>
      </c>
      <c r="G1623" s="42" t="s">
        <v>763</v>
      </c>
      <c r="H1623" s="42" t="s">
        <v>149</v>
      </c>
      <c r="I1623" s="42" t="s">
        <v>871</v>
      </c>
    </row>
    <row r="1624" spans="1:9">
      <c r="A1624" s="42" t="s">
        <v>759</v>
      </c>
      <c r="B1624" s="42" t="s">
        <v>257</v>
      </c>
      <c r="C1624" s="42" t="s">
        <v>881</v>
      </c>
      <c r="D1624" s="42" t="s">
        <v>178</v>
      </c>
      <c r="E1624" s="42" t="s">
        <v>808</v>
      </c>
      <c r="F1624" s="45">
        <v>36000000</v>
      </c>
      <c r="G1624" s="42" t="s">
        <v>763</v>
      </c>
      <c r="H1624" s="42" t="s">
        <v>149</v>
      </c>
      <c r="I1624" s="42" t="s">
        <v>871</v>
      </c>
    </row>
    <row r="1625" spans="1:9">
      <c r="A1625" s="42" t="s">
        <v>759</v>
      </c>
      <c r="B1625" s="42" t="s">
        <v>258</v>
      </c>
      <c r="C1625" s="42" t="s">
        <v>882</v>
      </c>
      <c r="D1625" s="42" t="s">
        <v>178</v>
      </c>
      <c r="E1625" s="42" t="s">
        <v>808</v>
      </c>
      <c r="F1625" s="45">
        <v>-331000000</v>
      </c>
      <c r="G1625" s="42" t="s">
        <v>763</v>
      </c>
      <c r="H1625" s="42" t="s">
        <v>149</v>
      </c>
      <c r="I1625" s="42" t="s">
        <v>871</v>
      </c>
    </row>
    <row r="1626" spans="1:9">
      <c r="A1626" s="42" t="s">
        <v>759</v>
      </c>
      <c r="B1626" s="42" t="s">
        <v>259</v>
      </c>
      <c r="C1626" s="42" t="s">
        <v>883</v>
      </c>
      <c r="D1626" s="42" t="s">
        <v>178</v>
      </c>
      <c r="E1626" s="42" t="s">
        <v>808</v>
      </c>
      <c r="F1626" s="45">
        <v>2418000000</v>
      </c>
      <c r="G1626" s="42" t="s">
        <v>763</v>
      </c>
      <c r="H1626" s="42" t="s">
        <v>149</v>
      </c>
      <c r="I1626" s="42" t="s">
        <v>871</v>
      </c>
    </row>
    <row r="1627" spans="1:9">
      <c r="A1627" s="42" t="s">
        <v>759</v>
      </c>
      <c r="B1627" s="42" t="s">
        <v>260</v>
      </c>
      <c r="C1627" s="42" t="s">
        <v>784</v>
      </c>
      <c r="D1627" s="42" t="s">
        <v>178</v>
      </c>
      <c r="E1627" s="42" t="s">
        <v>808</v>
      </c>
      <c r="F1627" s="45">
        <v>11652000000</v>
      </c>
      <c r="G1627" s="42" t="s">
        <v>763</v>
      </c>
      <c r="H1627" s="42" t="s">
        <v>149</v>
      </c>
      <c r="I1627" s="42" t="s">
        <v>871</v>
      </c>
    </row>
    <row r="1628" spans="1:9">
      <c r="A1628" s="42" t="s">
        <v>759</v>
      </c>
      <c r="B1628" s="42" t="s">
        <v>261</v>
      </c>
      <c r="C1628" s="42" t="s">
        <v>785</v>
      </c>
      <c r="D1628" s="42" t="s">
        <v>178</v>
      </c>
      <c r="E1628" s="42" t="s">
        <v>808</v>
      </c>
      <c r="F1628" s="45">
        <v>218000000</v>
      </c>
      <c r="G1628" s="42" t="s">
        <v>763</v>
      </c>
      <c r="H1628" s="42" t="s">
        <v>149</v>
      </c>
      <c r="I1628" s="42" t="s">
        <v>871</v>
      </c>
    </row>
    <row r="1629" spans="1:9">
      <c r="A1629" s="42" t="s">
        <v>759</v>
      </c>
      <c r="B1629" s="42" t="s">
        <v>305</v>
      </c>
      <c r="C1629" s="42" t="s">
        <v>837</v>
      </c>
      <c r="D1629" s="42" t="s">
        <v>178</v>
      </c>
      <c r="E1629" s="42" t="s">
        <v>808</v>
      </c>
      <c r="F1629" s="45">
        <v>217269.9878637184</v>
      </c>
      <c r="G1629" s="42" t="s">
        <v>763</v>
      </c>
      <c r="H1629" s="42" t="s">
        <v>137</v>
      </c>
      <c r="I1629" s="42" t="s">
        <v>884</v>
      </c>
    </row>
    <row r="1630" spans="1:9">
      <c r="A1630" s="42" t="s">
        <v>759</v>
      </c>
      <c r="B1630" s="42" t="s">
        <v>262</v>
      </c>
      <c r="C1630" s="42" t="s">
        <v>787</v>
      </c>
      <c r="D1630" s="42" t="s">
        <v>178</v>
      </c>
      <c r="E1630" s="42" t="s">
        <v>808</v>
      </c>
      <c r="F1630" s="45">
        <v>11870000000</v>
      </c>
      <c r="G1630" s="42" t="s">
        <v>763</v>
      </c>
      <c r="H1630" s="42" t="s">
        <v>149</v>
      </c>
      <c r="I1630" s="42" t="s">
        <v>871</v>
      </c>
    </row>
    <row r="1631" spans="1:9">
      <c r="A1631" s="42" t="s">
        <v>759</v>
      </c>
      <c r="B1631" s="42" t="s">
        <v>301</v>
      </c>
      <c r="C1631" s="42" t="s">
        <v>832</v>
      </c>
      <c r="D1631" s="42" t="s">
        <v>178</v>
      </c>
      <c r="E1631" s="42" t="s">
        <v>808</v>
      </c>
      <c r="F1631" s="45">
        <v>1084000000</v>
      </c>
      <c r="G1631" s="42" t="s">
        <v>763</v>
      </c>
      <c r="H1631" s="42" t="s">
        <v>149</v>
      </c>
      <c r="I1631" s="42" t="s">
        <v>871</v>
      </c>
    </row>
    <row r="1632" spans="1:9">
      <c r="A1632" s="42" t="s">
        <v>759</v>
      </c>
      <c r="B1632" s="42" t="s">
        <v>302</v>
      </c>
      <c r="C1632" s="42" t="s">
        <v>834</v>
      </c>
      <c r="D1632" s="42" t="s">
        <v>178</v>
      </c>
      <c r="E1632" s="42" t="s">
        <v>808</v>
      </c>
      <c r="F1632" s="45">
        <v>114000000</v>
      </c>
      <c r="G1632" s="42" t="s">
        <v>763</v>
      </c>
      <c r="H1632" s="42" t="s">
        <v>149</v>
      </c>
      <c r="I1632" s="42" t="s">
        <v>871</v>
      </c>
    </row>
    <row r="1633" spans="1:9">
      <c r="A1633" s="42" t="s">
        <v>759</v>
      </c>
      <c r="B1633" s="42" t="s">
        <v>303</v>
      </c>
      <c r="C1633" s="42" t="s">
        <v>833</v>
      </c>
      <c r="D1633" s="42" t="s">
        <v>178</v>
      </c>
      <c r="E1633" s="42" t="s">
        <v>808</v>
      </c>
      <c r="F1633" s="45">
        <v>90000000</v>
      </c>
      <c r="G1633" s="42" t="s">
        <v>763</v>
      </c>
      <c r="H1633" s="42" t="s">
        <v>149</v>
      </c>
      <c r="I1633" s="42" t="s">
        <v>871</v>
      </c>
    </row>
    <row r="1634" spans="1:9">
      <c r="A1634" s="42" t="s">
        <v>759</v>
      </c>
      <c r="B1634" s="42" t="s">
        <v>304</v>
      </c>
      <c r="C1634" s="42" t="s">
        <v>835</v>
      </c>
      <c r="D1634" s="42" t="s">
        <v>178</v>
      </c>
      <c r="E1634" s="42" t="s">
        <v>808</v>
      </c>
      <c r="F1634" s="45">
        <v>2000000</v>
      </c>
      <c r="G1634" s="42" t="s">
        <v>763</v>
      </c>
      <c r="H1634" s="42" t="s">
        <v>149</v>
      </c>
      <c r="I1634" s="42" t="s">
        <v>871</v>
      </c>
    </row>
    <row r="1635" spans="1:9">
      <c r="A1635" s="42" t="s">
        <v>759</v>
      </c>
      <c r="B1635" s="42" t="s">
        <v>306</v>
      </c>
      <c r="C1635" s="42" t="s">
        <v>857</v>
      </c>
      <c r="D1635" s="42" t="s">
        <v>178</v>
      </c>
      <c r="E1635" s="42" t="s">
        <v>808</v>
      </c>
      <c r="F1635" s="45">
        <v>34000000</v>
      </c>
      <c r="G1635" s="42" t="s">
        <v>763</v>
      </c>
      <c r="H1635" s="42" t="s">
        <v>149</v>
      </c>
      <c r="I1635" s="42" t="s">
        <v>871</v>
      </c>
    </row>
    <row r="1636" spans="1:9">
      <c r="A1636" s="42" t="s">
        <v>759</v>
      </c>
      <c r="B1636" s="42" t="s">
        <v>307</v>
      </c>
      <c r="C1636" s="42" t="s">
        <v>838</v>
      </c>
      <c r="D1636" s="42" t="s">
        <v>178</v>
      </c>
      <c r="E1636" s="42" t="s">
        <v>808</v>
      </c>
      <c r="F1636" s="45">
        <v>406000000</v>
      </c>
      <c r="G1636" s="42" t="s">
        <v>763</v>
      </c>
      <c r="H1636" s="42" t="s">
        <v>149</v>
      </c>
      <c r="I1636" s="42" t="s">
        <v>871</v>
      </c>
    </row>
    <row r="1637" spans="1:9">
      <c r="A1637" s="42" t="s">
        <v>759</v>
      </c>
      <c r="B1637" s="42" t="s">
        <v>308</v>
      </c>
      <c r="C1637" s="42" t="s">
        <v>839</v>
      </c>
      <c r="D1637" s="42" t="s">
        <v>178</v>
      </c>
      <c r="E1637" s="42" t="s">
        <v>808</v>
      </c>
      <c r="F1637" s="45">
        <v>7035000000</v>
      </c>
      <c r="G1637" s="42" t="s">
        <v>763</v>
      </c>
      <c r="H1637" s="42" t="s">
        <v>149</v>
      </c>
      <c r="I1637" s="42" t="s">
        <v>871</v>
      </c>
    </row>
    <row r="1638" spans="1:9">
      <c r="A1638" s="42" t="s">
        <v>759</v>
      </c>
      <c r="B1638" s="42" t="s">
        <v>309</v>
      </c>
      <c r="C1638" s="42" t="s">
        <v>840</v>
      </c>
      <c r="D1638" s="42" t="s">
        <v>178</v>
      </c>
      <c r="E1638" s="42" t="s">
        <v>808</v>
      </c>
      <c r="F1638" s="45">
        <v>74000000</v>
      </c>
      <c r="G1638" s="42" t="s">
        <v>763</v>
      </c>
      <c r="H1638" s="42" t="s">
        <v>149</v>
      </c>
      <c r="I1638" s="42" t="s">
        <v>871</v>
      </c>
    </row>
    <row r="1639" spans="1:9">
      <c r="A1639" s="42" t="s">
        <v>759</v>
      </c>
      <c r="B1639" s="42" t="s">
        <v>310</v>
      </c>
      <c r="C1639" s="42" t="s">
        <v>841</v>
      </c>
      <c r="D1639" s="42" t="s">
        <v>178</v>
      </c>
      <c r="E1639" s="42" t="s">
        <v>808</v>
      </c>
      <c r="F1639" s="45">
        <v>6000000</v>
      </c>
      <c r="G1639" s="42" t="s">
        <v>763</v>
      </c>
      <c r="H1639" s="42" t="s">
        <v>149</v>
      </c>
      <c r="I1639" s="42" t="s">
        <v>871</v>
      </c>
    </row>
    <row r="1640" spans="1:9">
      <c r="A1640" s="42" t="s">
        <v>759</v>
      </c>
      <c r="B1640" s="42" t="s">
        <v>273</v>
      </c>
      <c r="C1640" s="42" t="s">
        <v>842</v>
      </c>
      <c r="D1640" s="42" t="s">
        <v>178</v>
      </c>
      <c r="E1640" s="42" t="s">
        <v>808</v>
      </c>
      <c r="F1640" s="45">
        <v>8845000000</v>
      </c>
      <c r="G1640" s="42" t="s">
        <v>763</v>
      </c>
      <c r="H1640" s="42" t="s">
        <v>149</v>
      </c>
      <c r="I1640" s="42" t="s">
        <v>871</v>
      </c>
    </row>
    <row r="1641" spans="1:9">
      <c r="A1641" s="42" t="s">
        <v>759</v>
      </c>
      <c r="B1641" s="42" t="s">
        <v>274</v>
      </c>
      <c r="C1641" s="42" t="s">
        <v>889</v>
      </c>
      <c r="D1641" s="42" t="s">
        <v>178</v>
      </c>
      <c r="E1641" s="42" t="s">
        <v>808</v>
      </c>
      <c r="F1641" s="45">
        <v>2136000000</v>
      </c>
      <c r="G1641" s="42" t="s">
        <v>763</v>
      </c>
      <c r="H1641" s="42" t="s">
        <v>149</v>
      </c>
      <c r="I1641" s="42" t="s">
        <v>871</v>
      </c>
    </row>
    <row r="1642" spans="1:9">
      <c r="A1642" s="42" t="s">
        <v>759</v>
      </c>
      <c r="B1642" s="42" t="s">
        <v>301</v>
      </c>
      <c r="C1642" s="42" t="s">
        <v>795</v>
      </c>
      <c r="D1642" s="42" t="s">
        <v>178</v>
      </c>
      <c r="E1642" s="42" t="s">
        <v>808</v>
      </c>
      <c r="F1642" s="45">
        <v>116000000</v>
      </c>
      <c r="G1642" s="42" t="s">
        <v>763</v>
      </c>
      <c r="H1642" s="42" t="s">
        <v>149</v>
      </c>
      <c r="I1642" s="42" t="s">
        <v>871</v>
      </c>
    </row>
    <row r="1643" spans="1:9">
      <c r="A1643" s="42" t="s">
        <v>759</v>
      </c>
      <c r="B1643" s="42" t="s">
        <v>302</v>
      </c>
      <c r="C1643" s="42" t="s">
        <v>797</v>
      </c>
      <c r="D1643" s="42" t="s">
        <v>178</v>
      </c>
      <c r="E1643" s="42" t="s">
        <v>808</v>
      </c>
      <c r="F1643" s="45">
        <v>73000000</v>
      </c>
      <c r="G1643" s="42" t="s">
        <v>763</v>
      </c>
      <c r="H1643" s="42" t="s">
        <v>149</v>
      </c>
      <c r="I1643" s="42" t="s">
        <v>871</v>
      </c>
    </row>
    <row r="1644" spans="1:9">
      <c r="A1644" s="42" t="s">
        <v>759</v>
      </c>
      <c r="B1644" s="42" t="s">
        <v>304</v>
      </c>
      <c r="C1644" s="42" t="s">
        <v>796</v>
      </c>
      <c r="D1644" s="42" t="s">
        <v>178</v>
      </c>
      <c r="E1644" s="42" t="s">
        <v>808</v>
      </c>
      <c r="F1644" s="45">
        <v>126000000</v>
      </c>
      <c r="G1644" s="42" t="s">
        <v>763</v>
      </c>
      <c r="H1644" s="42" t="s">
        <v>149</v>
      </c>
      <c r="I1644" s="42" t="s">
        <v>871</v>
      </c>
    </row>
    <row r="1645" spans="1:9">
      <c r="A1645" s="42" t="s">
        <v>759</v>
      </c>
      <c r="B1645" s="42" t="s">
        <v>305</v>
      </c>
      <c r="C1645" s="42" t="s">
        <v>798</v>
      </c>
      <c r="D1645" s="42" t="s">
        <v>178</v>
      </c>
      <c r="E1645" s="42" t="s">
        <v>808</v>
      </c>
      <c r="F1645" s="45">
        <v>247000000</v>
      </c>
      <c r="G1645" s="42" t="s">
        <v>763</v>
      </c>
      <c r="H1645" s="42" t="s">
        <v>149</v>
      </c>
      <c r="I1645" s="42" t="s">
        <v>871</v>
      </c>
    </row>
    <row r="1646" spans="1:9">
      <c r="A1646" s="42" t="s">
        <v>759</v>
      </c>
      <c r="B1646" s="42" t="s">
        <v>306</v>
      </c>
      <c r="C1646" s="42" t="s">
        <v>799</v>
      </c>
      <c r="D1646" s="42" t="s">
        <v>178</v>
      </c>
      <c r="E1646" s="42" t="s">
        <v>808</v>
      </c>
      <c r="F1646" s="45">
        <v>412000000</v>
      </c>
      <c r="G1646" s="42" t="s">
        <v>763</v>
      </c>
      <c r="H1646" s="42" t="s">
        <v>149</v>
      </c>
      <c r="I1646" s="42" t="s">
        <v>871</v>
      </c>
    </row>
    <row r="1647" spans="1:9">
      <c r="A1647" s="42" t="s">
        <v>759</v>
      </c>
      <c r="B1647" s="42" t="s">
        <v>307</v>
      </c>
      <c r="C1647" s="42" t="s">
        <v>843</v>
      </c>
      <c r="D1647" s="42" t="s">
        <v>178</v>
      </c>
      <c r="E1647" s="42" t="s">
        <v>808</v>
      </c>
      <c r="F1647" s="45">
        <v>370000000</v>
      </c>
      <c r="G1647" s="42" t="s">
        <v>763</v>
      </c>
      <c r="H1647" s="42" t="s">
        <v>149</v>
      </c>
      <c r="I1647" s="42" t="s">
        <v>871</v>
      </c>
    </row>
    <row r="1648" spans="1:9">
      <c r="A1648" s="42" t="s">
        <v>759</v>
      </c>
      <c r="B1648" s="42" t="s">
        <v>308</v>
      </c>
      <c r="C1648" s="42" t="s">
        <v>800</v>
      </c>
      <c r="D1648" s="42" t="s">
        <v>178</v>
      </c>
      <c r="E1648" s="42" t="s">
        <v>808</v>
      </c>
      <c r="F1648" s="45">
        <v>1907000000</v>
      </c>
      <c r="G1648" s="42" t="s">
        <v>763</v>
      </c>
      <c r="H1648" s="42" t="s">
        <v>149</v>
      </c>
      <c r="I1648" s="42" t="s">
        <v>871</v>
      </c>
    </row>
    <row r="1649" spans="1:9">
      <c r="A1649" s="42" t="s">
        <v>759</v>
      </c>
      <c r="B1649" s="42" t="s">
        <v>309</v>
      </c>
      <c r="C1649" s="42" t="s">
        <v>801</v>
      </c>
      <c r="D1649" s="42" t="s">
        <v>178</v>
      </c>
      <c r="E1649" s="42" t="s">
        <v>808</v>
      </c>
      <c r="F1649" s="45">
        <v>410000000</v>
      </c>
      <c r="G1649" s="42" t="s">
        <v>763</v>
      </c>
      <c r="H1649" s="42" t="s">
        <v>149</v>
      </c>
      <c r="I1649" s="42" t="s">
        <v>871</v>
      </c>
    </row>
    <row r="1650" spans="1:9">
      <c r="A1650" s="42" t="s">
        <v>759</v>
      </c>
      <c r="B1650" s="42" t="s">
        <v>310</v>
      </c>
      <c r="C1650" s="42" t="s">
        <v>802</v>
      </c>
      <c r="D1650" s="42" t="s">
        <v>178</v>
      </c>
      <c r="E1650" s="42" t="s">
        <v>808</v>
      </c>
      <c r="F1650" s="45">
        <v>2879000000</v>
      </c>
      <c r="G1650" s="42" t="s">
        <v>763</v>
      </c>
      <c r="H1650" s="42" t="s">
        <v>149</v>
      </c>
      <c r="I1650" s="42" t="s">
        <v>871</v>
      </c>
    </row>
    <row r="1651" spans="1:9">
      <c r="A1651" s="42" t="s">
        <v>759</v>
      </c>
      <c r="B1651" s="42" t="s">
        <v>284</v>
      </c>
      <c r="C1651" s="42" t="s">
        <v>803</v>
      </c>
      <c r="D1651" s="42" t="s">
        <v>178</v>
      </c>
      <c r="E1651" s="42" t="s">
        <v>808</v>
      </c>
      <c r="F1651" s="45">
        <v>8676000000</v>
      </c>
      <c r="G1651" s="42" t="s">
        <v>763</v>
      </c>
      <c r="H1651" s="42" t="s">
        <v>149</v>
      </c>
      <c r="I1651" s="42" t="s">
        <v>871</v>
      </c>
    </row>
    <row r="1652" spans="1:9">
      <c r="A1652" s="42" t="s">
        <v>759</v>
      </c>
      <c r="B1652" s="42" t="s">
        <v>285</v>
      </c>
      <c r="C1652" s="42" t="s">
        <v>804</v>
      </c>
      <c r="D1652" s="42" t="s">
        <v>178</v>
      </c>
      <c r="E1652" s="42" t="s">
        <v>808</v>
      </c>
      <c r="F1652" s="45">
        <v>17521000000</v>
      </c>
      <c r="G1652" s="42" t="s">
        <v>763</v>
      </c>
      <c r="H1652" s="42" t="s">
        <v>149</v>
      </c>
      <c r="I1652" s="42" t="s">
        <v>871</v>
      </c>
    </row>
    <row r="1653" spans="1:9">
      <c r="A1653" s="42" t="s">
        <v>759</v>
      </c>
      <c r="B1653" s="42" t="s">
        <v>286</v>
      </c>
      <c r="C1653" s="42" t="s">
        <v>806</v>
      </c>
      <c r="D1653" s="42" t="s">
        <v>178</v>
      </c>
      <c r="E1653" s="42" t="s">
        <v>808</v>
      </c>
      <c r="F1653" s="45">
        <v>29391000000</v>
      </c>
      <c r="G1653" s="42" t="s">
        <v>763</v>
      </c>
      <c r="H1653" s="42" t="s">
        <v>149</v>
      </c>
      <c r="I1653" s="42" t="s">
        <v>871</v>
      </c>
    </row>
    <row r="1654" spans="1:9">
      <c r="A1654" s="42" t="s">
        <v>759</v>
      </c>
      <c r="B1654" s="42" t="s">
        <v>287</v>
      </c>
      <c r="C1654" s="42" t="s">
        <v>821</v>
      </c>
      <c r="D1654" s="42" t="s">
        <v>666</v>
      </c>
      <c r="E1654" s="42" t="s">
        <v>762</v>
      </c>
      <c r="F1654" s="45">
        <v>1068000000</v>
      </c>
      <c r="G1654" s="42" t="s">
        <v>763</v>
      </c>
      <c r="H1654" s="42" t="s">
        <v>153</v>
      </c>
      <c r="I1654" s="42" t="s">
        <v>893</v>
      </c>
    </row>
    <row r="1655" spans="1:9">
      <c r="A1655" s="42" t="s">
        <v>759</v>
      </c>
      <c r="B1655" s="42" t="s">
        <v>288</v>
      </c>
      <c r="C1655" s="42" t="s">
        <v>823</v>
      </c>
      <c r="D1655" s="42" t="s">
        <v>666</v>
      </c>
      <c r="E1655" s="42" t="s">
        <v>762</v>
      </c>
      <c r="F1655" s="45">
        <v>19085000000</v>
      </c>
      <c r="G1655" s="42" t="s">
        <v>763</v>
      </c>
      <c r="H1655" s="42" t="s">
        <v>153</v>
      </c>
      <c r="I1655" s="42" t="s">
        <v>893</v>
      </c>
    </row>
    <row r="1656" spans="1:9">
      <c r="A1656" s="42" t="s">
        <v>759</v>
      </c>
      <c r="B1656" s="42" t="s">
        <v>289</v>
      </c>
      <c r="C1656" s="42" t="s">
        <v>825</v>
      </c>
      <c r="D1656" s="42" t="s">
        <v>666</v>
      </c>
      <c r="E1656" s="42" t="s">
        <v>762</v>
      </c>
      <c r="F1656" s="45">
        <v>537000000</v>
      </c>
      <c r="G1656" s="42" t="s">
        <v>763</v>
      </c>
      <c r="H1656" s="42" t="s">
        <v>153</v>
      </c>
      <c r="I1656" s="42" t="s">
        <v>893</v>
      </c>
    </row>
    <row r="1657" spans="1:9">
      <c r="A1657" s="42" t="s">
        <v>759</v>
      </c>
      <c r="B1657" s="42" t="s">
        <v>290</v>
      </c>
      <c r="C1657" s="42" t="s">
        <v>826</v>
      </c>
      <c r="D1657" s="42" t="s">
        <v>666</v>
      </c>
      <c r="E1657" s="42" t="s">
        <v>762</v>
      </c>
      <c r="F1657" s="45">
        <v>1610000000</v>
      </c>
      <c r="G1657" s="42" t="s">
        <v>763</v>
      </c>
      <c r="H1657" s="42" t="s">
        <v>153</v>
      </c>
      <c r="I1657" s="42" t="s">
        <v>893</v>
      </c>
    </row>
    <row r="1658" spans="1:9">
      <c r="A1658" s="42" t="s">
        <v>759</v>
      </c>
      <c r="B1658" s="42" t="s">
        <v>291</v>
      </c>
      <c r="C1658" s="42" t="s">
        <v>827</v>
      </c>
      <c r="D1658" s="42" t="s">
        <v>666</v>
      </c>
      <c r="E1658" s="42" t="s">
        <v>762</v>
      </c>
      <c r="F1658" s="45">
        <v>9000000</v>
      </c>
      <c r="G1658" s="42" t="s">
        <v>763</v>
      </c>
      <c r="H1658" s="42" t="s">
        <v>153</v>
      </c>
      <c r="I1658" s="42" t="s">
        <v>893</v>
      </c>
    </row>
    <row r="1659" spans="1:9">
      <c r="A1659" s="42" t="s">
        <v>759</v>
      </c>
      <c r="B1659" s="42" t="s">
        <v>292</v>
      </c>
      <c r="C1659" s="42" t="s">
        <v>828</v>
      </c>
      <c r="D1659" s="42" t="s">
        <v>666</v>
      </c>
      <c r="E1659" s="42" t="s">
        <v>762</v>
      </c>
      <c r="F1659" s="45">
        <v>648000000</v>
      </c>
      <c r="G1659" s="42" t="s">
        <v>763</v>
      </c>
      <c r="H1659" s="42" t="s">
        <v>153</v>
      </c>
      <c r="I1659" s="42" t="s">
        <v>893</v>
      </c>
    </row>
    <row r="1660" spans="1:9">
      <c r="A1660" s="42" t="s">
        <v>759</v>
      </c>
      <c r="B1660" s="42" t="s">
        <v>293</v>
      </c>
      <c r="C1660" s="42" t="s">
        <v>829</v>
      </c>
      <c r="D1660" s="42" t="s">
        <v>666</v>
      </c>
      <c r="E1660" s="42" t="s">
        <v>762</v>
      </c>
      <c r="F1660" s="45">
        <v>5000000</v>
      </c>
      <c r="G1660" s="42" t="s">
        <v>763</v>
      </c>
      <c r="H1660" s="42" t="s">
        <v>153</v>
      </c>
      <c r="I1660" s="42" t="s">
        <v>893</v>
      </c>
    </row>
    <row r="1661" spans="1:9">
      <c r="A1661" s="42" t="s">
        <v>759</v>
      </c>
      <c r="B1661" s="42" t="s">
        <v>239</v>
      </c>
      <c r="C1661" s="42" t="s">
        <v>830</v>
      </c>
      <c r="D1661" s="42" t="s">
        <v>666</v>
      </c>
      <c r="E1661" s="42" t="s">
        <v>762</v>
      </c>
      <c r="F1661" s="45">
        <v>22962000000</v>
      </c>
      <c r="G1661" s="42" t="s">
        <v>763</v>
      </c>
      <c r="H1661" s="42" t="s">
        <v>153</v>
      </c>
      <c r="I1661" s="42" t="s">
        <v>893</v>
      </c>
    </row>
    <row r="1662" spans="1:9">
      <c r="A1662" s="42" t="s">
        <v>759</v>
      </c>
      <c r="B1662" s="42" t="s">
        <v>240</v>
      </c>
      <c r="C1662" s="42" t="s">
        <v>818</v>
      </c>
      <c r="D1662" s="42" t="s">
        <v>666</v>
      </c>
      <c r="E1662" s="42" t="s">
        <v>762</v>
      </c>
      <c r="F1662" s="45">
        <v>1019000000</v>
      </c>
      <c r="G1662" s="42" t="s">
        <v>763</v>
      </c>
      <c r="H1662" s="42" t="s">
        <v>153</v>
      </c>
      <c r="I1662" s="42" t="s">
        <v>893</v>
      </c>
    </row>
    <row r="1663" spans="1:9">
      <c r="A1663" s="42" t="s">
        <v>759</v>
      </c>
      <c r="B1663" s="42" t="s">
        <v>241</v>
      </c>
      <c r="C1663" s="42" t="s">
        <v>772</v>
      </c>
      <c r="D1663" s="42" t="s">
        <v>666</v>
      </c>
      <c r="E1663" s="42" t="s">
        <v>762</v>
      </c>
      <c r="F1663" s="45">
        <v>1447000000</v>
      </c>
      <c r="G1663" s="42" t="s">
        <v>763</v>
      </c>
      <c r="H1663" s="42" t="s">
        <v>153</v>
      </c>
      <c r="I1663" s="42" t="s">
        <v>893</v>
      </c>
    </row>
    <row r="1664" spans="1:9">
      <c r="A1664" s="42" t="s">
        <v>759</v>
      </c>
      <c r="B1664" s="42" t="s">
        <v>242</v>
      </c>
      <c r="C1664" s="42" t="s">
        <v>773</v>
      </c>
      <c r="D1664" s="42" t="s">
        <v>666</v>
      </c>
      <c r="E1664" s="42" t="s">
        <v>762</v>
      </c>
      <c r="F1664" s="45">
        <v>3000000</v>
      </c>
      <c r="G1664" s="42" t="s">
        <v>763</v>
      </c>
      <c r="H1664" s="42" t="s">
        <v>153</v>
      </c>
      <c r="I1664" s="42" t="s">
        <v>893</v>
      </c>
    </row>
    <row r="1665" spans="1:9">
      <c r="A1665" s="42" t="s">
        <v>759</v>
      </c>
      <c r="B1665" s="42" t="s">
        <v>292</v>
      </c>
      <c r="C1665" s="42" t="s">
        <v>774</v>
      </c>
      <c r="D1665" s="42" t="s">
        <v>666</v>
      </c>
      <c r="E1665" s="42" t="s">
        <v>762</v>
      </c>
      <c r="F1665" s="45">
        <v>1159000000</v>
      </c>
      <c r="G1665" s="42" t="s">
        <v>763</v>
      </c>
      <c r="H1665" s="42" t="s">
        <v>153</v>
      </c>
      <c r="I1665" s="42" t="s">
        <v>893</v>
      </c>
    </row>
    <row r="1666" spans="1:9">
      <c r="A1666" s="42" t="s">
        <v>759</v>
      </c>
      <c r="B1666" s="42" t="s">
        <v>293</v>
      </c>
      <c r="C1666" s="42" t="s">
        <v>775</v>
      </c>
      <c r="D1666" s="42" t="s">
        <v>666</v>
      </c>
      <c r="E1666" s="42" t="s">
        <v>762</v>
      </c>
      <c r="F1666" s="45">
        <v>1654000000</v>
      </c>
      <c r="G1666" s="42" t="s">
        <v>763</v>
      </c>
      <c r="H1666" s="42" t="s">
        <v>153</v>
      </c>
      <c r="I1666" s="42" t="s">
        <v>893</v>
      </c>
    </row>
    <row r="1667" spans="1:9">
      <c r="A1667" s="42" t="s">
        <v>759</v>
      </c>
      <c r="B1667" s="42" t="s">
        <v>862</v>
      </c>
      <c r="C1667" s="42" t="s">
        <v>776</v>
      </c>
      <c r="D1667" s="42" t="s">
        <v>666</v>
      </c>
      <c r="E1667" s="42" t="s">
        <v>762</v>
      </c>
      <c r="F1667" s="45">
        <v>262000000</v>
      </c>
      <c r="G1667" s="42" t="s">
        <v>763</v>
      </c>
      <c r="H1667" s="42" t="s">
        <v>153</v>
      </c>
      <c r="I1667" s="42" t="s">
        <v>893</v>
      </c>
    </row>
    <row r="1668" spans="1:9">
      <c r="A1668" s="42" t="s">
        <v>759</v>
      </c>
      <c r="B1668" s="42" t="s">
        <v>246</v>
      </c>
      <c r="C1668" s="42" t="s">
        <v>777</v>
      </c>
      <c r="D1668" s="42" t="s">
        <v>666</v>
      </c>
      <c r="E1668" s="42" t="s">
        <v>762</v>
      </c>
      <c r="F1668" s="45">
        <v>933000000</v>
      </c>
      <c r="G1668" s="42" t="s">
        <v>763</v>
      </c>
      <c r="H1668" s="42" t="s">
        <v>153</v>
      </c>
      <c r="I1668" s="42" t="s">
        <v>893</v>
      </c>
    </row>
    <row r="1669" spans="1:9">
      <c r="A1669" s="42" t="s">
        <v>759</v>
      </c>
      <c r="B1669" s="42" t="s">
        <v>247</v>
      </c>
      <c r="C1669" s="42" t="s">
        <v>778</v>
      </c>
      <c r="D1669" s="42" t="s">
        <v>666</v>
      </c>
      <c r="E1669" s="42" t="s">
        <v>762</v>
      </c>
      <c r="F1669" s="45">
        <v>6477000000</v>
      </c>
      <c r="G1669" s="42" t="s">
        <v>763</v>
      </c>
      <c r="H1669" s="42" t="s">
        <v>153</v>
      </c>
      <c r="I1669" s="42" t="s">
        <v>893</v>
      </c>
    </row>
    <row r="1670" spans="1:9">
      <c r="A1670" s="42" t="s">
        <v>759</v>
      </c>
      <c r="B1670" s="42" t="s">
        <v>248</v>
      </c>
      <c r="C1670" s="42" t="s">
        <v>779</v>
      </c>
      <c r="D1670" s="42" t="s">
        <v>666</v>
      </c>
      <c r="E1670" s="42" t="s">
        <v>762</v>
      </c>
      <c r="F1670" s="45">
        <v>29439000000</v>
      </c>
      <c r="G1670" s="42" t="s">
        <v>763</v>
      </c>
      <c r="H1670" s="42" t="s">
        <v>153</v>
      </c>
      <c r="I1670" s="42" t="s">
        <v>893</v>
      </c>
    </row>
    <row r="1671" spans="1:9">
      <c r="A1671" s="42" t="s">
        <v>759</v>
      </c>
      <c r="B1671" s="42" t="s">
        <v>249</v>
      </c>
      <c r="C1671" s="42" t="s">
        <v>872</v>
      </c>
      <c r="D1671" s="42" t="s">
        <v>666</v>
      </c>
      <c r="E1671" s="42" t="s">
        <v>762</v>
      </c>
      <c r="F1671" s="45">
        <v>3921000000</v>
      </c>
      <c r="G1671" s="42" t="s">
        <v>763</v>
      </c>
      <c r="H1671" s="42" t="s">
        <v>153</v>
      </c>
      <c r="I1671" s="42" t="s">
        <v>893</v>
      </c>
    </row>
    <row r="1672" spans="1:9">
      <c r="A1672" s="42" t="s">
        <v>759</v>
      </c>
      <c r="B1672" s="42" t="s">
        <v>250</v>
      </c>
      <c r="C1672" s="42" t="s">
        <v>873</v>
      </c>
      <c r="D1672" s="42" t="s">
        <v>666</v>
      </c>
      <c r="E1672" s="42" t="s">
        <v>762</v>
      </c>
      <c r="F1672" s="45">
        <v>12000000</v>
      </c>
      <c r="G1672" s="42" t="s">
        <v>763</v>
      </c>
      <c r="H1672" s="42" t="s">
        <v>153</v>
      </c>
      <c r="I1672" s="42" t="s">
        <v>893</v>
      </c>
    </row>
    <row r="1673" spans="1:9">
      <c r="A1673" s="42" t="s">
        <v>759</v>
      </c>
      <c r="B1673" s="42" t="s">
        <v>251</v>
      </c>
      <c r="C1673" s="42" t="s">
        <v>874</v>
      </c>
      <c r="D1673" s="42" t="s">
        <v>666</v>
      </c>
      <c r="E1673" s="42" t="s">
        <v>762</v>
      </c>
      <c r="F1673" s="45">
        <v>7000000</v>
      </c>
      <c r="G1673" s="42" t="s">
        <v>763</v>
      </c>
      <c r="H1673" s="42" t="s">
        <v>153</v>
      </c>
      <c r="I1673" s="42" t="s">
        <v>893</v>
      </c>
    </row>
    <row r="1674" spans="1:9">
      <c r="A1674" s="42" t="s">
        <v>759</v>
      </c>
      <c r="B1674" s="42" t="s">
        <v>252</v>
      </c>
      <c r="C1674" s="42" t="s">
        <v>875</v>
      </c>
      <c r="D1674" s="42" t="s">
        <v>666</v>
      </c>
      <c r="E1674" s="42" t="s">
        <v>762</v>
      </c>
      <c r="F1674" s="45">
        <v>-35000000</v>
      </c>
      <c r="G1674" s="42" t="s">
        <v>763</v>
      </c>
      <c r="H1674" s="42" t="s">
        <v>153</v>
      </c>
      <c r="I1674" s="42" t="s">
        <v>893</v>
      </c>
    </row>
    <row r="1675" spans="1:9">
      <c r="A1675" s="42" t="s">
        <v>759</v>
      </c>
      <c r="B1675" s="42" t="s">
        <v>253</v>
      </c>
      <c r="C1675" s="42" t="s">
        <v>876</v>
      </c>
      <c r="D1675" s="42" t="s">
        <v>666</v>
      </c>
      <c r="E1675" s="42" t="s">
        <v>762</v>
      </c>
      <c r="F1675" s="45">
        <v>-44000000</v>
      </c>
      <c r="G1675" s="42" t="s">
        <v>763</v>
      </c>
      <c r="H1675" s="42" t="s">
        <v>153</v>
      </c>
      <c r="I1675" s="42" t="s">
        <v>893</v>
      </c>
    </row>
    <row r="1676" spans="1:9">
      <c r="A1676" s="42" t="s">
        <v>759</v>
      </c>
      <c r="B1676" s="42" t="s">
        <v>254</v>
      </c>
      <c r="C1676" s="42" t="s">
        <v>877</v>
      </c>
      <c r="D1676" s="42" t="s">
        <v>666</v>
      </c>
      <c r="E1676" s="42" t="s">
        <v>762</v>
      </c>
      <c r="F1676" s="45">
        <v>640000000</v>
      </c>
      <c r="G1676" s="42" t="s">
        <v>763</v>
      </c>
      <c r="H1676" s="42" t="s">
        <v>153</v>
      </c>
      <c r="I1676" s="42" t="s">
        <v>893</v>
      </c>
    </row>
    <row r="1677" spans="1:9">
      <c r="A1677" s="42" t="s">
        <v>759</v>
      </c>
      <c r="B1677" s="42" t="s">
        <v>255</v>
      </c>
      <c r="C1677" s="42" t="s">
        <v>878</v>
      </c>
      <c r="D1677" s="42" t="s">
        <v>666</v>
      </c>
      <c r="E1677" s="42" t="s">
        <v>762</v>
      </c>
      <c r="F1677" s="45">
        <v>787000000</v>
      </c>
      <c r="G1677" s="42" t="s">
        <v>763</v>
      </c>
      <c r="H1677" s="42" t="s">
        <v>153</v>
      </c>
      <c r="I1677" s="42" t="s">
        <v>893</v>
      </c>
    </row>
    <row r="1678" spans="1:9">
      <c r="A1678" s="42" t="s">
        <v>759</v>
      </c>
      <c r="B1678" s="42" t="s">
        <v>256</v>
      </c>
      <c r="C1678" s="42" t="s">
        <v>880</v>
      </c>
      <c r="D1678" s="42" t="s">
        <v>666</v>
      </c>
      <c r="E1678" s="42" t="s">
        <v>762</v>
      </c>
      <c r="F1678" s="45">
        <v>6587000000</v>
      </c>
      <c r="G1678" s="42" t="s">
        <v>763</v>
      </c>
      <c r="H1678" s="42" t="s">
        <v>153</v>
      </c>
      <c r="I1678" s="42" t="s">
        <v>893</v>
      </c>
    </row>
    <row r="1679" spans="1:9">
      <c r="A1679" s="42" t="s">
        <v>759</v>
      </c>
      <c r="B1679" s="42" t="s">
        <v>257</v>
      </c>
      <c r="C1679" s="42" t="s">
        <v>881</v>
      </c>
      <c r="D1679" s="42" t="s">
        <v>666</v>
      </c>
      <c r="E1679" s="42" t="s">
        <v>762</v>
      </c>
      <c r="F1679" s="45">
        <v>33000000</v>
      </c>
      <c r="G1679" s="42" t="s">
        <v>763</v>
      </c>
      <c r="H1679" s="42" t="s">
        <v>153</v>
      </c>
      <c r="I1679" s="42" t="s">
        <v>893</v>
      </c>
    </row>
    <row r="1680" spans="1:9">
      <c r="A1680" s="42" t="s">
        <v>759</v>
      </c>
      <c r="B1680" s="42" t="s">
        <v>258</v>
      </c>
      <c r="C1680" s="42" t="s">
        <v>882</v>
      </c>
      <c r="D1680" s="42" t="s">
        <v>666</v>
      </c>
      <c r="E1680" s="42" t="s">
        <v>762</v>
      </c>
      <c r="F1680" s="45">
        <v>-338000000</v>
      </c>
      <c r="G1680" s="42" t="s">
        <v>763</v>
      </c>
      <c r="H1680" s="42" t="s">
        <v>153</v>
      </c>
      <c r="I1680" s="42" t="s">
        <v>893</v>
      </c>
    </row>
    <row r="1681" spans="1:9">
      <c r="A1681" s="42" t="s">
        <v>759</v>
      </c>
      <c r="B1681" s="42" t="s">
        <v>259</v>
      </c>
      <c r="C1681" s="42" t="s">
        <v>883</v>
      </c>
      <c r="D1681" s="42" t="s">
        <v>666</v>
      </c>
      <c r="E1681" s="42" t="s">
        <v>762</v>
      </c>
      <c r="F1681" s="45">
        <v>-756000000</v>
      </c>
      <c r="G1681" s="42" t="s">
        <v>763</v>
      </c>
      <c r="H1681" s="42" t="s">
        <v>153</v>
      </c>
      <c r="I1681" s="42" t="s">
        <v>893</v>
      </c>
    </row>
    <row r="1682" spans="1:9">
      <c r="A1682" s="42" t="s">
        <v>759</v>
      </c>
      <c r="B1682" s="42" t="s">
        <v>260</v>
      </c>
      <c r="C1682" s="42" t="s">
        <v>784</v>
      </c>
      <c r="D1682" s="42" t="s">
        <v>666</v>
      </c>
      <c r="E1682" s="42" t="s">
        <v>762</v>
      </c>
      <c r="F1682" s="45">
        <v>10814000000</v>
      </c>
      <c r="G1682" s="42" t="s">
        <v>763</v>
      </c>
      <c r="H1682" s="42" t="s">
        <v>153</v>
      </c>
      <c r="I1682" s="42" t="s">
        <v>893</v>
      </c>
    </row>
    <row r="1683" spans="1:9">
      <c r="A1683" s="42" t="s">
        <v>759</v>
      </c>
      <c r="B1683" s="42" t="s">
        <v>261</v>
      </c>
      <c r="C1683" s="42" t="s">
        <v>785</v>
      </c>
      <c r="D1683" s="42" t="s">
        <v>666</v>
      </c>
      <c r="E1683" s="42" t="s">
        <v>762</v>
      </c>
      <c r="F1683" s="45">
        <v>230000000</v>
      </c>
      <c r="G1683" s="42" t="s">
        <v>763</v>
      </c>
      <c r="H1683" s="42" t="s">
        <v>153</v>
      </c>
      <c r="I1683" s="42" t="s">
        <v>893</v>
      </c>
    </row>
    <row r="1684" spans="1:9">
      <c r="A1684" s="42" t="s">
        <v>759</v>
      </c>
      <c r="B1684" s="42" t="s">
        <v>262</v>
      </c>
      <c r="C1684" s="42" t="s">
        <v>787</v>
      </c>
      <c r="D1684" s="42" t="s">
        <v>666</v>
      </c>
      <c r="E1684" s="42" t="s">
        <v>762</v>
      </c>
      <c r="F1684" s="45">
        <v>11044000000</v>
      </c>
      <c r="G1684" s="42" t="s">
        <v>763</v>
      </c>
      <c r="H1684" s="42" t="s">
        <v>153</v>
      </c>
      <c r="I1684" s="42" t="s">
        <v>893</v>
      </c>
    </row>
    <row r="1685" spans="1:9">
      <c r="A1685" s="42" t="s">
        <v>759</v>
      </c>
      <c r="B1685" s="42" t="s">
        <v>301</v>
      </c>
      <c r="C1685" s="42" t="s">
        <v>832</v>
      </c>
      <c r="D1685" s="42" t="s">
        <v>666</v>
      </c>
      <c r="E1685" s="42" t="s">
        <v>762</v>
      </c>
      <c r="F1685" s="45">
        <v>610000000</v>
      </c>
      <c r="G1685" s="42" t="s">
        <v>763</v>
      </c>
      <c r="H1685" s="42" t="s">
        <v>153</v>
      </c>
      <c r="I1685" s="42" t="s">
        <v>893</v>
      </c>
    </row>
    <row r="1686" spans="1:9">
      <c r="A1686" s="42" t="s">
        <v>759</v>
      </c>
      <c r="B1686" s="42" t="s">
        <v>302</v>
      </c>
      <c r="C1686" s="42" t="s">
        <v>834</v>
      </c>
      <c r="D1686" s="42" t="s">
        <v>666</v>
      </c>
      <c r="E1686" s="42" t="s">
        <v>762</v>
      </c>
      <c r="F1686" s="45">
        <v>180000000</v>
      </c>
      <c r="G1686" s="42" t="s">
        <v>763</v>
      </c>
      <c r="H1686" s="42" t="s">
        <v>153</v>
      </c>
      <c r="I1686" s="42" t="s">
        <v>893</v>
      </c>
    </row>
    <row r="1687" spans="1:9">
      <c r="A1687" s="42" t="s">
        <v>759</v>
      </c>
      <c r="B1687" s="42" t="s">
        <v>303</v>
      </c>
      <c r="C1687" s="42" t="s">
        <v>833</v>
      </c>
      <c r="D1687" s="42" t="s">
        <v>666</v>
      </c>
      <c r="E1687" s="42" t="s">
        <v>762</v>
      </c>
      <c r="F1687" s="45">
        <v>373000000</v>
      </c>
      <c r="G1687" s="42" t="s">
        <v>763</v>
      </c>
      <c r="H1687" s="42" t="s">
        <v>153</v>
      </c>
      <c r="I1687" s="42" t="s">
        <v>893</v>
      </c>
    </row>
    <row r="1688" spans="1:9">
      <c r="A1688" s="42" t="s">
        <v>759</v>
      </c>
      <c r="B1688" s="42" t="s">
        <v>304</v>
      </c>
      <c r="C1688" s="42" t="s">
        <v>835</v>
      </c>
      <c r="D1688" s="42" t="s">
        <v>666</v>
      </c>
      <c r="E1688" s="42" t="s">
        <v>762</v>
      </c>
      <c r="F1688" s="45">
        <v>830000000</v>
      </c>
      <c r="G1688" s="42" t="s">
        <v>763</v>
      </c>
      <c r="H1688" s="42" t="s">
        <v>153</v>
      </c>
      <c r="I1688" s="42" t="s">
        <v>893</v>
      </c>
    </row>
    <row r="1689" spans="1:9">
      <c r="A1689" s="42" t="s">
        <v>759</v>
      </c>
      <c r="B1689" s="42" t="s">
        <v>305</v>
      </c>
      <c r="C1689" s="42" t="s">
        <v>837</v>
      </c>
      <c r="D1689" s="42" t="s">
        <v>666</v>
      </c>
      <c r="E1689" s="42" t="s">
        <v>762</v>
      </c>
      <c r="F1689" s="45">
        <v>18000000</v>
      </c>
      <c r="G1689" s="42" t="s">
        <v>763</v>
      </c>
      <c r="H1689" s="42" t="s">
        <v>153</v>
      </c>
      <c r="I1689" s="42" t="s">
        <v>893</v>
      </c>
    </row>
    <row r="1690" spans="1:9">
      <c r="A1690" s="42" t="s">
        <v>759</v>
      </c>
      <c r="B1690" s="42" t="s">
        <v>306</v>
      </c>
      <c r="C1690" s="42" t="s">
        <v>857</v>
      </c>
      <c r="D1690" s="42" t="s">
        <v>666</v>
      </c>
      <c r="E1690" s="42" t="s">
        <v>762</v>
      </c>
      <c r="F1690" s="45">
        <v>63000000</v>
      </c>
      <c r="G1690" s="42" t="s">
        <v>763</v>
      </c>
      <c r="H1690" s="42" t="s">
        <v>153</v>
      </c>
      <c r="I1690" s="42" t="s">
        <v>893</v>
      </c>
    </row>
    <row r="1691" spans="1:9">
      <c r="A1691" s="42" t="s">
        <v>759</v>
      </c>
      <c r="B1691" s="42" t="s">
        <v>307</v>
      </c>
      <c r="C1691" s="42" t="s">
        <v>838</v>
      </c>
      <c r="D1691" s="42" t="s">
        <v>666</v>
      </c>
      <c r="E1691" s="42" t="s">
        <v>762</v>
      </c>
      <c r="F1691" s="45">
        <v>273000000</v>
      </c>
      <c r="G1691" s="42" t="s">
        <v>763</v>
      </c>
      <c r="H1691" s="42" t="s">
        <v>153</v>
      </c>
      <c r="I1691" s="42" t="s">
        <v>893</v>
      </c>
    </row>
    <row r="1692" spans="1:9">
      <c r="A1692" s="42" t="s">
        <v>759</v>
      </c>
      <c r="B1692" s="42" t="s">
        <v>308</v>
      </c>
      <c r="C1692" s="42" t="s">
        <v>839</v>
      </c>
      <c r="D1692" s="42" t="s">
        <v>666</v>
      </c>
      <c r="E1692" s="42" t="s">
        <v>762</v>
      </c>
      <c r="F1692" s="45">
        <v>8226000000</v>
      </c>
      <c r="G1692" s="42" t="s">
        <v>763</v>
      </c>
      <c r="H1692" s="42" t="s">
        <v>153</v>
      </c>
      <c r="I1692" s="42" t="s">
        <v>893</v>
      </c>
    </row>
    <row r="1693" spans="1:9">
      <c r="A1693" s="42" t="s">
        <v>759</v>
      </c>
      <c r="B1693" s="42" t="s">
        <v>309</v>
      </c>
      <c r="C1693" s="42" t="s">
        <v>840</v>
      </c>
      <c r="D1693" s="42" t="s">
        <v>666</v>
      </c>
      <c r="E1693" s="42" t="s">
        <v>762</v>
      </c>
      <c r="F1693" s="45">
        <v>373000000</v>
      </c>
      <c r="G1693" s="42" t="s">
        <v>763</v>
      </c>
      <c r="H1693" s="42" t="s">
        <v>153</v>
      </c>
      <c r="I1693" s="42" t="s">
        <v>893</v>
      </c>
    </row>
    <row r="1694" spans="1:9">
      <c r="A1694" s="42" t="s">
        <v>759</v>
      </c>
      <c r="B1694" s="42" t="s">
        <v>310</v>
      </c>
      <c r="C1694" s="42" t="s">
        <v>841</v>
      </c>
      <c r="D1694" s="42" t="s">
        <v>666</v>
      </c>
      <c r="E1694" s="42" t="s">
        <v>762</v>
      </c>
      <c r="F1694" s="45">
        <v>6000000</v>
      </c>
      <c r="G1694" s="42" t="s">
        <v>763</v>
      </c>
      <c r="H1694" s="42" t="s">
        <v>153</v>
      </c>
      <c r="I1694" s="42" t="s">
        <v>893</v>
      </c>
    </row>
    <row r="1695" spans="1:9">
      <c r="A1695" s="42" t="s">
        <v>759</v>
      </c>
      <c r="B1695" s="42" t="s">
        <v>273</v>
      </c>
      <c r="C1695" s="42" t="s">
        <v>842</v>
      </c>
      <c r="D1695" s="42" t="s">
        <v>666</v>
      </c>
      <c r="E1695" s="42" t="s">
        <v>762</v>
      </c>
      <c r="F1695" s="45">
        <v>10952000000</v>
      </c>
      <c r="G1695" s="42" t="s">
        <v>763</v>
      </c>
      <c r="H1695" s="42" t="s">
        <v>153</v>
      </c>
      <c r="I1695" s="42" t="s">
        <v>893</v>
      </c>
    </row>
    <row r="1696" spans="1:9">
      <c r="A1696" s="42" t="s">
        <v>759</v>
      </c>
      <c r="B1696" s="42" t="s">
        <v>274</v>
      </c>
      <c r="C1696" s="42" t="s">
        <v>889</v>
      </c>
      <c r="D1696" s="42" t="s">
        <v>666</v>
      </c>
      <c r="E1696" s="42" t="s">
        <v>762</v>
      </c>
      <c r="F1696" s="45">
        <v>1181000000</v>
      </c>
      <c r="G1696" s="42" t="s">
        <v>763</v>
      </c>
      <c r="H1696" s="42" t="s">
        <v>153</v>
      </c>
      <c r="I1696" s="42" t="s">
        <v>893</v>
      </c>
    </row>
    <row r="1697" spans="1:9">
      <c r="A1697" s="42" t="s">
        <v>759</v>
      </c>
      <c r="B1697" s="42" t="s">
        <v>301</v>
      </c>
      <c r="C1697" s="42" t="s">
        <v>795</v>
      </c>
      <c r="D1697" s="42" t="s">
        <v>666</v>
      </c>
      <c r="E1697" s="42" t="s">
        <v>762</v>
      </c>
      <c r="F1697" s="45">
        <v>229000000</v>
      </c>
      <c r="G1697" s="42" t="s">
        <v>763</v>
      </c>
      <c r="H1697" s="42" t="s">
        <v>153</v>
      </c>
      <c r="I1697" s="42" t="s">
        <v>893</v>
      </c>
    </row>
    <row r="1698" spans="1:9">
      <c r="A1698" s="42" t="s">
        <v>759</v>
      </c>
      <c r="B1698" s="42" t="s">
        <v>302</v>
      </c>
      <c r="C1698" s="42" t="s">
        <v>797</v>
      </c>
      <c r="D1698" s="42" t="s">
        <v>666</v>
      </c>
      <c r="E1698" s="42" t="s">
        <v>762</v>
      </c>
      <c r="F1698" s="45">
        <v>117000000</v>
      </c>
      <c r="G1698" s="42" t="s">
        <v>763</v>
      </c>
      <c r="H1698" s="42" t="s">
        <v>153</v>
      </c>
      <c r="I1698" s="42" t="s">
        <v>893</v>
      </c>
    </row>
    <row r="1699" spans="1:9">
      <c r="A1699" s="42" t="s">
        <v>759</v>
      </c>
      <c r="B1699" s="42" t="s">
        <v>304</v>
      </c>
      <c r="C1699" s="42" t="s">
        <v>796</v>
      </c>
      <c r="D1699" s="42" t="s">
        <v>666</v>
      </c>
      <c r="E1699" s="42" t="s">
        <v>762</v>
      </c>
      <c r="F1699" s="45">
        <v>73000000</v>
      </c>
      <c r="G1699" s="42" t="s">
        <v>763</v>
      </c>
      <c r="H1699" s="42" t="s">
        <v>153</v>
      </c>
      <c r="I1699" s="42" t="s">
        <v>893</v>
      </c>
    </row>
    <row r="1700" spans="1:9">
      <c r="A1700" s="42" t="s">
        <v>759</v>
      </c>
      <c r="B1700" s="42" t="s">
        <v>305</v>
      </c>
      <c r="C1700" s="42" t="s">
        <v>798</v>
      </c>
      <c r="D1700" s="42" t="s">
        <v>666</v>
      </c>
      <c r="E1700" s="42" t="s">
        <v>762</v>
      </c>
      <c r="F1700" s="45">
        <v>217000000</v>
      </c>
      <c r="G1700" s="42" t="s">
        <v>763</v>
      </c>
      <c r="H1700" s="42" t="s">
        <v>153</v>
      </c>
      <c r="I1700" s="42" t="s">
        <v>893</v>
      </c>
    </row>
    <row r="1701" spans="1:9">
      <c r="A1701" s="42" t="s">
        <v>759</v>
      </c>
      <c r="B1701" s="42" t="s">
        <v>306</v>
      </c>
      <c r="C1701" s="42" t="s">
        <v>799</v>
      </c>
      <c r="D1701" s="42" t="s">
        <v>666</v>
      </c>
      <c r="E1701" s="42" t="s">
        <v>762</v>
      </c>
      <c r="F1701" s="45">
        <v>336000000</v>
      </c>
      <c r="G1701" s="42" t="s">
        <v>763</v>
      </c>
      <c r="H1701" s="42" t="s">
        <v>153</v>
      </c>
      <c r="I1701" s="42" t="s">
        <v>893</v>
      </c>
    </row>
    <row r="1702" spans="1:9">
      <c r="A1702" s="42" t="s">
        <v>759</v>
      </c>
      <c r="B1702" s="42" t="s">
        <v>307</v>
      </c>
      <c r="C1702" s="42" t="s">
        <v>843</v>
      </c>
      <c r="D1702" s="42" t="s">
        <v>666</v>
      </c>
      <c r="E1702" s="42" t="s">
        <v>762</v>
      </c>
      <c r="F1702" s="45">
        <v>298000000</v>
      </c>
      <c r="G1702" s="42" t="s">
        <v>763</v>
      </c>
      <c r="H1702" s="42" t="s">
        <v>153</v>
      </c>
      <c r="I1702" s="42" t="s">
        <v>893</v>
      </c>
    </row>
    <row r="1703" spans="1:9">
      <c r="A1703" s="42" t="s">
        <v>759</v>
      </c>
      <c r="B1703" s="42" t="s">
        <v>308</v>
      </c>
      <c r="C1703" s="42" t="s">
        <v>800</v>
      </c>
      <c r="D1703" s="42" t="s">
        <v>666</v>
      </c>
      <c r="E1703" s="42" t="s">
        <v>762</v>
      </c>
      <c r="F1703" s="45">
        <v>2355000000</v>
      </c>
      <c r="G1703" s="42" t="s">
        <v>763</v>
      </c>
      <c r="H1703" s="42" t="s">
        <v>153</v>
      </c>
      <c r="I1703" s="42" t="s">
        <v>893</v>
      </c>
    </row>
    <row r="1704" spans="1:9">
      <c r="A1704" s="42" t="s">
        <v>759</v>
      </c>
      <c r="B1704" s="42" t="s">
        <v>309</v>
      </c>
      <c r="C1704" s="42" t="s">
        <v>801</v>
      </c>
      <c r="D1704" s="42" t="s">
        <v>666</v>
      </c>
      <c r="E1704" s="42" t="s">
        <v>762</v>
      </c>
      <c r="F1704" s="45">
        <v>399000000</v>
      </c>
      <c r="G1704" s="42" t="s">
        <v>763</v>
      </c>
      <c r="H1704" s="42" t="s">
        <v>153</v>
      </c>
      <c r="I1704" s="42" t="s">
        <v>893</v>
      </c>
    </row>
    <row r="1705" spans="1:9">
      <c r="A1705" s="42" t="s">
        <v>759</v>
      </c>
      <c r="B1705" s="42" t="s">
        <v>310</v>
      </c>
      <c r="C1705" s="42" t="s">
        <v>802</v>
      </c>
      <c r="D1705" s="42" t="s">
        <v>666</v>
      </c>
      <c r="E1705" s="42" t="s">
        <v>762</v>
      </c>
      <c r="F1705" s="45">
        <v>2238000000</v>
      </c>
      <c r="G1705" s="42" t="s">
        <v>763</v>
      </c>
      <c r="H1705" s="42" t="s">
        <v>153</v>
      </c>
      <c r="I1705" s="42" t="s">
        <v>893</v>
      </c>
    </row>
    <row r="1706" spans="1:9">
      <c r="A1706" s="42" t="s">
        <v>759</v>
      </c>
      <c r="B1706" s="42" t="s">
        <v>284</v>
      </c>
      <c r="C1706" s="42" t="s">
        <v>803</v>
      </c>
      <c r="D1706" s="42" t="s">
        <v>666</v>
      </c>
      <c r="E1706" s="42" t="s">
        <v>762</v>
      </c>
      <c r="F1706" s="45">
        <v>7443000000</v>
      </c>
      <c r="G1706" s="42" t="s">
        <v>763</v>
      </c>
      <c r="H1706" s="42" t="s">
        <v>153</v>
      </c>
      <c r="I1706" s="42" t="s">
        <v>893</v>
      </c>
    </row>
    <row r="1707" spans="1:9">
      <c r="A1707" s="42" t="s">
        <v>759</v>
      </c>
      <c r="B1707" s="42" t="s">
        <v>285</v>
      </c>
      <c r="C1707" s="42" t="s">
        <v>804</v>
      </c>
      <c r="D1707" s="42" t="s">
        <v>666</v>
      </c>
      <c r="E1707" s="42" t="s">
        <v>762</v>
      </c>
      <c r="F1707" s="45">
        <v>18395000000</v>
      </c>
      <c r="G1707" s="42" t="s">
        <v>763</v>
      </c>
      <c r="H1707" s="42" t="s">
        <v>153</v>
      </c>
      <c r="I1707" s="42" t="s">
        <v>893</v>
      </c>
    </row>
    <row r="1708" spans="1:9">
      <c r="A1708" s="42" t="s">
        <v>759</v>
      </c>
      <c r="B1708" s="42" t="s">
        <v>286</v>
      </c>
      <c r="C1708" s="42" t="s">
        <v>806</v>
      </c>
      <c r="D1708" s="42" t="s">
        <v>666</v>
      </c>
      <c r="E1708" s="42" t="s">
        <v>762</v>
      </c>
      <c r="F1708" s="45">
        <v>29439000000</v>
      </c>
      <c r="G1708" s="42" t="s">
        <v>763</v>
      </c>
      <c r="H1708" s="42" t="s">
        <v>153</v>
      </c>
      <c r="I1708" s="42" t="s">
        <v>893</v>
      </c>
    </row>
    <row r="1709" spans="1:9">
      <c r="A1709" s="42" t="s">
        <v>759</v>
      </c>
      <c r="B1709" s="42" t="s">
        <v>287</v>
      </c>
      <c r="C1709" s="42" t="s">
        <v>821</v>
      </c>
      <c r="D1709" s="42" t="s">
        <v>179</v>
      </c>
      <c r="E1709" s="42" t="s">
        <v>808</v>
      </c>
      <c r="F1709" s="45">
        <v>594000000</v>
      </c>
      <c r="G1709" s="42" t="s">
        <v>763</v>
      </c>
      <c r="H1709" s="42" t="s">
        <v>141</v>
      </c>
      <c r="I1709" s="42" t="s">
        <v>894</v>
      </c>
    </row>
    <row r="1710" spans="1:9">
      <c r="A1710" s="42" t="s">
        <v>759</v>
      </c>
      <c r="B1710" s="42" t="s">
        <v>288</v>
      </c>
      <c r="C1710" s="42" t="s">
        <v>823</v>
      </c>
      <c r="D1710" s="42" t="s">
        <v>179</v>
      </c>
      <c r="E1710" s="42" t="s">
        <v>808</v>
      </c>
      <c r="F1710" s="45">
        <v>18957000000</v>
      </c>
      <c r="G1710" s="42" t="s">
        <v>763</v>
      </c>
      <c r="H1710" s="42" t="s">
        <v>141</v>
      </c>
      <c r="I1710" s="42" t="s">
        <v>894</v>
      </c>
    </row>
    <row r="1711" spans="1:9">
      <c r="A1711" s="42" t="s">
        <v>759</v>
      </c>
      <c r="B1711" s="42" t="s">
        <v>289</v>
      </c>
      <c r="C1711" s="42" t="s">
        <v>825</v>
      </c>
      <c r="D1711" s="42" t="s">
        <v>179</v>
      </c>
      <c r="E1711" s="42" t="s">
        <v>808</v>
      </c>
      <c r="F1711" s="45">
        <v>656000000</v>
      </c>
      <c r="G1711" s="42" t="s">
        <v>763</v>
      </c>
      <c r="H1711" s="42" t="s">
        <v>141</v>
      </c>
      <c r="I1711" s="42" t="s">
        <v>894</v>
      </c>
    </row>
    <row r="1712" spans="1:9">
      <c r="A1712" s="42" t="s">
        <v>759</v>
      </c>
      <c r="B1712" s="42" t="s">
        <v>290</v>
      </c>
      <c r="C1712" s="42" t="s">
        <v>826</v>
      </c>
      <c r="D1712" s="42" t="s">
        <v>179</v>
      </c>
      <c r="E1712" s="42" t="s">
        <v>808</v>
      </c>
      <c r="F1712" s="45">
        <v>2104000000</v>
      </c>
      <c r="G1712" s="42" t="s">
        <v>763</v>
      </c>
      <c r="H1712" s="42" t="s">
        <v>141</v>
      </c>
      <c r="I1712" s="42" t="s">
        <v>894</v>
      </c>
    </row>
    <row r="1713" spans="1:9">
      <c r="A1713" s="42" t="s">
        <v>759</v>
      </c>
      <c r="B1713" s="42" t="s">
        <v>291</v>
      </c>
      <c r="C1713" s="42" t="s">
        <v>827</v>
      </c>
      <c r="D1713" s="42" t="s">
        <v>179</v>
      </c>
      <c r="E1713" s="42" t="s">
        <v>808</v>
      </c>
      <c r="F1713" s="45">
        <v>309000000</v>
      </c>
      <c r="G1713" s="42" t="s">
        <v>763</v>
      </c>
      <c r="H1713" s="42" t="s">
        <v>141</v>
      </c>
      <c r="I1713" s="42" t="s">
        <v>894</v>
      </c>
    </row>
    <row r="1714" spans="1:9">
      <c r="A1714" s="42" t="s">
        <v>759</v>
      </c>
      <c r="B1714" s="42" t="s">
        <v>292</v>
      </c>
      <c r="C1714" s="42" t="s">
        <v>828</v>
      </c>
      <c r="D1714" s="42" t="s">
        <v>179</v>
      </c>
      <c r="E1714" s="42" t="s">
        <v>808</v>
      </c>
      <c r="F1714" s="45">
        <v>438000000</v>
      </c>
      <c r="G1714" s="42" t="s">
        <v>763</v>
      </c>
      <c r="H1714" s="42" t="s">
        <v>141</v>
      </c>
      <c r="I1714" s="42" t="s">
        <v>894</v>
      </c>
    </row>
    <row r="1715" spans="1:9">
      <c r="A1715" s="42" t="s">
        <v>759</v>
      </c>
      <c r="B1715" s="42" t="s">
        <v>293</v>
      </c>
      <c r="C1715" s="42" t="s">
        <v>829</v>
      </c>
      <c r="D1715" s="42" t="s">
        <v>179</v>
      </c>
      <c r="E1715" s="42" t="s">
        <v>808</v>
      </c>
      <c r="F1715" s="45">
        <v>2000000</v>
      </c>
      <c r="G1715" s="42" t="s">
        <v>763</v>
      </c>
      <c r="H1715" s="42" t="s">
        <v>141</v>
      </c>
      <c r="I1715" s="42" t="s">
        <v>894</v>
      </c>
    </row>
    <row r="1716" spans="1:9">
      <c r="A1716" s="42" t="s">
        <v>759</v>
      </c>
      <c r="B1716" s="42" t="s">
        <v>239</v>
      </c>
      <c r="C1716" s="42" t="s">
        <v>830</v>
      </c>
      <c r="D1716" s="42" t="s">
        <v>179</v>
      </c>
      <c r="E1716" s="42" t="s">
        <v>808</v>
      </c>
      <c r="F1716" s="45">
        <v>23060000000</v>
      </c>
      <c r="G1716" s="42" t="s">
        <v>763</v>
      </c>
      <c r="H1716" s="42" t="s">
        <v>141</v>
      </c>
      <c r="I1716" s="42" t="s">
        <v>894</v>
      </c>
    </row>
    <row r="1717" spans="1:9">
      <c r="A1717" s="42" t="s">
        <v>759</v>
      </c>
      <c r="B1717" s="42" t="s">
        <v>240</v>
      </c>
      <c r="C1717" s="42" t="s">
        <v>818</v>
      </c>
      <c r="D1717" s="42" t="s">
        <v>179</v>
      </c>
      <c r="E1717" s="42" t="s">
        <v>808</v>
      </c>
      <c r="F1717" s="45">
        <v>1534000000</v>
      </c>
      <c r="G1717" s="42" t="s">
        <v>763</v>
      </c>
      <c r="H1717" s="42" t="s">
        <v>141</v>
      </c>
      <c r="I1717" s="42" t="s">
        <v>894</v>
      </c>
    </row>
    <row r="1718" spans="1:9">
      <c r="A1718" s="42" t="s">
        <v>759</v>
      </c>
      <c r="B1718" s="42" t="s">
        <v>241</v>
      </c>
      <c r="C1718" s="42" t="s">
        <v>772</v>
      </c>
      <c r="D1718" s="42" t="s">
        <v>179</v>
      </c>
      <c r="E1718" s="42" t="s">
        <v>808</v>
      </c>
      <c r="F1718" s="45">
        <v>1617000000</v>
      </c>
      <c r="G1718" s="42" t="s">
        <v>763</v>
      </c>
      <c r="H1718" s="42" t="s">
        <v>141</v>
      </c>
      <c r="I1718" s="42" t="s">
        <v>894</v>
      </c>
    </row>
    <row r="1719" spans="1:9">
      <c r="A1719" s="42" t="s">
        <v>759</v>
      </c>
      <c r="B1719" s="42" t="s">
        <v>242</v>
      </c>
      <c r="C1719" s="42" t="s">
        <v>773</v>
      </c>
      <c r="D1719" s="42" t="s">
        <v>179</v>
      </c>
      <c r="E1719" s="42" t="s">
        <v>808</v>
      </c>
      <c r="F1719" s="45">
        <v>25000000</v>
      </c>
      <c r="G1719" s="42" t="s">
        <v>763</v>
      </c>
      <c r="H1719" s="42" t="s">
        <v>141</v>
      </c>
      <c r="I1719" s="42" t="s">
        <v>894</v>
      </c>
    </row>
    <row r="1720" spans="1:9">
      <c r="A1720" s="42" t="s">
        <v>759</v>
      </c>
      <c r="B1720" s="42" t="s">
        <v>292</v>
      </c>
      <c r="C1720" s="42" t="s">
        <v>774</v>
      </c>
      <c r="D1720" s="42" t="s">
        <v>179</v>
      </c>
      <c r="E1720" s="42" t="s">
        <v>808</v>
      </c>
      <c r="F1720" s="45">
        <v>634000000</v>
      </c>
      <c r="G1720" s="42" t="s">
        <v>763</v>
      </c>
      <c r="H1720" s="42" t="s">
        <v>141</v>
      </c>
      <c r="I1720" s="42" t="s">
        <v>894</v>
      </c>
    </row>
    <row r="1721" spans="1:9">
      <c r="A1721" s="42" t="s">
        <v>759</v>
      </c>
      <c r="B1721" s="42" t="s">
        <v>293</v>
      </c>
      <c r="C1721" s="42" t="s">
        <v>775</v>
      </c>
      <c r="D1721" s="42" t="s">
        <v>179</v>
      </c>
      <c r="E1721" s="42" t="s">
        <v>808</v>
      </c>
      <c r="F1721" s="45">
        <v>1614000000</v>
      </c>
      <c r="G1721" s="42" t="s">
        <v>763</v>
      </c>
      <c r="H1721" s="42" t="s">
        <v>141</v>
      </c>
      <c r="I1721" s="42" t="s">
        <v>894</v>
      </c>
    </row>
    <row r="1722" spans="1:9">
      <c r="A1722" s="42" t="s">
        <v>759</v>
      </c>
      <c r="B1722" s="42" t="s">
        <v>862</v>
      </c>
      <c r="C1722" s="42" t="s">
        <v>776</v>
      </c>
      <c r="D1722" s="42" t="s">
        <v>179</v>
      </c>
      <c r="E1722" s="42" t="s">
        <v>808</v>
      </c>
      <c r="F1722" s="45">
        <v>292000000</v>
      </c>
      <c r="G1722" s="42" t="s">
        <v>763</v>
      </c>
      <c r="H1722" s="42" t="s">
        <v>141</v>
      </c>
      <c r="I1722" s="42" t="s">
        <v>894</v>
      </c>
    </row>
    <row r="1723" spans="1:9">
      <c r="A1723" s="42" t="s">
        <v>759</v>
      </c>
      <c r="B1723" s="42" t="s">
        <v>246</v>
      </c>
      <c r="C1723" s="42" t="s">
        <v>777</v>
      </c>
      <c r="D1723" s="42" t="s">
        <v>179</v>
      </c>
      <c r="E1723" s="42" t="s">
        <v>808</v>
      </c>
      <c r="F1723" s="45">
        <v>938000000</v>
      </c>
      <c r="G1723" s="42" t="s">
        <v>763</v>
      </c>
      <c r="H1723" s="42" t="s">
        <v>141</v>
      </c>
      <c r="I1723" s="42" t="s">
        <v>894</v>
      </c>
    </row>
    <row r="1724" spans="1:9">
      <c r="A1724" s="42" t="s">
        <v>759</v>
      </c>
      <c r="B1724" s="42" t="s">
        <v>247</v>
      </c>
      <c r="C1724" s="42" t="s">
        <v>778</v>
      </c>
      <c r="D1724" s="42" t="s">
        <v>179</v>
      </c>
      <c r="E1724" s="42" t="s">
        <v>808</v>
      </c>
      <c r="F1724" s="45">
        <v>6654000000</v>
      </c>
      <c r="G1724" s="42" t="s">
        <v>763</v>
      </c>
      <c r="H1724" s="42" t="s">
        <v>141</v>
      </c>
      <c r="I1724" s="42" t="s">
        <v>894</v>
      </c>
    </row>
    <row r="1725" spans="1:9">
      <c r="A1725" s="42" t="s">
        <v>759</v>
      </c>
      <c r="B1725" s="42" t="s">
        <v>248</v>
      </c>
      <c r="C1725" s="42" t="s">
        <v>779</v>
      </c>
      <c r="D1725" s="42" t="s">
        <v>179</v>
      </c>
      <c r="E1725" s="42" t="s">
        <v>808</v>
      </c>
      <c r="F1725" s="45">
        <v>29714000000</v>
      </c>
      <c r="G1725" s="42" t="s">
        <v>763</v>
      </c>
      <c r="H1725" s="42" t="s">
        <v>141</v>
      </c>
      <c r="I1725" s="42" t="s">
        <v>894</v>
      </c>
    </row>
    <row r="1726" spans="1:9">
      <c r="A1726" s="42" t="s">
        <v>759</v>
      </c>
      <c r="B1726" s="42" t="s">
        <v>780</v>
      </c>
      <c r="C1726" s="42" t="s">
        <v>781</v>
      </c>
      <c r="D1726" s="42" t="s">
        <v>179</v>
      </c>
      <c r="E1726" s="42" t="s">
        <v>808</v>
      </c>
      <c r="F1726" s="45">
        <v>4508000000</v>
      </c>
      <c r="G1726" s="42" t="s">
        <v>763</v>
      </c>
      <c r="H1726" s="42" t="s">
        <v>141</v>
      </c>
      <c r="I1726" s="42" t="s">
        <v>894</v>
      </c>
    </row>
    <row r="1727" spans="1:9">
      <c r="A1727" s="42" t="s">
        <v>759</v>
      </c>
      <c r="B1727" s="42" t="s">
        <v>298</v>
      </c>
      <c r="C1727" s="42" t="s">
        <v>855</v>
      </c>
      <c r="D1727" s="42" t="s">
        <v>179</v>
      </c>
      <c r="E1727" s="42" t="s">
        <v>808</v>
      </c>
      <c r="F1727" s="45">
        <v>7167000000</v>
      </c>
      <c r="G1727" s="42" t="s">
        <v>763</v>
      </c>
      <c r="H1727" s="42" t="s">
        <v>141</v>
      </c>
      <c r="I1727" s="42" t="s">
        <v>894</v>
      </c>
    </row>
    <row r="1728" spans="1:9">
      <c r="A1728" s="42" t="s">
        <v>759</v>
      </c>
      <c r="B1728" s="42" t="s">
        <v>783</v>
      </c>
      <c r="C1728" s="42" t="s">
        <v>784</v>
      </c>
      <c r="D1728" s="42" t="s">
        <v>179</v>
      </c>
      <c r="E1728" s="42" t="s">
        <v>808</v>
      </c>
      <c r="F1728" s="45">
        <v>11675000000</v>
      </c>
      <c r="G1728" s="42" t="s">
        <v>763</v>
      </c>
      <c r="H1728" s="42" t="s">
        <v>141</v>
      </c>
      <c r="I1728" s="42" t="s">
        <v>894</v>
      </c>
    </row>
    <row r="1729" spans="1:9">
      <c r="A1729" s="42" t="s">
        <v>759</v>
      </c>
      <c r="B1729" s="42" t="s">
        <v>261</v>
      </c>
      <c r="C1729" s="42" t="s">
        <v>785</v>
      </c>
      <c r="D1729" s="42" t="s">
        <v>179</v>
      </c>
      <c r="E1729" s="42" t="s">
        <v>808</v>
      </c>
      <c r="F1729" s="45">
        <v>233000000</v>
      </c>
      <c r="G1729" s="42" t="s">
        <v>763</v>
      </c>
      <c r="H1729" s="42" t="s">
        <v>141</v>
      </c>
      <c r="I1729" s="42" t="s">
        <v>894</v>
      </c>
    </row>
    <row r="1730" spans="1:9">
      <c r="A1730" s="42" t="s">
        <v>759</v>
      </c>
      <c r="B1730" s="42" t="s">
        <v>786</v>
      </c>
      <c r="C1730" s="42" t="s">
        <v>787</v>
      </c>
      <c r="D1730" s="42" t="s">
        <v>179</v>
      </c>
      <c r="E1730" s="42" t="s">
        <v>808</v>
      </c>
      <c r="F1730" s="45">
        <v>11908000000</v>
      </c>
      <c r="G1730" s="42" t="s">
        <v>763</v>
      </c>
      <c r="H1730" s="42" t="s">
        <v>141</v>
      </c>
      <c r="I1730" s="42" t="s">
        <v>894</v>
      </c>
    </row>
    <row r="1731" spans="1:9">
      <c r="A1731" s="42" t="s">
        <v>759</v>
      </c>
      <c r="B1731" s="42" t="s">
        <v>301</v>
      </c>
      <c r="C1731" s="42" t="s">
        <v>832</v>
      </c>
      <c r="D1731" s="42" t="s">
        <v>179</v>
      </c>
      <c r="E1731" s="42" t="s">
        <v>808</v>
      </c>
      <c r="F1731" s="45">
        <v>1079000000</v>
      </c>
      <c r="G1731" s="42" t="s">
        <v>763</v>
      </c>
      <c r="H1731" s="42" t="s">
        <v>141</v>
      </c>
      <c r="I1731" s="42" t="s">
        <v>894</v>
      </c>
    </row>
    <row r="1732" spans="1:9">
      <c r="A1732" s="42" t="s">
        <v>759</v>
      </c>
      <c r="B1732" s="42" t="s">
        <v>302</v>
      </c>
      <c r="C1732" s="42" t="s">
        <v>834</v>
      </c>
      <c r="D1732" s="42" t="s">
        <v>179</v>
      </c>
      <c r="E1732" s="42" t="s">
        <v>808</v>
      </c>
      <c r="F1732" s="45">
        <v>149000000</v>
      </c>
      <c r="G1732" s="42" t="s">
        <v>763</v>
      </c>
      <c r="H1732" s="42" t="s">
        <v>141</v>
      </c>
      <c r="I1732" s="42" t="s">
        <v>894</v>
      </c>
    </row>
    <row r="1733" spans="1:9">
      <c r="A1733" s="42" t="s">
        <v>759</v>
      </c>
      <c r="B1733" s="42" t="s">
        <v>303</v>
      </c>
      <c r="C1733" s="42" t="s">
        <v>833</v>
      </c>
      <c r="D1733" s="42" t="s">
        <v>179</v>
      </c>
      <c r="E1733" s="42" t="s">
        <v>808</v>
      </c>
      <c r="F1733" s="45">
        <v>95000000</v>
      </c>
      <c r="G1733" s="42" t="s">
        <v>763</v>
      </c>
      <c r="H1733" s="42" t="s">
        <v>141</v>
      </c>
      <c r="I1733" s="42" t="s">
        <v>894</v>
      </c>
    </row>
    <row r="1734" spans="1:9">
      <c r="A1734" s="42" t="s">
        <v>759</v>
      </c>
      <c r="B1734" s="42" t="s">
        <v>304</v>
      </c>
      <c r="C1734" s="42" t="s">
        <v>835</v>
      </c>
      <c r="D1734" s="42" t="s">
        <v>179</v>
      </c>
      <c r="E1734" s="42" t="s">
        <v>808</v>
      </c>
      <c r="F1734" s="45">
        <v>2000000</v>
      </c>
      <c r="G1734" s="42" t="s">
        <v>763</v>
      </c>
      <c r="H1734" s="42" t="s">
        <v>141</v>
      </c>
      <c r="I1734" s="42" t="s">
        <v>894</v>
      </c>
    </row>
    <row r="1735" spans="1:9">
      <c r="A1735" s="42" t="s">
        <v>759</v>
      </c>
      <c r="B1735" s="42" t="s">
        <v>306</v>
      </c>
      <c r="C1735" s="42" t="s">
        <v>857</v>
      </c>
      <c r="D1735" s="42" t="s">
        <v>179</v>
      </c>
      <c r="E1735" s="42" t="s">
        <v>808</v>
      </c>
      <c r="F1735" s="45">
        <v>33000000</v>
      </c>
      <c r="G1735" s="42" t="s">
        <v>763</v>
      </c>
      <c r="H1735" s="42" t="s">
        <v>141</v>
      </c>
      <c r="I1735" s="42" t="s">
        <v>894</v>
      </c>
    </row>
    <row r="1736" spans="1:9">
      <c r="A1736" s="42" t="s">
        <v>759</v>
      </c>
      <c r="B1736" s="42" t="s">
        <v>307</v>
      </c>
      <c r="C1736" s="42" t="s">
        <v>838</v>
      </c>
      <c r="D1736" s="42" t="s">
        <v>179</v>
      </c>
      <c r="E1736" s="42" t="s">
        <v>808</v>
      </c>
      <c r="F1736" s="45">
        <v>344000000</v>
      </c>
      <c r="G1736" s="42" t="s">
        <v>763</v>
      </c>
      <c r="H1736" s="42" t="s">
        <v>141</v>
      </c>
      <c r="I1736" s="42" t="s">
        <v>894</v>
      </c>
    </row>
    <row r="1737" spans="1:9">
      <c r="A1737" s="42" t="s">
        <v>759</v>
      </c>
      <c r="B1737" s="42" t="s">
        <v>308</v>
      </c>
      <c r="C1737" s="42" t="s">
        <v>839</v>
      </c>
      <c r="D1737" s="42" t="s">
        <v>179</v>
      </c>
      <c r="E1737" s="42" t="s">
        <v>808</v>
      </c>
      <c r="F1737" s="45">
        <v>7543000000</v>
      </c>
      <c r="G1737" s="42" t="s">
        <v>763</v>
      </c>
      <c r="H1737" s="42" t="s">
        <v>141</v>
      </c>
      <c r="I1737" s="42" t="s">
        <v>894</v>
      </c>
    </row>
    <row r="1738" spans="1:9">
      <c r="A1738" s="42" t="s">
        <v>759</v>
      </c>
      <c r="B1738" s="42" t="s">
        <v>309</v>
      </c>
      <c r="C1738" s="42" t="s">
        <v>840</v>
      </c>
      <c r="D1738" s="42" t="s">
        <v>179</v>
      </c>
      <c r="E1738" s="42" t="s">
        <v>808</v>
      </c>
      <c r="F1738" s="45">
        <v>136000000</v>
      </c>
      <c r="G1738" s="42" t="s">
        <v>763</v>
      </c>
      <c r="H1738" s="42" t="s">
        <v>141</v>
      </c>
      <c r="I1738" s="42" t="s">
        <v>894</v>
      </c>
    </row>
    <row r="1739" spans="1:9">
      <c r="A1739" s="42" t="s">
        <v>759</v>
      </c>
      <c r="B1739" s="42" t="s">
        <v>310</v>
      </c>
      <c r="C1739" s="42" t="s">
        <v>841</v>
      </c>
      <c r="D1739" s="42" t="s">
        <v>179</v>
      </c>
      <c r="E1739" s="42" t="s">
        <v>808</v>
      </c>
      <c r="F1739" s="45">
        <v>6000000</v>
      </c>
      <c r="G1739" s="42" t="s">
        <v>763</v>
      </c>
      <c r="H1739" s="42" t="s">
        <v>141</v>
      </c>
      <c r="I1739" s="42" t="s">
        <v>894</v>
      </c>
    </row>
    <row r="1740" spans="1:9">
      <c r="A1740" s="42" t="s">
        <v>759</v>
      </c>
      <c r="B1740" s="42" t="s">
        <v>273</v>
      </c>
      <c r="C1740" s="42" t="s">
        <v>842</v>
      </c>
      <c r="D1740" s="42" t="s">
        <v>179</v>
      </c>
      <c r="E1740" s="42" t="s">
        <v>808</v>
      </c>
      <c r="F1740" s="45">
        <v>9387000000</v>
      </c>
      <c r="G1740" s="42" t="s">
        <v>763</v>
      </c>
      <c r="H1740" s="42" t="s">
        <v>141</v>
      </c>
      <c r="I1740" s="42" t="s">
        <v>894</v>
      </c>
    </row>
    <row r="1741" spans="1:9">
      <c r="A1741" s="42" t="s">
        <v>759</v>
      </c>
      <c r="B1741" s="42" t="s">
        <v>274</v>
      </c>
      <c r="C1741" s="42" t="s">
        <v>889</v>
      </c>
      <c r="D1741" s="42" t="s">
        <v>179</v>
      </c>
      <c r="E1741" s="42" t="s">
        <v>808</v>
      </c>
      <c r="F1741" s="45">
        <v>2087000000</v>
      </c>
      <c r="G1741" s="42" t="s">
        <v>763</v>
      </c>
      <c r="H1741" s="42" t="s">
        <v>141</v>
      </c>
      <c r="I1741" s="42" t="s">
        <v>894</v>
      </c>
    </row>
    <row r="1742" spans="1:9">
      <c r="A1742" s="42" t="s">
        <v>759</v>
      </c>
      <c r="B1742" s="42" t="s">
        <v>301</v>
      </c>
      <c r="C1742" s="42" t="s">
        <v>795</v>
      </c>
      <c r="D1742" s="42" t="s">
        <v>179</v>
      </c>
      <c r="E1742" s="42" t="s">
        <v>808</v>
      </c>
      <c r="F1742" s="45">
        <v>115000000</v>
      </c>
      <c r="G1742" s="42" t="s">
        <v>763</v>
      </c>
      <c r="H1742" s="42" t="s">
        <v>141</v>
      </c>
      <c r="I1742" s="42" t="s">
        <v>894</v>
      </c>
    </row>
    <row r="1743" spans="1:9">
      <c r="A1743" s="42" t="s">
        <v>759</v>
      </c>
      <c r="B1743" s="42" t="s">
        <v>302</v>
      </c>
      <c r="C1743" s="42" t="s">
        <v>797</v>
      </c>
      <c r="D1743" s="42" t="s">
        <v>179</v>
      </c>
      <c r="E1743" s="42" t="s">
        <v>808</v>
      </c>
      <c r="F1743" s="45">
        <v>83000000</v>
      </c>
      <c r="G1743" s="42" t="s">
        <v>763</v>
      </c>
      <c r="H1743" s="42" t="s">
        <v>141</v>
      </c>
      <c r="I1743" s="42" t="s">
        <v>894</v>
      </c>
    </row>
    <row r="1744" spans="1:9">
      <c r="A1744" s="42" t="s">
        <v>759</v>
      </c>
      <c r="B1744" s="42" t="s">
        <v>304</v>
      </c>
      <c r="C1744" s="42" t="s">
        <v>796</v>
      </c>
      <c r="D1744" s="42" t="s">
        <v>179</v>
      </c>
      <c r="E1744" s="42" t="s">
        <v>808</v>
      </c>
      <c r="F1744" s="45">
        <v>138000000</v>
      </c>
      <c r="G1744" s="42" t="s">
        <v>763</v>
      </c>
      <c r="H1744" s="42" t="s">
        <v>141</v>
      </c>
      <c r="I1744" s="42" t="s">
        <v>894</v>
      </c>
    </row>
    <row r="1745" spans="1:9">
      <c r="A1745" s="42" t="s">
        <v>759</v>
      </c>
      <c r="B1745" s="42" t="s">
        <v>305</v>
      </c>
      <c r="C1745" s="42" t="s">
        <v>798</v>
      </c>
      <c r="D1745" s="42" t="s">
        <v>179</v>
      </c>
      <c r="E1745" s="42" t="s">
        <v>808</v>
      </c>
      <c r="F1745" s="45">
        <v>226000000</v>
      </c>
      <c r="G1745" s="42" t="s">
        <v>763</v>
      </c>
      <c r="H1745" s="42" t="s">
        <v>141</v>
      </c>
      <c r="I1745" s="42" t="s">
        <v>894</v>
      </c>
    </row>
    <row r="1746" spans="1:9">
      <c r="A1746" s="42" t="s">
        <v>759</v>
      </c>
      <c r="B1746" s="42" t="s">
        <v>306</v>
      </c>
      <c r="C1746" s="42" t="s">
        <v>799</v>
      </c>
      <c r="D1746" s="42" t="s">
        <v>179</v>
      </c>
      <c r="E1746" s="42" t="s">
        <v>808</v>
      </c>
      <c r="F1746" s="45">
        <v>428000000</v>
      </c>
      <c r="G1746" s="42" t="s">
        <v>763</v>
      </c>
      <c r="H1746" s="42" t="s">
        <v>141</v>
      </c>
      <c r="I1746" s="42" t="s">
        <v>894</v>
      </c>
    </row>
    <row r="1747" spans="1:9">
      <c r="A1747" s="42" t="s">
        <v>759</v>
      </c>
      <c r="B1747" s="42" t="s">
        <v>307</v>
      </c>
      <c r="C1747" s="42" t="s">
        <v>843</v>
      </c>
      <c r="D1747" s="42" t="s">
        <v>179</v>
      </c>
      <c r="E1747" s="42" t="s">
        <v>808</v>
      </c>
      <c r="F1747" s="45">
        <v>349000000</v>
      </c>
      <c r="G1747" s="42" t="s">
        <v>763</v>
      </c>
      <c r="H1747" s="42" t="s">
        <v>141</v>
      </c>
      <c r="I1747" s="42" t="s">
        <v>894</v>
      </c>
    </row>
    <row r="1748" spans="1:9">
      <c r="A1748" s="42" t="s">
        <v>759</v>
      </c>
      <c r="B1748" s="42" t="s">
        <v>308</v>
      </c>
      <c r="C1748" s="42" t="s">
        <v>800</v>
      </c>
      <c r="D1748" s="42" t="s">
        <v>179</v>
      </c>
      <c r="E1748" s="42" t="s">
        <v>808</v>
      </c>
      <c r="F1748" s="45">
        <v>2023000000</v>
      </c>
      <c r="G1748" s="42" t="s">
        <v>763</v>
      </c>
      <c r="H1748" s="42" t="s">
        <v>141</v>
      </c>
      <c r="I1748" s="42" t="s">
        <v>894</v>
      </c>
    </row>
    <row r="1749" spans="1:9">
      <c r="A1749" s="42" t="s">
        <v>759</v>
      </c>
      <c r="B1749" s="42" t="s">
        <v>309</v>
      </c>
      <c r="C1749" s="42" t="s">
        <v>801</v>
      </c>
      <c r="D1749" s="42" t="s">
        <v>179</v>
      </c>
      <c r="E1749" s="42" t="s">
        <v>808</v>
      </c>
      <c r="F1749" s="45">
        <v>260000000</v>
      </c>
      <c r="G1749" s="42" t="s">
        <v>763</v>
      </c>
      <c r="H1749" s="42" t="s">
        <v>141</v>
      </c>
      <c r="I1749" s="42" t="s">
        <v>894</v>
      </c>
    </row>
    <row r="1750" spans="1:9">
      <c r="A1750" s="42" t="s">
        <v>759</v>
      </c>
      <c r="B1750" s="42" t="s">
        <v>310</v>
      </c>
      <c r="C1750" s="42" t="s">
        <v>802</v>
      </c>
      <c r="D1750" s="42" t="s">
        <v>179</v>
      </c>
      <c r="E1750" s="42" t="s">
        <v>808</v>
      </c>
      <c r="F1750" s="45">
        <v>2710000000</v>
      </c>
      <c r="G1750" s="42" t="s">
        <v>763</v>
      </c>
      <c r="H1750" s="42" t="s">
        <v>141</v>
      </c>
      <c r="I1750" s="42" t="s">
        <v>894</v>
      </c>
    </row>
    <row r="1751" spans="1:9">
      <c r="A1751" s="42" t="s">
        <v>759</v>
      </c>
      <c r="B1751" s="42" t="s">
        <v>284</v>
      </c>
      <c r="C1751" s="42" t="s">
        <v>803</v>
      </c>
      <c r="D1751" s="42" t="s">
        <v>179</v>
      </c>
      <c r="E1751" s="42" t="s">
        <v>808</v>
      </c>
      <c r="F1751" s="45">
        <v>8419000000</v>
      </c>
      <c r="G1751" s="42" t="s">
        <v>763</v>
      </c>
      <c r="H1751" s="42" t="s">
        <v>141</v>
      </c>
      <c r="I1751" s="42" t="s">
        <v>894</v>
      </c>
    </row>
    <row r="1752" spans="1:9">
      <c r="A1752" s="42" t="s">
        <v>759</v>
      </c>
      <c r="B1752" s="42" t="s">
        <v>285</v>
      </c>
      <c r="C1752" s="42" t="s">
        <v>804</v>
      </c>
      <c r="D1752" s="42" t="s">
        <v>179</v>
      </c>
      <c r="E1752" s="42" t="s">
        <v>808</v>
      </c>
      <c r="F1752" s="45">
        <v>17806000000</v>
      </c>
      <c r="G1752" s="42" t="s">
        <v>763</v>
      </c>
      <c r="H1752" s="42" t="s">
        <v>141</v>
      </c>
      <c r="I1752" s="42" t="s">
        <v>894</v>
      </c>
    </row>
    <row r="1753" spans="1:9">
      <c r="A1753" s="42" t="s">
        <v>759</v>
      </c>
      <c r="B1753" s="42" t="s">
        <v>805</v>
      </c>
      <c r="C1753" s="42" t="s">
        <v>806</v>
      </c>
      <c r="D1753" s="42" t="s">
        <v>179</v>
      </c>
      <c r="E1753" s="42" t="s">
        <v>808</v>
      </c>
      <c r="F1753" s="45">
        <v>29714000000</v>
      </c>
      <c r="G1753" s="42" t="s">
        <v>763</v>
      </c>
      <c r="H1753" s="42" t="s">
        <v>141</v>
      </c>
      <c r="I1753" s="42" t="s">
        <v>894</v>
      </c>
    </row>
    <row r="1754" spans="1:9">
      <c r="A1754" s="42" t="s">
        <v>759</v>
      </c>
      <c r="B1754" s="42" t="s">
        <v>287</v>
      </c>
      <c r="C1754" s="42" t="s">
        <v>821</v>
      </c>
      <c r="D1754" s="42" t="s">
        <v>180</v>
      </c>
      <c r="E1754" s="42" t="s">
        <v>808</v>
      </c>
      <c r="F1754" s="45">
        <v>590000000</v>
      </c>
      <c r="G1754" s="42" t="s">
        <v>763</v>
      </c>
      <c r="H1754" s="42" t="s">
        <v>143</v>
      </c>
      <c r="I1754" s="42" t="s">
        <v>895</v>
      </c>
    </row>
    <row r="1755" spans="1:9">
      <c r="A1755" s="42" t="s">
        <v>759</v>
      </c>
      <c r="B1755" s="42" t="s">
        <v>288</v>
      </c>
      <c r="C1755" s="42" t="s">
        <v>823</v>
      </c>
      <c r="D1755" s="42" t="s">
        <v>180</v>
      </c>
      <c r="E1755" s="42" t="s">
        <v>808</v>
      </c>
      <c r="F1755" s="45">
        <v>19348000000</v>
      </c>
      <c r="G1755" s="42" t="s">
        <v>763</v>
      </c>
      <c r="H1755" s="42" t="s">
        <v>143</v>
      </c>
      <c r="I1755" s="42" t="s">
        <v>895</v>
      </c>
    </row>
    <row r="1756" spans="1:9">
      <c r="A1756" s="42" t="s">
        <v>759</v>
      </c>
      <c r="B1756" s="42" t="s">
        <v>289</v>
      </c>
      <c r="C1756" s="42" t="s">
        <v>825</v>
      </c>
      <c r="D1756" s="42" t="s">
        <v>180</v>
      </c>
      <c r="E1756" s="42" t="s">
        <v>808</v>
      </c>
      <c r="F1756" s="45">
        <v>672000000</v>
      </c>
      <c r="G1756" s="42" t="s">
        <v>763</v>
      </c>
      <c r="H1756" s="42" t="s">
        <v>143</v>
      </c>
      <c r="I1756" s="42" t="s">
        <v>895</v>
      </c>
    </row>
    <row r="1757" spans="1:9">
      <c r="A1757" s="42" t="s">
        <v>759</v>
      </c>
      <c r="B1757" s="42" t="s">
        <v>290</v>
      </c>
      <c r="C1757" s="42" t="s">
        <v>826</v>
      </c>
      <c r="D1757" s="42" t="s">
        <v>180</v>
      </c>
      <c r="E1757" s="42" t="s">
        <v>808</v>
      </c>
      <c r="F1757" s="45">
        <v>1913000000</v>
      </c>
      <c r="G1757" s="42" t="s">
        <v>763</v>
      </c>
      <c r="H1757" s="42" t="s">
        <v>143</v>
      </c>
      <c r="I1757" s="42" t="s">
        <v>895</v>
      </c>
    </row>
    <row r="1758" spans="1:9">
      <c r="A1758" s="42" t="s">
        <v>759</v>
      </c>
      <c r="B1758" s="42" t="s">
        <v>291</v>
      </c>
      <c r="C1758" s="42" t="s">
        <v>827</v>
      </c>
      <c r="D1758" s="42" t="s">
        <v>180</v>
      </c>
      <c r="E1758" s="42" t="s">
        <v>808</v>
      </c>
      <c r="F1758" s="45">
        <v>231000000</v>
      </c>
      <c r="G1758" s="42" t="s">
        <v>763</v>
      </c>
      <c r="H1758" s="42" t="s">
        <v>143</v>
      </c>
      <c r="I1758" s="42" t="s">
        <v>895</v>
      </c>
    </row>
    <row r="1759" spans="1:9">
      <c r="A1759" s="42" t="s">
        <v>759</v>
      </c>
      <c r="B1759" s="42" t="s">
        <v>292</v>
      </c>
      <c r="C1759" s="42" t="s">
        <v>828</v>
      </c>
      <c r="D1759" s="42" t="s">
        <v>180</v>
      </c>
      <c r="E1759" s="42" t="s">
        <v>808</v>
      </c>
      <c r="F1759" s="45">
        <v>760000000</v>
      </c>
      <c r="G1759" s="42" t="s">
        <v>763</v>
      </c>
      <c r="H1759" s="42" t="s">
        <v>143</v>
      </c>
      <c r="I1759" s="42" t="s">
        <v>895</v>
      </c>
    </row>
    <row r="1760" spans="1:9">
      <c r="A1760" s="42" t="s">
        <v>759</v>
      </c>
      <c r="B1760" s="42" t="s">
        <v>293</v>
      </c>
      <c r="C1760" s="42" t="s">
        <v>829</v>
      </c>
      <c r="D1760" s="42" t="s">
        <v>180</v>
      </c>
      <c r="E1760" s="42" t="s">
        <v>808</v>
      </c>
      <c r="F1760" s="45">
        <v>2000000</v>
      </c>
      <c r="G1760" s="42" t="s">
        <v>763</v>
      </c>
      <c r="H1760" s="42" t="s">
        <v>143</v>
      </c>
      <c r="I1760" s="42" t="s">
        <v>895</v>
      </c>
    </row>
    <row r="1761" spans="1:9">
      <c r="A1761" s="42" t="s">
        <v>759</v>
      </c>
      <c r="B1761" s="42" t="s">
        <v>239</v>
      </c>
      <c r="C1761" s="42" t="s">
        <v>830</v>
      </c>
      <c r="D1761" s="42" t="s">
        <v>180</v>
      </c>
      <c r="E1761" s="42" t="s">
        <v>808</v>
      </c>
      <c r="F1761" s="45">
        <v>23516000000</v>
      </c>
      <c r="G1761" s="42" t="s">
        <v>763</v>
      </c>
      <c r="H1761" s="42" t="s">
        <v>143</v>
      </c>
      <c r="I1761" s="42" t="s">
        <v>895</v>
      </c>
    </row>
    <row r="1762" spans="1:9">
      <c r="A1762" s="42" t="s">
        <v>759</v>
      </c>
      <c r="B1762" s="42" t="s">
        <v>240</v>
      </c>
      <c r="C1762" s="42" t="s">
        <v>818</v>
      </c>
      <c r="D1762" s="42" t="s">
        <v>180</v>
      </c>
      <c r="E1762" s="42" t="s">
        <v>808</v>
      </c>
      <c r="F1762" s="45">
        <v>529000000</v>
      </c>
      <c r="G1762" s="42" t="s">
        <v>763</v>
      </c>
      <c r="H1762" s="42" t="s">
        <v>143</v>
      </c>
      <c r="I1762" s="42" t="s">
        <v>895</v>
      </c>
    </row>
    <row r="1763" spans="1:9">
      <c r="A1763" s="42" t="s">
        <v>759</v>
      </c>
      <c r="B1763" s="42" t="s">
        <v>241</v>
      </c>
      <c r="C1763" s="42" t="s">
        <v>772</v>
      </c>
      <c r="D1763" s="42" t="s">
        <v>180</v>
      </c>
      <c r="E1763" s="42" t="s">
        <v>808</v>
      </c>
      <c r="F1763" s="45">
        <v>1482000000</v>
      </c>
      <c r="G1763" s="42" t="s">
        <v>763</v>
      </c>
      <c r="H1763" s="42" t="s">
        <v>143</v>
      </c>
      <c r="I1763" s="42" t="s">
        <v>895</v>
      </c>
    </row>
    <row r="1764" spans="1:9">
      <c r="A1764" s="42" t="s">
        <v>759</v>
      </c>
      <c r="B1764" s="42" t="s">
        <v>242</v>
      </c>
      <c r="C1764" s="42" t="s">
        <v>773</v>
      </c>
      <c r="D1764" s="42" t="s">
        <v>180</v>
      </c>
      <c r="E1764" s="42" t="s">
        <v>808</v>
      </c>
      <c r="F1764" s="45">
        <v>21000000</v>
      </c>
      <c r="G1764" s="42" t="s">
        <v>763</v>
      </c>
      <c r="H1764" s="42" t="s">
        <v>143</v>
      </c>
      <c r="I1764" s="42" t="s">
        <v>895</v>
      </c>
    </row>
    <row r="1765" spans="1:9">
      <c r="A1765" s="42" t="s">
        <v>759</v>
      </c>
      <c r="B1765" s="42" t="s">
        <v>292</v>
      </c>
      <c r="C1765" s="42" t="s">
        <v>774</v>
      </c>
      <c r="D1765" s="42" t="s">
        <v>180</v>
      </c>
      <c r="E1765" s="42" t="s">
        <v>808</v>
      </c>
      <c r="F1765" s="45">
        <v>661000000</v>
      </c>
      <c r="G1765" s="42" t="s">
        <v>763</v>
      </c>
      <c r="H1765" s="42" t="s">
        <v>143</v>
      </c>
      <c r="I1765" s="42" t="s">
        <v>895</v>
      </c>
    </row>
    <row r="1766" spans="1:9">
      <c r="A1766" s="42" t="s">
        <v>759</v>
      </c>
      <c r="B1766" s="42" t="s">
        <v>293</v>
      </c>
      <c r="C1766" s="42" t="s">
        <v>775</v>
      </c>
      <c r="D1766" s="42" t="s">
        <v>180</v>
      </c>
      <c r="E1766" s="42" t="s">
        <v>808</v>
      </c>
      <c r="F1766" s="45">
        <v>1795000000</v>
      </c>
      <c r="G1766" s="42" t="s">
        <v>763</v>
      </c>
      <c r="H1766" s="42" t="s">
        <v>143</v>
      </c>
      <c r="I1766" s="42" t="s">
        <v>895</v>
      </c>
    </row>
    <row r="1767" spans="1:9">
      <c r="A1767" s="42" t="s">
        <v>759</v>
      </c>
      <c r="B1767" s="42" t="s">
        <v>862</v>
      </c>
      <c r="C1767" s="42" t="s">
        <v>776</v>
      </c>
      <c r="D1767" s="42" t="s">
        <v>180</v>
      </c>
      <c r="E1767" s="42" t="s">
        <v>808</v>
      </c>
      <c r="F1767" s="45">
        <v>237000000</v>
      </c>
      <c r="G1767" s="42" t="s">
        <v>763</v>
      </c>
      <c r="H1767" s="42" t="s">
        <v>143</v>
      </c>
      <c r="I1767" s="42" t="s">
        <v>895</v>
      </c>
    </row>
    <row r="1768" spans="1:9">
      <c r="A1768" s="42" t="s">
        <v>759</v>
      </c>
      <c r="B1768" s="42" t="s">
        <v>246</v>
      </c>
      <c r="C1768" s="42" t="s">
        <v>777</v>
      </c>
      <c r="D1768" s="42" t="s">
        <v>180</v>
      </c>
      <c r="E1768" s="42" t="s">
        <v>808</v>
      </c>
      <c r="F1768" s="45">
        <v>774000000</v>
      </c>
      <c r="G1768" s="42" t="s">
        <v>763</v>
      </c>
      <c r="H1768" s="42" t="s">
        <v>143</v>
      </c>
      <c r="I1768" s="42" t="s">
        <v>895</v>
      </c>
    </row>
    <row r="1769" spans="1:9">
      <c r="A1769" s="42" t="s">
        <v>759</v>
      </c>
      <c r="B1769" s="42" t="s">
        <v>247</v>
      </c>
      <c r="C1769" s="42" t="s">
        <v>778</v>
      </c>
      <c r="D1769" s="42" t="s">
        <v>180</v>
      </c>
      <c r="E1769" s="42" t="s">
        <v>808</v>
      </c>
      <c r="F1769" s="45">
        <v>5499000000</v>
      </c>
      <c r="G1769" s="42" t="s">
        <v>763</v>
      </c>
      <c r="H1769" s="42" t="s">
        <v>143</v>
      </c>
      <c r="I1769" s="42" t="s">
        <v>895</v>
      </c>
    </row>
    <row r="1770" spans="1:9">
      <c r="A1770" s="42" t="s">
        <v>759</v>
      </c>
      <c r="B1770" s="42" t="s">
        <v>248</v>
      </c>
      <c r="C1770" s="42" t="s">
        <v>779</v>
      </c>
      <c r="D1770" s="42" t="s">
        <v>180</v>
      </c>
      <c r="E1770" s="42" t="s">
        <v>808</v>
      </c>
      <c r="F1770" s="45">
        <v>29015000000</v>
      </c>
      <c r="G1770" s="42" t="s">
        <v>763</v>
      </c>
      <c r="H1770" s="42" t="s">
        <v>143</v>
      </c>
      <c r="I1770" s="42" t="s">
        <v>895</v>
      </c>
    </row>
    <row r="1771" spans="1:9">
      <c r="A1771" s="42" t="s">
        <v>759</v>
      </c>
      <c r="B1771" s="42" t="s">
        <v>780</v>
      </c>
      <c r="C1771" s="42" t="s">
        <v>781</v>
      </c>
      <c r="D1771" s="42" t="s">
        <v>180</v>
      </c>
      <c r="E1771" s="42" t="s">
        <v>808</v>
      </c>
      <c r="F1771" s="45">
        <v>4511000000</v>
      </c>
      <c r="G1771" s="42" t="s">
        <v>763</v>
      </c>
      <c r="H1771" s="42" t="s">
        <v>143</v>
      </c>
      <c r="I1771" s="42" t="s">
        <v>895</v>
      </c>
    </row>
    <row r="1772" spans="1:9">
      <c r="A1772" s="42" t="s">
        <v>759</v>
      </c>
      <c r="B1772" s="42" t="s">
        <v>298</v>
      </c>
      <c r="C1772" s="42" t="s">
        <v>855</v>
      </c>
      <c r="D1772" s="42" t="s">
        <v>180</v>
      </c>
      <c r="E1772" s="42" t="s">
        <v>808</v>
      </c>
      <c r="F1772" s="45">
        <v>7183000000</v>
      </c>
      <c r="G1772" s="42" t="s">
        <v>763</v>
      </c>
      <c r="H1772" s="42" t="s">
        <v>143</v>
      </c>
      <c r="I1772" s="42" t="s">
        <v>895</v>
      </c>
    </row>
    <row r="1773" spans="1:9">
      <c r="A1773" s="42" t="s">
        <v>759</v>
      </c>
      <c r="B1773" s="42" t="s">
        <v>783</v>
      </c>
      <c r="C1773" s="42" t="s">
        <v>784</v>
      </c>
      <c r="D1773" s="42" t="s">
        <v>180</v>
      </c>
      <c r="E1773" s="42" t="s">
        <v>808</v>
      </c>
      <c r="F1773" s="45">
        <v>11694000000</v>
      </c>
      <c r="G1773" s="42" t="s">
        <v>763</v>
      </c>
      <c r="H1773" s="42" t="s">
        <v>143</v>
      </c>
      <c r="I1773" s="42" t="s">
        <v>895</v>
      </c>
    </row>
    <row r="1774" spans="1:9">
      <c r="A1774" s="42" t="s">
        <v>759</v>
      </c>
      <c r="B1774" s="42" t="s">
        <v>261</v>
      </c>
      <c r="C1774" s="42" t="s">
        <v>785</v>
      </c>
      <c r="D1774" s="42" t="s">
        <v>180</v>
      </c>
      <c r="E1774" s="42" t="s">
        <v>808</v>
      </c>
      <c r="F1774" s="45">
        <v>230000000</v>
      </c>
      <c r="G1774" s="42" t="s">
        <v>763</v>
      </c>
      <c r="H1774" s="42" t="s">
        <v>143</v>
      </c>
      <c r="I1774" s="42" t="s">
        <v>895</v>
      </c>
    </row>
    <row r="1775" spans="1:9">
      <c r="A1775" s="42" t="s">
        <v>759</v>
      </c>
      <c r="B1775" s="42" t="s">
        <v>786</v>
      </c>
      <c r="C1775" s="42" t="s">
        <v>787</v>
      </c>
      <c r="D1775" s="42" t="s">
        <v>180</v>
      </c>
      <c r="E1775" s="42" t="s">
        <v>808</v>
      </c>
      <c r="F1775" s="45">
        <v>11924000000</v>
      </c>
      <c r="G1775" s="42" t="s">
        <v>763</v>
      </c>
      <c r="H1775" s="42" t="s">
        <v>143</v>
      </c>
      <c r="I1775" s="42" t="s">
        <v>895</v>
      </c>
    </row>
    <row r="1776" spans="1:9">
      <c r="A1776" s="42" t="s">
        <v>759</v>
      </c>
      <c r="B1776" s="42" t="s">
        <v>301</v>
      </c>
      <c r="C1776" s="42" t="s">
        <v>832</v>
      </c>
      <c r="D1776" s="42" t="s">
        <v>180</v>
      </c>
      <c r="E1776" s="42" t="s">
        <v>808</v>
      </c>
      <c r="F1776" s="45">
        <v>1093000000</v>
      </c>
      <c r="G1776" s="42" t="s">
        <v>763</v>
      </c>
      <c r="H1776" s="42" t="s">
        <v>143</v>
      </c>
      <c r="I1776" s="42" t="s">
        <v>895</v>
      </c>
    </row>
    <row r="1777" spans="1:9">
      <c r="A1777" s="42" t="s">
        <v>759</v>
      </c>
      <c r="B1777" s="42" t="s">
        <v>302</v>
      </c>
      <c r="C1777" s="42" t="s">
        <v>834</v>
      </c>
      <c r="D1777" s="42" t="s">
        <v>180</v>
      </c>
      <c r="E1777" s="42" t="s">
        <v>808</v>
      </c>
      <c r="F1777" s="45">
        <v>167000000</v>
      </c>
      <c r="G1777" s="42" t="s">
        <v>763</v>
      </c>
      <c r="H1777" s="42" t="s">
        <v>143</v>
      </c>
      <c r="I1777" s="42" t="s">
        <v>895</v>
      </c>
    </row>
    <row r="1778" spans="1:9">
      <c r="A1778" s="42" t="s">
        <v>759</v>
      </c>
      <c r="B1778" s="42" t="s">
        <v>303</v>
      </c>
      <c r="C1778" s="42" t="s">
        <v>833</v>
      </c>
      <c r="D1778" s="42" t="s">
        <v>180</v>
      </c>
      <c r="E1778" s="42" t="s">
        <v>808</v>
      </c>
      <c r="F1778" s="45">
        <v>104000000</v>
      </c>
      <c r="G1778" s="42" t="s">
        <v>763</v>
      </c>
      <c r="H1778" s="42" t="s">
        <v>143</v>
      </c>
      <c r="I1778" s="42" t="s">
        <v>895</v>
      </c>
    </row>
    <row r="1779" spans="1:9">
      <c r="A1779" s="42" t="s">
        <v>759</v>
      </c>
      <c r="B1779" s="42" t="s">
        <v>304</v>
      </c>
      <c r="C1779" s="42" t="s">
        <v>835</v>
      </c>
      <c r="D1779" s="42" t="s">
        <v>180</v>
      </c>
      <c r="E1779" s="42" t="s">
        <v>808</v>
      </c>
      <c r="F1779" s="45">
        <v>2000000</v>
      </c>
      <c r="G1779" s="42" t="s">
        <v>763</v>
      </c>
      <c r="H1779" s="42" t="s">
        <v>143</v>
      </c>
      <c r="I1779" s="42" t="s">
        <v>895</v>
      </c>
    </row>
    <row r="1780" spans="1:9">
      <c r="A1780" s="42" t="s">
        <v>759</v>
      </c>
      <c r="B1780" s="42" t="s">
        <v>306</v>
      </c>
      <c r="C1780" s="42" t="s">
        <v>857</v>
      </c>
      <c r="D1780" s="42" t="s">
        <v>180</v>
      </c>
      <c r="E1780" s="42" t="s">
        <v>808</v>
      </c>
      <c r="F1780" s="45">
        <v>34000000</v>
      </c>
      <c r="G1780" s="42" t="s">
        <v>763</v>
      </c>
      <c r="H1780" s="42" t="s">
        <v>143</v>
      </c>
      <c r="I1780" s="42" t="s">
        <v>895</v>
      </c>
    </row>
    <row r="1781" spans="1:9">
      <c r="A1781" s="42" t="s">
        <v>759</v>
      </c>
      <c r="B1781" s="42" t="s">
        <v>307</v>
      </c>
      <c r="C1781" s="42" t="s">
        <v>838</v>
      </c>
      <c r="D1781" s="42" t="s">
        <v>180</v>
      </c>
      <c r="E1781" s="42" t="s">
        <v>808</v>
      </c>
      <c r="F1781" s="45">
        <v>364000000</v>
      </c>
      <c r="G1781" s="42" t="s">
        <v>763</v>
      </c>
      <c r="H1781" s="42" t="s">
        <v>143</v>
      </c>
      <c r="I1781" s="42" t="s">
        <v>895</v>
      </c>
    </row>
    <row r="1782" spans="1:9">
      <c r="A1782" s="42" t="s">
        <v>759</v>
      </c>
      <c r="B1782" s="42" t="s">
        <v>308</v>
      </c>
      <c r="C1782" s="42" t="s">
        <v>839</v>
      </c>
      <c r="D1782" s="42" t="s">
        <v>180</v>
      </c>
      <c r="E1782" s="42" t="s">
        <v>808</v>
      </c>
      <c r="F1782" s="45">
        <v>7592000000</v>
      </c>
      <c r="G1782" s="42" t="s">
        <v>763</v>
      </c>
      <c r="H1782" s="42" t="s">
        <v>143</v>
      </c>
      <c r="I1782" s="42" t="s">
        <v>895</v>
      </c>
    </row>
    <row r="1783" spans="1:9">
      <c r="A1783" s="42" t="s">
        <v>759</v>
      </c>
      <c r="B1783" s="42" t="s">
        <v>309</v>
      </c>
      <c r="C1783" s="42" t="s">
        <v>840</v>
      </c>
      <c r="D1783" s="42" t="s">
        <v>180</v>
      </c>
      <c r="E1783" s="42" t="s">
        <v>808</v>
      </c>
      <c r="F1783" s="45">
        <v>384000000</v>
      </c>
      <c r="G1783" s="42" t="s">
        <v>763</v>
      </c>
      <c r="H1783" s="42" t="s">
        <v>143</v>
      </c>
      <c r="I1783" s="42" t="s">
        <v>895</v>
      </c>
    </row>
    <row r="1784" spans="1:9">
      <c r="A1784" s="42" t="s">
        <v>759</v>
      </c>
      <c r="B1784" s="42" t="s">
        <v>310</v>
      </c>
      <c r="C1784" s="42" t="s">
        <v>841</v>
      </c>
      <c r="D1784" s="42" t="s">
        <v>180</v>
      </c>
      <c r="E1784" s="42" t="s">
        <v>808</v>
      </c>
      <c r="F1784" s="45">
        <v>5000000</v>
      </c>
      <c r="G1784" s="42" t="s">
        <v>763</v>
      </c>
      <c r="H1784" s="42" t="s">
        <v>143</v>
      </c>
      <c r="I1784" s="42" t="s">
        <v>895</v>
      </c>
    </row>
    <row r="1785" spans="1:9">
      <c r="A1785" s="42" t="s">
        <v>759</v>
      </c>
      <c r="B1785" s="42" t="s">
        <v>273</v>
      </c>
      <c r="C1785" s="42" t="s">
        <v>842</v>
      </c>
      <c r="D1785" s="42" t="s">
        <v>180</v>
      </c>
      <c r="E1785" s="42" t="s">
        <v>808</v>
      </c>
      <c r="F1785" s="45">
        <v>9745000000</v>
      </c>
      <c r="G1785" s="42" t="s">
        <v>763</v>
      </c>
      <c r="H1785" s="42" t="s">
        <v>143</v>
      </c>
      <c r="I1785" s="42" t="s">
        <v>895</v>
      </c>
    </row>
    <row r="1786" spans="1:9">
      <c r="A1786" s="42" t="s">
        <v>759</v>
      </c>
      <c r="B1786" s="42" t="s">
        <v>274</v>
      </c>
      <c r="C1786" s="42" t="s">
        <v>889</v>
      </c>
      <c r="D1786" s="42" t="s">
        <v>180</v>
      </c>
      <c r="E1786" s="42" t="s">
        <v>808</v>
      </c>
      <c r="F1786" s="45">
        <v>945000000</v>
      </c>
      <c r="G1786" s="42" t="s">
        <v>763</v>
      </c>
      <c r="H1786" s="42" t="s">
        <v>143</v>
      </c>
      <c r="I1786" s="42" t="s">
        <v>895</v>
      </c>
    </row>
    <row r="1787" spans="1:9">
      <c r="A1787" s="42" t="s">
        <v>759</v>
      </c>
      <c r="B1787" s="42" t="s">
        <v>301</v>
      </c>
      <c r="C1787" s="42" t="s">
        <v>795</v>
      </c>
      <c r="D1787" s="42" t="s">
        <v>180</v>
      </c>
      <c r="E1787" s="42" t="s">
        <v>808</v>
      </c>
      <c r="F1787" s="45">
        <v>116000000</v>
      </c>
      <c r="G1787" s="42" t="s">
        <v>763</v>
      </c>
      <c r="H1787" s="42" t="s">
        <v>143</v>
      </c>
      <c r="I1787" s="42" t="s">
        <v>895</v>
      </c>
    </row>
    <row r="1788" spans="1:9">
      <c r="A1788" s="42" t="s">
        <v>759</v>
      </c>
      <c r="B1788" s="42" t="s">
        <v>302</v>
      </c>
      <c r="C1788" s="42" t="s">
        <v>797</v>
      </c>
      <c r="D1788" s="42" t="s">
        <v>180</v>
      </c>
      <c r="E1788" s="42" t="s">
        <v>808</v>
      </c>
      <c r="F1788" s="45">
        <v>114000000</v>
      </c>
      <c r="G1788" s="42" t="s">
        <v>763</v>
      </c>
      <c r="H1788" s="42" t="s">
        <v>143</v>
      </c>
      <c r="I1788" s="42" t="s">
        <v>895</v>
      </c>
    </row>
    <row r="1789" spans="1:9">
      <c r="A1789" s="42" t="s">
        <v>759</v>
      </c>
      <c r="B1789" s="42" t="s">
        <v>304</v>
      </c>
      <c r="C1789" s="42" t="s">
        <v>796</v>
      </c>
      <c r="D1789" s="42" t="s">
        <v>180</v>
      </c>
      <c r="E1789" s="42" t="s">
        <v>808</v>
      </c>
      <c r="F1789" s="45">
        <v>28000000</v>
      </c>
      <c r="G1789" s="42" t="s">
        <v>763</v>
      </c>
      <c r="H1789" s="42" t="s">
        <v>143</v>
      </c>
      <c r="I1789" s="42" t="s">
        <v>895</v>
      </c>
    </row>
    <row r="1790" spans="1:9">
      <c r="A1790" s="42" t="s">
        <v>759</v>
      </c>
      <c r="B1790" s="42" t="s">
        <v>305</v>
      </c>
      <c r="C1790" s="42" t="s">
        <v>798</v>
      </c>
      <c r="D1790" s="42" t="s">
        <v>180</v>
      </c>
      <c r="E1790" s="42" t="s">
        <v>808</v>
      </c>
      <c r="F1790" s="45">
        <v>282000000</v>
      </c>
      <c r="G1790" s="42" t="s">
        <v>763</v>
      </c>
      <c r="H1790" s="42" t="s">
        <v>143</v>
      </c>
      <c r="I1790" s="42" t="s">
        <v>895</v>
      </c>
    </row>
    <row r="1791" spans="1:9">
      <c r="A1791" s="42" t="s">
        <v>759</v>
      </c>
      <c r="B1791" s="42" t="s">
        <v>306</v>
      </c>
      <c r="C1791" s="42" t="s">
        <v>799</v>
      </c>
      <c r="D1791" s="42" t="s">
        <v>180</v>
      </c>
      <c r="E1791" s="42" t="s">
        <v>808</v>
      </c>
      <c r="F1791" s="45">
        <v>289000000</v>
      </c>
      <c r="G1791" s="42" t="s">
        <v>763</v>
      </c>
      <c r="H1791" s="42" t="s">
        <v>143</v>
      </c>
      <c r="I1791" s="42" t="s">
        <v>895</v>
      </c>
    </row>
    <row r="1792" spans="1:9">
      <c r="A1792" s="42" t="s">
        <v>759</v>
      </c>
      <c r="B1792" s="42" t="s">
        <v>307</v>
      </c>
      <c r="C1792" s="42" t="s">
        <v>843</v>
      </c>
      <c r="D1792" s="42" t="s">
        <v>180</v>
      </c>
      <c r="E1792" s="42" t="s">
        <v>808</v>
      </c>
      <c r="F1792" s="45">
        <v>345000000</v>
      </c>
      <c r="G1792" s="42" t="s">
        <v>763</v>
      </c>
      <c r="H1792" s="42" t="s">
        <v>143</v>
      </c>
      <c r="I1792" s="42" t="s">
        <v>895</v>
      </c>
    </row>
    <row r="1793" spans="1:9">
      <c r="A1793" s="42" t="s">
        <v>759</v>
      </c>
      <c r="B1793" s="42" t="s">
        <v>308</v>
      </c>
      <c r="C1793" s="42" t="s">
        <v>800</v>
      </c>
      <c r="D1793" s="42" t="s">
        <v>180</v>
      </c>
      <c r="E1793" s="42" t="s">
        <v>808</v>
      </c>
      <c r="F1793" s="45">
        <v>2252000000</v>
      </c>
      <c r="G1793" s="42" t="s">
        <v>763</v>
      </c>
      <c r="H1793" s="42" t="s">
        <v>143</v>
      </c>
      <c r="I1793" s="42" t="s">
        <v>895</v>
      </c>
    </row>
    <row r="1794" spans="1:9">
      <c r="A1794" s="42" t="s">
        <v>759</v>
      </c>
      <c r="B1794" s="42" t="s">
        <v>309</v>
      </c>
      <c r="C1794" s="42" t="s">
        <v>801</v>
      </c>
      <c r="D1794" s="42" t="s">
        <v>180</v>
      </c>
      <c r="E1794" s="42" t="s">
        <v>808</v>
      </c>
      <c r="F1794" s="45">
        <v>321000000</v>
      </c>
      <c r="G1794" s="42" t="s">
        <v>763</v>
      </c>
      <c r="H1794" s="42" t="s">
        <v>143</v>
      </c>
      <c r="I1794" s="42" t="s">
        <v>895</v>
      </c>
    </row>
    <row r="1795" spans="1:9">
      <c r="A1795" s="42" t="s">
        <v>759</v>
      </c>
      <c r="B1795" s="42" t="s">
        <v>310</v>
      </c>
      <c r="C1795" s="42" t="s">
        <v>802</v>
      </c>
      <c r="D1795" s="42" t="s">
        <v>180</v>
      </c>
      <c r="E1795" s="42" t="s">
        <v>808</v>
      </c>
      <c r="F1795" s="45">
        <v>2654000000</v>
      </c>
      <c r="G1795" s="42" t="s">
        <v>763</v>
      </c>
      <c r="H1795" s="42" t="s">
        <v>143</v>
      </c>
      <c r="I1795" s="42" t="s">
        <v>895</v>
      </c>
    </row>
    <row r="1796" spans="1:9">
      <c r="A1796" s="42" t="s">
        <v>759</v>
      </c>
      <c r="B1796" s="42" t="s">
        <v>284</v>
      </c>
      <c r="C1796" s="42" t="s">
        <v>803</v>
      </c>
      <c r="D1796" s="42" t="s">
        <v>180</v>
      </c>
      <c r="E1796" s="42" t="s">
        <v>808</v>
      </c>
      <c r="F1796" s="45">
        <v>7346000000</v>
      </c>
      <c r="G1796" s="42" t="s">
        <v>763</v>
      </c>
      <c r="H1796" s="42" t="s">
        <v>143</v>
      </c>
      <c r="I1796" s="42" t="s">
        <v>895</v>
      </c>
    </row>
    <row r="1797" spans="1:9">
      <c r="A1797" s="42" t="s">
        <v>759</v>
      </c>
      <c r="B1797" s="42" t="s">
        <v>285</v>
      </c>
      <c r="C1797" s="42" t="s">
        <v>804</v>
      </c>
      <c r="D1797" s="42" t="s">
        <v>180</v>
      </c>
      <c r="E1797" s="42" t="s">
        <v>808</v>
      </c>
      <c r="F1797" s="45">
        <v>17091000000</v>
      </c>
      <c r="G1797" s="42" t="s">
        <v>763</v>
      </c>
      <c r="H1797" s="42" t="s">
        <v>143</v>
      </c>
      <c r="I1797" s="42" t="s">
        <v>895</v>
      </c>
    </row>
    <row r="1798" spans="1:9">
      <c r="A1798" s="42" t="s">
        <v>759</v>
      </c>
      <c r="B1798" s="42" t="s">
        <v>805</v>
      </c>
      <c r="C1798" s="42" t="s">
        <v>806</v>
      </c>
      <c r="D1798" s="42" t="s">
        <v>180</v>
      </c>
      <c r="E1798" s="42" t="s">
        <v>808</v>
      </c>
      <c r="F1798" s="45">
        <v>29015000000</v>
      </c>
      <c r="G1798" s="42" t="s">
        <v>763</v>
      </c>
      <c r="H1798" s="42" t="s">
        <v>143</v>
      </c>
      <c r="I1798" s="42" t="s">
        <v>895</v>
      </c>
    </row>
    <row r="1799" spans="1:9">
      <c r="A1799" s="42" t="s">
        <v>759</v>
      </c>
      <c r="B1799" s="42" t="s">
        <v>287</v>
      </c>
      <c r="C1799" s="42" t="s">
        <v>821</v>
      </c>
      <c r="D1799" s="42" t="s">
        <v>181</v>
      </c>
      <c r="E1799" s="42" t="s">
        <v>808</v>
      </c>
      <c r="F1799" s="45">
        <v>1056000000</v>
      </c>
      <c r="G1799" s="42" t="s">
        <v>763</v>
      </c>
      <c r="H1799" s="42" t="s">
        <v>145</v>
      </c>
      <c r="I1799" s="42" t="s">
        <v>888</v>
      </c>
    </row>
    <row r="1800" spans="1:9">
      <c r="A1800" s="42" t="s">
        <v>759</v>
      </c>
      <c r="B1800" s="42" t="s">
        <v>288</v>
      </c>
      <c r="C1800" s="42" t="s">
        <v>823</v>
      </c>
      <c r="D1800" s="42" t="s">
        <v>181</v>
      </c>
      <c r="E1800" s="42" t="s">
        <v>808</v>
      </c>
      <c r="F1800" s="45">
        <v>19627000000</v>
      </c>
      <c r="G1800" s="42" t="s">
        <v>763</v>
      </c>
      <c r="H1800" s="42" t="s">
        <v>145</v>
      </c>
      <c r="I1800" s="42" t="s">
        <v>888</v>
      </c>
    </row>
    <row r="1801" spans="1:9">
      <c r="A1801" s="42" t="s">
        <v>759</v>
      </c>
      <c r="B1801" s="42" t="s">
        <v>289</v>
      </c>
      <c r="C1801" s="42" t="s">
        <v>825</v>
      </c>
      <c r="D1801" s="42" t="s">
        <v>181</v>
      </c>
      <c r="E1801" s="42" t="s">
        <v>808</v>
      </c>
      <c r="F1801" s="45">
        <v>588000000</v>
      </c>
      <c r="G1801" s="42" t="s">
        <v>763</v>
      </c>
      <c r="H1801" s="42" t="s">
        <v>145</v>
      </c>
      <c r="I1801" s="42" t="s">
        <v>888</v>
      </c>
    </row>
    <row r="1802" spans="1:9">
      <c r="A1802" s="42" t="s">
        <v>759</v>
      </c>
      <c r="B1802" s="42" t="s">
        <v>290</v>
      </c>
      <c r="C1802" s="42" t="s">
        <v>826</v>
      </c>
      <c r="D1802" s="42" t="s">
        <v>181</v>
      </c>
      <c r="E1802" s="42" t="s">
        <v>808</v>
      </c>
      <c r="F1802" s="45">
        <v>1917000000</v>
      </c>
      <c r="G1802" s="42" t="s">
        <v>763</v>
      </c>
      <c r="H1802" s="42" t="s">
        <v>145</v>
      </c>
      <c r="I1802" s="42" t="s">
        <v>888</v>
      </c>
    </row>
    <row r="1803" spans="1:9">
      <c r="A1803" s="42" t="s">
        <v>759</v>
      </c>
      <c r="B1803" s="42" t="s">
        <v>291</v>
      </c>
      <c r="C1803" s="42" t="s">
        <v>827</v>
      </c>
      <c r="D1803" s="42" t="s">
        <v>181</v>
      </c>
      <c r="E1803" s="42" t="s">
        <v>808</v>
      </c>
      <c r="F1803" s="45">
        <v>4000000</v>
      </c>
      <c r="G1803" s="42" t="s">
        <v>763</v>
      </c>
      <c r="H1803" s="42" t="s">
        <v>145</v>
      </c>
      <c r="I1803" s="42" t="s">
        <v>888</v>
      </c>
    </row>
    <row r="1804" spans="1:9">
      <c r="A1804" s="42" t="s">
        <v>759</v>
      </c>
      <c r="B1804" s="42" t="s">
        <v>292</v>
      </c>
      <c r="C1804" s="42" t="s">
        <v>828</v>
      </c>
      <c r="D1804" s="42" t="s">
        <v>181</v>
      </c>
      <c r="E1804" s="42" t="s">
        <v>808</v>
      </c>
      <c r="F1804" s="45">
        <v>774000000</v>
      </c>
      <c r="G1804" s="42" t="s">
        <v>763</v>
      </c>
      <c r="H1804" s="42" t="s">
        <v>145</v>
      </c>
      <c r="I1804" s="42" t="s">
        <v>888</v>
      </c>
    </row>
    <row r="1805" spans="1:9">
      <c r="A1805" s="42" t="s">
        <v>759</v>
      </c>
      <c r="B1805" s="42" t="s">
        <v>293</v>
      </c>
      <c r="C1805" s="42" t="s">
        <v>829</v>
      </c>
      <c r="D1805" s="42" t="s">
        <v>181</v>
      </c>
      <c r="E1805" s="42" t="s">
        <v>808</v>
      </c>
      <c r="F1805" s="45">
        <v>1000000</v>
      </c>
      <c r="G1805" s="42" t="s">
        <v>763</v>
      </c>
      <c r="H1805" s="42" t="s">
        <v>145</v>
      </c>
      <c r="I1805" s="42" t="s">
        <v>888</v>
      </c>
    </row>
    <row r="1806" spans="1:9">
      <c r="A1806" s="42" t="s">
        <v>759</v>
      </c>
      <c r="B1806" s="42" t="s">
        <v>239</v>
      </c>
      <c r="C1806" s="42" t="s">
        <v>830</v>
      </c>
      <c r="D1806" s="42" t="s">
        <v>181</v>
      </c>
      <c r="E1806" s="42" t="s">
        <v>808</v>
      </c>
      <c r="F1806" s="45">
        <v>23967000000</v>
      </c>
      <c r="G1806" s="42" t="s">
        <v>763</v>
      </c>
      <c r="H1806" s="42" t="s">
        <v>145</v>
      </c>
      <c r="I1806" s="42" t="s">
        <v>888</v>
      </c>
    </row>
    <row r="1807" spans="1:9">
      <c r="A1807" s="42" t="s">
        <v>759</v>
      </c>
      <c r="B1807" s="42" t="s">
        <v>240</v>
      </c>
      <c r="C1807" s="42" t="s">
        <v>818</v>
      </c>
      <c r="D1807" s="42" t="s">
        <v>181</v>
      </c>
      <c r="E1807" s="42" t="s">
        <v>808</v>
      </c>
      <c r="F1807" s="45">
        <v>489000000</v>
      </c>
      <c r="G1807" s="42" t="s">
        <v>763</v>
      </c>
      <c r="H1807" s="42" t="s">
        <v>145</v>
      </c>
      <c r="I1807" s="42" t="s">
        <v>888</v>
      </c>
    </row>
    <row r="1808" spans="1:9">
      <c r="A1808" s="42" t="s">
        <v>759</v>
      </c>
      <c r="B1808" s="42" t="s">
        <v>241</v>
      </c>
      <c r="C1808" s="42" t="s">
        <v>772</v>
      </c>
      <c r="D1808" s="42" t="s">
        <v>181</v>
      </c>
      <c r="E1808" s="42" t="s">
        <v>808</v>
      </c>
      <c r="F1808" s="45">
        <v>1529000000</v>
      </c>
      <c r="G1808" s="42" t="s">
        <v>763</v>
      </c>
      <c r="H1808" s="42" t="s">
        <v>145</v>
      </c>
      <c r="I1808" s="42" t="s">
        <v>888</v>
      </c>
    </row>
    <row r="1809" spans="1:9">
      <c r="A1809" s="42" t="s">
        <v>759</v>
      </c>
      <c r="B1809" s="42" t="s">
        <v>242</v>
      </c>
      <c r="C1809" s="42" t="s">
        <v>773</v>
      </c>
      <c r="D1809" s="42" t="s">
        <v>181</v>
      </c>
      <c r="E1809" s="42" t="s">
        <v>808</v>
      </c>
      <c r="F1809" s="45">
        <v>7000000</v>
      </c>
      <c r="G1809" s="42" t="s">
        <v>763</v>
      </c>
      <c r="H1809" s="42" t="s">
        <v>145</v>
      </c>
      <c r="I1809" s="42" t="s">
        <v>888</v>
      </c>
    </row>
    <row r="1810" spans="1:9">
      <c r="A1810" s="42" t="s">
        <v>759</v>
      </c>
      <c r="B1810" s="42" t="s">
        <v>292</v>
      </c>
      <c r="C1810" s="42" t="s">
        <v>774</v>
      </c>
      <c r="D1810" s="42" t="s">
        <v>181</v>
      </c>
      <c r="E1810" s="42" t="s">
        <v>808</v>
      </c>
      <c r="F1810" s="45">
        <v>671000000</v>
      </c>
      <c r="G1810" s="42" t="s">
        <v>763</v>
      </c>
      <c r="H1810" s="42" t="s">
        <v>145</v>
      </c>
      <c r="I1810" s="42" t="s">
        <v>888</v>
      </c>
    </row>
    <row r="1811" spans="1:9">
      <c r="A1811" s="42" t="s">
        <v>759</v>
      </c>
      <c r="B1811" s="42" t="s">
        <v>293</v>
      </c>
      <c r="C1811" s="42" t="s">
        <v>775</v>
      </c>
      <c r="D1811" s="42" t="s">
        <v>181</v>
      </c>
      <c r="E1811" s="42" t="s">
        <v>808</v>
      </c>
      <c r="F1811" s="45">
        <v>1890000000</v>
      </c>
      <c r="G1811" s="42" t="s">
        <v>763</v>
      </c>
      <c r="H1811" s="42" t="s">
        <v>145</v>
      </c>
      <c r="I1811" s="42" t="s">
        <v>888</v>
      </c>
    </row>
    <row r="1812" spans="1:9">
      <c r="A1812" s="42" t="s">
        <v>759</v>
      </c>
      <c r="B1812" s="42" t="s">
        <v>862</v>
      </c>
      <c r="C1812" s="42" t="s">
        <v>776</v>
      </c>
      <c r="D1812" s="42" t="s">
        <v>181</v>
      </c>
      <c r="E1812" s="42" t="s">
        <v>808</v>
      </c>
      <c r="F1812" s="45">
        <v>217000000</v>
      </c>
      <c r="G1812" s="42" t="s">
        <v>763</v>
      </c>
      <c r="H1812" s="42" t="s">
        <v>145</v>
      </c>
      <c r="I1812" s="42" t="s">
        <v>888</v>
      </c>
    </row>
    <row r="1813" spans="1:9">
      <c r="A1813" s="42" t="s">
        <v>759</v>
      </c>
      <c r="B1813" s="42" t="s">
        <v>246</v>
      </c>
      <c r="C1813" s="42" t="s">
        <v>777</v>
      </c>
      <c r="D1813" s="42" t="s">
        <v>181</v>
      </c>
      <c r="E1813" s="42" t="s">
        <v>808</v>
      </c>
      <c r="F1813" s="45">
        <v>799000000</v>
      </c>
      <c r="G1813" s="42" t="s">
        <v>763</v>
      </c>
      <c r="H1813" s="42" t="s">
        <v>145</v>
      </c>
      <c r="I1813" s="42" t="s">
        <v>888</v>
      </c>
    </row>
    <row r="1814" spans="1:9">
      <c r="A1814" s="42" t="s">
        <v>759</v>
      </c>
      <c r="B1814" s="42" t="s">
        <v>247</v>
      </c>
      <c r="C1814" s="42" t="s">
        <v>778</v>
      </c>
      <c r="D1814" s="42" t="s">
        <v>181</v>
      </c>
      <c r="E1814" s="42" t="s">
        <v>808</v>
      </c>
      <c r="F1814" s="45">
        <v>5602000000</v>
      </c>
      <c r="G1814" s="42" t="s">
        <v>763</v>
      </c>
      <c r="H1814" s="42" t="s">
        <v>145</v>
      </c>
      <c r="I1814" s="42" t="s">
        <v>888</v>
      </c>
    </row>
    <row r="1815" spans="1:9">
      <c r="A1815" s="42" t="s">
        <v>759</v>
      </c>
      <c r="B1815" s="42" t="s">
        <v>248</v>
      </c>
      <c r="C1815" s="42" t="s">
        <v>779</v>
      </c>
      <c r="D1815" s="42" t="s">
        <v>181</v>
      </c>
      <c r="E1815" s="42" t="s">
        <v>808</v>
      </c>
      <c r="F1815" s="45">
        <v>29569000000</v>
      </c>
      <c r="G1815" s="42" t="s">
        <v>763</v>
      </c>
      <c r="H1815" s="42" t="s">
        <v>145</v>
      </c>
      <c r="I1815" s="42" t="s">
        <v>888</v>
      </c>
    </row>
    <row r="1816" spans="1:9">
      <c r="A1816" s="42" t="s">
        <v>759</v>
      </c>
      <c r="B1816" s="42" t="s">
        <v>297</v>
      </c>
      <c r="C1816" s="42" t="s">
        <v>781</v>
      </c>
      <c r="D1816" s="42" t="s">
        <v>181</v>
      </c>
      <c r="E1816" s="42" t="s">
        <v>808</v>
      </c>
      <c r="F1816" s="45">
        <v>4506000000</v>
      </c>
      <c r="G1816" s="42" t="s">
        <v>763</v>
      </c>
      <c r="H1816" s="42" t="s">
        <v>145</v>
      </c>
      <c r="I1816" s="42" t="s">
        <v>888</v>
      </c>
    </row>
    <row r="1817" spans="1:9">
      <c r="A1817" s="42" t="s">
        <v>759</v>
      </c>
      <c r="B1817" s="42" t="s">
        <v>298</v>
      </c>
      <c r="C1817" s="42" t="s">
        <v>855</v>
      </c>
      <c r="D1817" s="42" t="s">
        <v>181</v>
      </c>
      <c r="E1817" s="42" t="s">
        <v>808</v>
      </c>
      <c r="F1817" s="45">
        <v>6906000000</v>
      </c>
      <c r="G1817" s="42" t="s">
        <v>763</v>
      </c>
      <c r="H1817" s="42" t="s">
        <v>145</v>
      </c>
      <c r="I1817" s="42" t="s">
        <v>888</v>
      </c>
    </row>
    <row r="1818" spans="1:9">
      <c r="A1818" s="42" t="s">
        <v>759</v>
      </c>
      <c r="B1818" s="42" t="s">
        <v>260</v>
      </c>
      <c r="C1818" s="42" t="s">
        <v>784</v>
      </c>
      <c r="D1818" s="42" t="s">
        <v>181</v>
      </c>
      <c r="E1818" s="42" t="s">
        <v>808</v>
      </c>
      <c r="F1818" s="45">
        <v>11412000000</v>
      </c>
      <c r="G1818" s="42" t="s">
        <v>763</v>
      </c>
      <c r="H1818" s="42" t="s">
        <v>145</v>
      </c>
      <c r="I1818" s="42" t="s">
        <v>888</v>
      </c>
    </row>
    <row r="1819" spans="1:9">
      <c r="A1819" s="42" t="s">
        <v>759</v>
      </c>
      <c r="B1819" s="42" t="s">
        <v>261</v>
      </c>
      <c r="C1819" s="42" t="s">
        <v>785</v>
      </c>
      <c r="D1819" s="42" t="s">
        <v>181</v>
      </c>
      <c r="E1819" s="42" t="s">
        <v>808</v>
      </c>
      <c r="F1819" s="45">
        <v>222000000</v>
      </c>
      <c r="G1819" s="42" t="s">
        <v>763</v>
      </c>
      <c r="H1819" s="42" t="s">
        <v>145</v>
      </c>
      <c r="I1819" s="42" t="s">
        <v>888</v>
      </c>
    </row>
    <row r="1820" spans="1:9">
      <c r="A1820" s="42" t="s">
        <v>759</v>
      </c>
      <c r="B1820" s="42" t="s">
        <v>262</v>
      </c>
      <c r="C1820" s="42" t="s">
        <v>787</v>
      </c>
      <c r="D1820" s="42" t="s">
        <v>181</v>
      </c>
      <c r="E1820" s="42" t="s">
        <v>808</v>
      </c>
      <c r="F1820" s="45">
        <v>11634000000</v>
      </c>
      <c r="G1820" s="42" t="s">
        <v>763</v>
      </c>
      <c r="H1820" s="42" t="s">
        <v>145</v>
      </c>
      <c r="I1820" s="42" t="s">
        <v>888</v>
      </c>
    </row>
    <row r="1821" spans="1:9">
      <c r="A1821" s="42" t="s">
        <v>759</v>
      </c>
      <c r="B1821" s="42" t="s">
        <v>301</v>
      </c>
      <c r="C1821" s="42" t="s">
        <v>832</v>
      </c>
      <c r="D1821" s="42" t="s">
        <v>181</v>
      </c>
      <c r="E1821" s="42" t="s">
        <v>808</v>
      </c>
      <c r="F1821" s="45">
        <v>1123000000</v>
      </c>
      <c r="G1821" s="42" t="s">
        <v>763</v>
      </c>
      <c r="H1821" s="42" t="s">
        <v>145</v>
      </c>
      <c r="I1821" s="42" t="s">
        <v>888</v>
      </c>
    </row>
    <row r="1822" spans="1:9">
      <c r="A1822" s="42" t="s">
        <v>759</v>
      </c>
      <c r="B1822" s="42" t="s">
        <v>302</v>
      </c>
      <c r="C1822" s="42" t="s">
        <v>834</v>
      </c>
      <c r="D1822" s="42" t="s">
        <v>181</v>
      </c>
      <c r="E1822" s="42" t="s">
        <v>808</v>
      </c>
      <c r="F1822" s="45">
        <v>166000000</v>
      </c>
      <c r="G1822" s="42" t="s">
        <v>763</v>
      </c>
      <c r="H1822" s="42" t="s">
        <v>145</v>
      </c>
      <c r="I1822" s="42" t="s">
        <v>888</v>
      </c>
    </row>
    <row r="1823" spans="1:9">
      <c r="A1823" s="42" t="s">
        <v>759</v>
      </c>
      <c r="B1823" s="42" t="s">
        <v>303</v>
      </c>
      <c r="C1823" s="42" t="s">
        <v>833</v>
      </c>
      <c r="D1823" s="42" t="s">
        <v>181</v>
      </c>
      <c r="E1823" s="42" t="s">
        <v>808</v>
      </c>
      <c r="F1823" s="45">
        <v>389000000</v>
      </c>
      <c r="G1823" s="42" t="s">
        <v>763</v>
      </c>
      <c r="H1823" s="42" t="s">
        <v>145</v>
      </c>
      <c r="I1823" s="42" t="s">
        <v>888</v>
      </c>
    </row>
    <row r="1824" spans="1:9">
      <c r="A1824" s="42" t="s">
        <v>759</v>
      </c>
      <c r="B1824" s="42" t="s">
        <v>304</v>
      </c>
      <c r="C1824" s="42" t="s">
        <v>835</v>
      </c>
      <c r="D1824" s="42" t="s">
        <v>181</v>
      </c>
      <c r="E1824" s="42" t="s">
        <v>808</v>
      </c>
      <c r="F1824" s="45">
        <v>1000000</v>
      </c>
      <c r="G1824" s="42" t="s">
        <v>763</v>
      </c>
      <c r="H1824" s="42" t="s">
        <v>145</v>
      </c>
      <c r="I1824" s="42" t="s">
        <v>888</v>
      </c>
    </row>
    <row r="1825" spans="1:9">
      <c r="A1825" s="42" t="s">
        <v>759</v>
      </c>
      <c r="B1825" s="42" t="s">
        <v>306</v>
      </c>
      <c r="C1825" s="42" t="s">
        <v>857</v>
      </c>
      <c r="D1825" s="42" t="s">
        <v>181</v>
      </c>
      <c r="E1825" s="42" t="s">
        <v>808</v>
      </c>
      <c r="F1825" s="45">
        <v>26000000</v>
      </c>
      <c r="G1825" s="42" t="s">
        <v>763</v>
      </c>
      <c r="H1825" s="42" t="s">
        <v>145</v>
      </c>
      <c r="I1825" s="42" t="s">
        <v>888</v>
      </c>
    </row>
    <row r="1826" spans="1:9">
      <c r="A1826" s="42" t="s">
        <v>759</v>
      </c>
      <c r="B1826" s="42" t="s">
        <v>307</v>
      </c>
      <c r="C1826" s="42" t="s">
        <v>838</v>
      </c>
      <c r="D1826" s="42" t="s">
        <v>181</v>
      </c>
      <c r="E1826" s="42" t="s">
        <v>808</v>
      </c>
      <c r="F1826" s="45">
        <v>314000000</v>
      </c>
      <c r="G1826" s="42" t="s">
        <v>763</v>
      </c>
      <c r="H1826" s="42" t="s">
        <v>145</v>
      </c>
      <c r="I1826" s="42" t="s">
        <v>888</v>
      </c>
    </row>
    <row r="1827" spans="1:9">
      <c r="A1827" s="42" t="s">
        <v>759</v>
      </c>
      <c r="B1827" s="42" t="s">
        <v>308</v>
      </c>
      <c r="C1827" s="42" t="s">
        <v>839</v>
      </c>
      <c r="D1827" s="42" t="s">
        <v>181</v>
      </c>
      <c r="E1827" s="42" t="s">
        <v>808</v>
      </c>
      <c r="F1827" s="45">
        <v>7958000000</v>
      </c>
      <c r="G1827" s="42" t="s">
        <v>763</v>
      </c>
      <c r="H1827" s="42" t="s">
        <v>145</v>
      </c>
      <c r="I1827" s="42" t="s">
        <v>888</v>
      </c>
    </row>
    <row r="1828" spans="1:9">
      <c r="A1828" s="42" t="s">
        <v>759</v>
      </c>
      <c r="B1828" s="42" t="s">
        <v>309</v>
      </c>
      <c r="C1828" s="42" t="s">
        <v>840</v>
      </c>
      <c r="D1828" s="42" t="s">
        <v>181</v>
      </c>
      <c r="E1828" s="42" t="s">
        <v>808</v>
      </c>
      <c r="F1828" s="45">
        <v>452000000</v>
      </c>
      <c r="G1828" s="42" t="s">
        <v>763</v>
      </c>
      <c r="H1828" s="42" t="s">
        <v>145</v>
      </c>
      <c r="I1828" s="42" t="s">
        <v>888</v>
      </c>
    </row>
    <row r="1829" spans="1:9">
      <c r="A1829" s="42" t="s">
        <v>759</v>
      </c>
      <c r="B1829" s="42" t="s">
        <v>310</v>
      </c>
      <c r="C1829" s="42" t="s">
        <v>841</v>
      </c>
      <c r="D1829" s="42" t="s">
        <v>181</v>
      </c>
      <c r="E1829" s="42" t="s">
        <v>808</v>
      </c>
      <c r="F1829" s="45">
        <v>6000000</v>
      </c>
      <c r="G1829" s="42" t="s">
        <v>763</v>
      </c>
      <c r="H1829" s="42" t="s">
        <v>145</v>
      </c>
      <c r="I1829" s="42" t="s">
        <v>888</v>
      </c>
    </row>
    <row r="1830" spans="1:9">
      <c r="A1830" s="42" t="s">
        <v>759</v>
      </c>
      <c r="B1830" s="42" t="s">
        <v>273</v>
      </c>
      <c r="C1830" s="42" t="s">
        <v>842</v>
      </c>
      <c r="D1830" s="42" t="s">
        <v>181</v>
      </c>
      <c r="E1830" s="42" t="s">
        <v>808</v>
      </c>
      <c r="F1830" s="45">
        <v>10435000000</v>
      </c>
      <c r="G1830" s="42" t="s">
        <v>763</v>
      </c>
      <c r="H1830" s="42" t="s">
        <v>145</v>
      </c>
      <c r="I1830" s="42" t="s">
        <v>888</v>
      </c>
    </row>
    <row r="1831" spans="1:9">
      <c r="A1831" s="42" t="s">
        <v>759</v>
      </c>
      <c r="B1831" s="42" t="s">
        <v>274</v>
      </c>
      <c r="C1831" s="42" t="s">
        <v>889</v>
      </c>
      <c r="D1831" s="42" t="s">
        <v>181</v>
      </c>
      <c r="E1831" s="42" t="s">
        <v>808</v>
      </c>
      <c r="F1831" s="45">
        <v>914000000</v>
      </c>
      <c r="G1831" s="42" t="s">
        <v>763</v>
      </c>
      <c r="H1831" s="42" t="s">
        <v>145</v>
      </c>
      <c r="I1831" s="42" t="s">
        <v>888</v>
      </c>
    </row>
    <row r="1832" spans="1:9">
      <c r="A1832" s="42" t="s">
        <v>759</v>
      </c>
      <c r="B1832" s="42" t="s">
        <v>301</v>
      </c>
      <c r="C1832" s="42" t="s">
        <v>795</v>
      </c>
      <c r="D1832" s="42" t="s">
        <v>181</v>
      </c>
      <c r="E1832" s="42" t="s">
        <v>808</v>
      </c>
      <c r="F1832" s="45">
        <v>132000000</v>
      </c>
      <c r="G1832" s="42" t="s">
        <v>763</v>
      </c>
      <c r="H1832" s="42" t="s">
        <v>145</v>
      </c>
      <c r="I1832" s="42" t="s">
        <v>888</v>
      </c>
    </row>
    <row r="1833" spans="1:9">
      <c r="A1833" s="42" t="s">
        <v>759</v>
      </c>
      <c r="B1833" s="42" t="s">
        <v>302</v>
      </c>
      <c r="C1833" s="42" t="s">
        <v>797</v>
      </c>
      <c r="D1833" s="42" t="s">
        <v>181</v>
      </c>
      <c r="E1833" s="42" t="s">
        <v>808</v>
      </c>
      <c r="F1833" s="45">
        <v>117000000</v>
      </c>
      <c r="G1833" s="42" t="s">
        <v>763</v>
      </c>
      <c r="H1833" s="42" t="s">
        <v>145</v>
      </c>
      <c r="I1833" s="42" t="s">
        <v>888</v>
      </c>
    </row>
    <row r="1834" spans="1:9">
      <c r="A1834" s="42" t="s">
        <v>759</v>
      </c>
      <c r="B1834" s="42" t="s">
        <v>304</v>
      </c>
      <c r="C1834" s="42" t="s">
        <v>796</v>
      </c>
      <c r="D1834" s="42" t="s">
        <v>181</v>
      </c>
      <c r="E1834" s="42" t="s">
        <v>808</v>
      </c>
      <c r="F1834" s="45">
        <v>20000000</v>
      </c>
      <c r="G1834" s="42" t="s">
        <v>763</v>
      </c>
      <c r="H1834" s="42" t="s">
        <v>145</v>
      </c>
      <c r="I1834" s="42" t="s">
        <v>888</v>
      </c>
    </row>
    <row r="1835" spans="1:9">
      <c r="A1835" s="42" t="s">
        <v>759</v>
      </c>
      <c r="B1835" s="42" t="s">
        <v>305</v>
      </c>
      <c r="C1835" s="42" t="s">
        <v>798</v>
      </c>
      <c r="D1835" s="42" t="s">
        <v>181</v>
      </c>
      <c r="E1835" s="42" t="s">
        <v>808</v>
      </c>
      <c r="F1835" s="45">
        <v>248000000</v>
      </c>
      <c r="G1835" s="42" t="s">
        <v>763</v>
      </c>
      <c r="H1835" s="42" t="s">
        <v>145</v>
      </c>
      <c r="I1835" s="42" t="s">
        <v>888</v>
      </c>
    </row>
    <row r="1836" spans="1:9">
      <c r="A1836" s="42" t="s">
        <v>759</v>
      </c>
      <c r="B1836" s="42" t="s">
        <v>306</v>
      </c>
      <c r="C1836" s="42" t="s">
        <v>799</v>
      </c>
      <c r="D1836" s="42" t="s">
        <v>181</v>
      </c>
      <c r="E1836" s="42" t="s">
        <v>808</v>
      </c>
      <c r="F1836" s="45">
        <v>326000000</v>
      </c>
      <c r="G1836" s="42" t="s">
        <v>763</v>
      </c>
      <c r="H1836" s="42" t="s">
        <v>145</v>
      </c>
      <c r="I1836" s="42" t="s">
        <v>888</v>
      </c>
    </row>
    <row r="1837" spans="1:9">
      <c r="A1837" s="42" t="s">
        <v>759</v>
      </c>
      <c r="B1837" s="42" t="s">
        <v>307</v>
      </c>
      <c r="C1837" s="42" t="s">
        <v>843</v>
      </c>
      <c r="D1837" s="42" t="s">
        <v>181</v>
      </c>
      <c r="E1837" s="42" t="s">
        <v>808</v>
      </c>
      <c r="F1837" s="45">
        <v>311000000</v>
      </c>
      <c r="G1837" s="42" t="s">
        <v>763</v>
      </c>
      <c r="H1837" s="42" t="s">
        <v>145</v>
      </c>
      <c r="I1837" s="42" t="s">
        <v>888</v>
      </c>
    </row>
    <row r="1838" spans="1:9">
      <c r="A1838" s="42" t="s">
        <v>759</v>
      </c>
      <c r="B1838" s="42" t="s">
        <v>308</v>
      </c>
      <c r="C1838" s="42" t="s">
        <v>800</v>
      </c>
      <c r="D1838" s="42" t="s">
        <v>181</v>
      </c>
      <c r="E1838" s="42" t="s">
        <v>808</v>
      </c>
      <c r="F1838" s="45">
        <v>2653000000</v>
      </c>
      <c r="G1838" s="42" t="s">
        <v>763</v>
      </c>
      <c r="H1838" s="42" t="s">
        <v>145</v>
      </c>
      <c r="I1838" s="42" t="s">
        <v>888</v>
      </c>
    </row>
    <row r="1839" spans="1:9">
      <c r="A1839" s="42" t="s">
        <v>759</v>
      </c>
      <c r="B1839" s="42" t="s">
        <v>309</v>
      </c>
      <c r="C1839" s="42" t="s">
        <v>801</v>
      </c>
      <c r="D1839" s="42" t="s">
        <v>181</v>
      </c>
      <c r="E1839" s="42" t="s">
        <v>808</v>
      </c>
      <c r="F1839" s="45">
        <v>372000000</v>
      </c>
      <c r="G1839" s="42" t="s">
        <v>763</v>
      </c>
      <c r="H1839" s="42" t="s">
        <v>145</v>
      </c>
      <c r="I1839" s="42" t="s">
        <v>888</v>
      </c>
    </row>
    <row r="1840" spans="1:9">
      <c r="A1840" s="42" t="s">
        <v>759</v>
      </c>
      <c r="B1840" s="42" t="s">
        <v>310</v>
      </c>
      <c r="C1840" s="42" t="s">
        <v>802</v>
      </c>
      <c r="D1840" s="42" t="s">
        <v>181</v>
      </c>
      <c r="E1840" s="42" t="s">
        <v>808</v>
      </c>
      <c r="F1840" s="45">
        <v>2407000000</v>
      </c>
      <c r="G1840" s="42" t="s">
        <v>763</v>
      </c>
      <c r="H1840" s="42" t="s">
        <v>145</v>
      </c>
      <c r="I1840" s="42" t="s">
        <v>888</v>
      </c>
    </row>
    <row r="1841" spans="1:9">
      <c r="A1841" s="42" t="s">
        <v>759</v>
      </c>
      <c r="B1841" s="42" t="s">
        <v>284</v>
      </c>
      <c r="C1841" s="42" t="s">
        <v>803</v>
      </c>
      <c r="D1841" s="42" t="s">
        <v>181</v>
      </c>
      <c r="E1841" s="42" t="s">
        <v>808</v>
      </c>
      <c r="F1841" s="45">
        <v>7500000000</v>
      </c>
      <c r="G1841" s="42" t="s">
        <v>763</v>
      </c>
      <c r="H1841" s="42" t="s">
        <v>145</v>
      </c>
      <c r="I1841" s="42" t="s">
        <v>888</v>
      </c>
    </row>
    <row r="1842" spans="1:9">
      <c r="A1842" s="42" t="s">
        <v>759</v>
      </c>
      <c r="B1842" s="42" t="s">
        <v>285</v>
      </c>
      <c r="C1842" s="42" t="s">
        <v>804</v>
      </c>
      <c r="D1842" s="42" t="s">
        <v>181</v>
      </c>
      <c r="E1842" s="42" t="s">
        <v>808</v>
      </c>
      <c r="F1842" s="45">
        <v>17935000000</v>
      </c>
      <c r="G1842" s="42" t="s">
        <v>763</v>
      </c>
      <c r="H1842" s="42" t="s">
        <v>145</v>
      </c>
      <c r="I1842" s="42" t="s">
        <v>888</v>
      </c>
    </row>
    <row r="1843" spans="1:9">
      <c r="A1843" s="42" t="s">
        <v>759</v>
      </c>
      <c r="B1843" s="42" t="s">
        <v>286</v>
      </c>
      <c r="C1843" s="42" t="s">
        <v>806</v>
      </c>
      <c r="D1843" s="42" t="s">
        <v>181</v>
      </c>
      <c r="E1843" s="42" t="s">
        <v>808</v>
      </c>
      <c r="F1843" s="45">
        <v>29569000000</v>
      </c>
      <c r="G1843" s="42" t="s">
        <v>763</v>
      </c>
      <c r="H1843" s="42" t="s">
        <v>145</v>
      </c>
      <c r="I1843" s="42" t="s">
        <v>888</v>
      </c>
    </row>
    <row r="1844" spans="1:9">
      <c r="A1844" s="42" t="s">
        <v>759</v>
      </c>
      <c r="B1844" s="42" t="s">
        <v>287</v>
      </c>
      <c r="C1844" s="42" t="s">
        <v>821</v>
      </c>
      <c r="D1844" s="42" t="s">
        <v>182</v>
      </c>
      <c r="E1844" s="42" t="s">
        <v>808</v>
      </c>
      <c r="F1844" s="45">
        <v>1068000000</v>
      </c>
      <c r="G1844" s="42" t="s">
        <v>763</v>
      </c>
      <c r="H1844" s="42" t="s">
        <v>153</v>
      </c>
      <c r="I1844" s="42" t="s">
        <v>893</v>
      </c>
    </row>
    <row r="1845" spans="1:9">
      <c r="A1845" s="42" t="s">
        <v>759</v>
      </c>
      <c r="B1845" s="42" t="s">
        <v>288</v>
      </c>
      <c r="C1845" s="42" t="s">
        <v>823</v>
      </c>
      <c r="D1845" s="42" t="s">
        <v>182</v>
      </c>
      <c r="E1845" s="42" t="s">
        <v>808</v>
      </c>
      <c r="F1845" s="45">
        <v>19085000000</v>
      </c>
      <c r="G1845" s="42" t="s">
        <v>763</v>
      </c>
      <c r="H1845" s="42" t="s">
        <v>153</v>
      </c>
      <c r="I1845" s="42" t="s">
        <v>893</v>
      </c>
    </row>
    <row r="1846" spans="1:9">
      <c r="A1846" s="42" t="s">
        <v>759</v>
      </c>
      <c r="B1846" s="42" t="s">
        <v>289</v>
      </c>
      <c r="C1846" s="42" t="s">
        <v>825</v>
      </c>
      <c r="D1846" s="42" t="s">
        <v>182</v>
      </c>
      <c r="E1846" s="42" t="s">
        <v>808</v>
      </c>
      <c r="F1846" s="45">
        <v>537000000</v>
      </c>
      <c r="G1846" s="42" t="s">
        <v>763</v>
      </c>
      <c r="H1846" s="42" t="s">
        <v>153</v>
      </c>
      <c r="I1846" s="42" t="s">
        <v>893</v>
      </c>
    </row>
    <row r="1847" spans="1:9">
      <c r="A1847" s="42" t="s">
        <v>759</v>
      </c>
      <c r="B1847" s="42" t="s">
        <v>290</v>
      </c>
      <c r="C1847" s="42" t="s">
        <v>826</v>
      </c>
      <c r="D1847" s="42" t="s">
        <v>182</v>
      </c>
      <c r="E1847" s="42" t="s">
        <v>808</v>
      </c>
      <c r="F1847" s="45">
        <v>1610000000</v>
      </c>
      <c r="G1847" s="42" t="s">
        <v>763</v>
      </c>
      <c r="H1847" s="42" t="s">
        <v>153</v>
      </c>
      <c r="I1847" s="42" t="s">
        <v>893</v>
      </c>
    </row>
    <row r="1848" spans="1:9">
      <c r="A1848" s="42" t="s">
        <v>759</v>
      </c>
      <c r="B1848" s="42" t="s">
        <v>291</v>
      </c>
      <c r="C1848" s="42" t="s">
        <v>827</v>
      </c>
      <c r="D1848" s="42" t="s">
        <v>182</v>
      </c>
      <c r="E1848" s="42" t="s">
        <v>808</v>
      </c>
      <c r="F1848" s="45">
        <v>9000000</v>
      </c>
      <c r="G1848" s="42" t="s">
        <v>763</v>
      </c>
      <c r="H1848" s="42" t="s">
        <v>153</v>
      </c>
      <c r="I1848" s="42" t="s">
        <v>893</v>
      </c>
    </row>
    <row r="1849" spans="1:9">
      <c r="A1849" s="42" t="s">
        <v>759</v>
      </c>
      <c r="B1849" s="42" t="s">
        <v>292</v>
      </c>
      <c r="C1849" s="42" t="s">
        <v>828</v>
      </c>
      <c r="D1849" s="42" t="s">
        <v>182</v>
      </c>
      <c r="E1849" s="42" t="s">
        <v>808</v>
      </c>
      <c r="F1849" s="45">
        <v>648000000</v>
      </c>
      <c r="G1849" s="42" t="s">
        <v>763</v>
      </c>
      <c r="H1849" s="42" t="s">
        <v>153</v>
      </c>
      <c r="I1849" s="42" t="s">
        <v>893</v>
      </c>
    </row>
    <row r="1850" spans="1:9">
      <c r="A1850" s="42" t="s">
        <v>759</v>
      </c>
      <c r="B1850" s="42" t="s">
        <v>293</v>
      </c>
      <c r="C1850" s="42" t="s">
        <v>829</v>
      </c>
      <c r="D1850" s="42" t="s">
        <v>182</v>
      </c>
      <c r="E1850" s="42" t="s">
        <v>808</v>
      </c>
      <c r="F1850" s="45">
        <v>5000000</v>
      </c>
      <c r="G1850" s="42" t="s">
        <v>763</v>
      </c>
      <c r="H1850" s="42" t="s">
        <v>153</v>
      </c>
      <c r="I1850" s="42" t="s">
        <v>893</v>
      </c>
    </row>
    <row r="1851" spans="1:9">
      <c r="A1851" s="42" t="s">
        <v>759</v>
      </c>
      <c r="B1851" s="42" t="s">
        <v>239</v>
      </c>
      <c r="C1851" s="42" t="s">
        <v>830</v>
      </c>
      <c r="D1851" s="42" t="s">
        <v>182</v>
      </c>
      <c r="E1851" s="42" t="s">
        <v>808</v>
      </c>
      <c r="F1851" s="45">
        <v>22962000000</v>
      </c>
      <c r="G1851" s="42" t="s">
        <v>763</v>
      </c>
      <c r="H1851" s="42" t="s">
        <v>153</v>
      </c>
      <c r="I1851" s="42" t="s">
        <v>893</v>
      </c>
    </row>
    <row r="1852" spans="1:9">
      <c r="A1852" s="42" t="s">
        <v>759</v>
      </c>
      <c r="B1852" s="42" t="s">
        <v>240</v>
      </c>
      <c r="C1852" s="42" t="s">
        <v>818</v>
      </c>
      <c r="D1852" s="42" t="s">
        <v>182</v>
      </c>
      <c r="E1852" s="42" t="s">
        <v>808</v>
      </c>
      <c r="F1852" s="45">
        <v>1019000000</v>
      </c>
      <c r="G1852" s="42" t="s">
        <v>763</v>
      </c>
      <c r="H1852" s="42" t="s">
        <v>153</v>
      </c>
      <c r="I1852" s="42" t="s">
        <v>893</v>
      </c>
    </row>
    <row r="1853" spans="1:9">
      <c r="A1853" s="42" t="s">
        <v>759</v>
      </c>
      <c r="B1853" s="42" t="s">
        <v>241</v>
      </c>
      <c r="C1853" s="42" t="s">
        <v>772</v>
      </c>
      <c r="D1853" s="42" t="s">
        <v>182</v>
      </c>
      <c r="E1853" s="42" t="s">
        <v>808</v>
      </c>
      <c r="F1853" s="45">
        <v>1447000000</v>
      </c>
      <c r="G1853" s="42" t="s">
        <v>763</v>
      </c>
      <c r="H1853" s="42" t="s">
        <v>153</v>
      </c>
      <c r="I1853" s="42" t="s">
        <v>893</v>
      </c>
    </row>
    <row r="1854" spans="1:9">
      <c r="A1854" s="42" t="s">
        <v>759</v>
      </c>
      <c r="B1854" s="42" t="s">
        <v>242</v>
      </c>
      <c r="C1854" s="42" t="s">
        <v>773</v>
      </c>
      <c r="D1854" s="42" t="s">
        <v>182</v>
      </c>
      <c r="E1854" s="42" t="s">
        <v>808</v>
      </c>
      <c r="F1854" s="45">
        <v>3000000</v>
      </c>
      <c r="G1854" s="42" t="s">
        <v>763</v>
      </c>
      <c r="H1854" s="42" t="s">
        <v>153</v>
      </c>
      <c r="I1854" s="42" t="s">
        <v>893</v>
      </c>
    </row>
    <row r="1855" spans="1:9">
      <c r="A1855" s="42" t="s">
        <v>759</v>
      </c>
      <c r="B1855" s="42" t="s">
        <v>292</v>
      </c>
      <c r="C1855" s="42" t="s">
        <v>774</v>
      </c>
      <c r="D1855" s="42" t="s">
        <v>182</v>
      </c>
      <c r="E1855" s="42" t="s">
        <v>808</v>
      </c>
      <c r="F1855" s="45">
        <v>1159000000</v>
      </c>
      <c r="G1855" s="42" t="s">
        <v>763</v>
      </c>
      <c r="H1855" s="42" t="s">
        <v>153</v>
      </c>
      <c r="I1855" s="42" t="s">
        <v>893</v>
      </c>
    </row>
    <row r="1856" spans="1:9">
      <c r="A1856" s="42" t="s">
        <v>759</v>
      </c>
      <c r="B1856" s="42" t="s">
        <v>293</v>
      </c>
      <c r="C1856" s="42" t="s">
        <v>775</v>
      </c>
      <c r="D1856" s="42" t="s">
        <v>182</v>
      </c>
      <c r="E1856" s="42" t="s">
        <v>808</v>
      </c>
      <c r="F1856" s="45">
        <v>1654000000</v>
      </c>
      <c r="G1856" s="42" t="s">
        <v>763</v>
      </c>
      <c r="H1856" s="42" t="s">
        <v>153</v>
      </c>
      <c r="I1856" s="42" t="s">
        <v>893</v>
      </c>
    </row>
    <row r="1857" spans="1:9">
      <c r="A1857" s="42" t="s">
        <v>759</v>
      </c>
      <c r="B1857" s="42" t="s">
        <v>862</v>
      </c>
      <c r="C1857" s="42" t="s">
        <v>776</v>
      </c>
      <c r="D1857" s="42" t="s">
        <v>182</v>
      </c>
      <c r="E1857" s="42" t="s">
        <v>808</v>
      </c>
      <c r="F1857" s="45">
        <v>262000000</v>
      </c>
      <c r="G1857" s="42" t="s">
        <v>763</v>
      </c>
      <c r="H1857" s="42" t="s">
        <v>153</v>
      </c>
      <c r="I1857" s="42" t="s">
        <v>893</v>
      </c>
    </row>
    <row r="1858" spans="1:9">
      <c r="A1858" s="42" t="s">
        <v>759</v>
      </c>
      <c r="B1858" s="42" t="s">
        <v>246</v>
      </c>
      <c r="C1858" s="42" t="s">
        <v>777</v>
      </c>
      <c r="D1858" s="42" t="s">
        <v>182</v>
      </c>
      <c r="E1858" s="42" t="s">
        <v>808</v>
      </c>
      <c r="F1858" s="45">
        <v>933000000</v>
      </c>
      <c r="G1858" s="42" t="s">
        <v>763</v>
      </c>
      <c r="H1858" s="42" t="s">
        <v>153</v>
      </c>
      <c r="I1858" s="42" t="s">
        <v>893</v>
      </c>
    </row>
    <row r="1859" spans="1:9">
      <c r="A1859" s="42" t="s">
        <v>759</v>
      </c>
      <c r="B1859" s="42" t="s">
        <v>247</v>
      </c>
      <c r="C1859" s="42" t="s">
        <v>778</v>
      </c>
      <c r="D1859" s="42" t="s">
        <v>182</v>
      </c>
      <c r="E1859" s="42" t="s">
        <v>808</v>
      </c>
      <c r="F1859" s="45">
        <v>6477000000</v>
      </c>
      <c r="G1859" s="42" t="s">
        <v>763</v>
      </c>
      <c r="H1859" s="42" t="s">
        <v>153</v>
      </c>
      <c r="I1859" s="42" t="s">
        <v>893</v>
      </c>
    </row>
    <row r="1860" spans="1:9">
      <c r="A1860" s="42" t="s">
        <v>759</v>
      </c>
      <c r="B1860" s="42" t="s">
        <v>248</v>
      </c>
      <c r="C1860" s="42" t="s">
        <v>779</v>
      </c>
      <c r="D1860" s="42" t="s">
        <v>182</v>
      </c>
      <c r="E1860" s="42" t="s">
        <v>808</v>
      </c>
      <c r="F1860" s="45">
        <v>29439000000</v>
      </c>
      <c r="G1860" s="42" t="s">
        <v>763</v>
      </c>
      <c r="H1860" s="42" t="s">
        <v>153</v>
      </c>
      <c r="I1860" s="42" t="s">
        <v>893</v>
      </c>
    </row>
    <row r="1861" spans="1:9">
      <c r="A1861" s="42" t="s">
        <v>759</v>
      </c>
      <c r="B1861" s="42" t="s">
        <v>249</v>
      </c>
      <c r="C1861" s="42" t="s">
        <v>872</v>
      </c>
      <c r="D1861" s="42" t="s">
        <v>182</v>
      </c>
      <c r="E1861" s="42" t="s">
        <v>808</v>
      </c>
      <c r="F1861" s="45">
        <v>3921000000</v>
      </c>
      <c r="G1861" s="42" t="s">
        <v>763</v>
      </c>
      <c r="H1861" s="42" t="s">
        <v>153</v>
      </c>
      <c r="I1861" s="42" t="s">
        <v>893</v>
      </c>
    </row>
    <row r="1862" spans="1:9">
      <c r="A1862" s="42" t="s">
        <v>759</v>
      </c>
      <c r="B1862" s="42" t="s">
        <v>250</v>
      </c>
      <c r="C1862" s="42" t="s">
        <v>873</v>
      </c>
      <c r="D1862" s="42" t="s">
        <v>182</v>
      </c>
      <c r="E1862" s="42" t="s">
        <v>808</v>
      </c>
      <c r="F1862" s="45">
        <v>12000000</v>
      </c>
      <c r="G1862" s="42" t="s">
        <v>763</v>
      </c>
      <c r="H1862" s="42" t="s">
        <v>153</v>
      </c>
      <c r="I1862" s="42" t="s">
        <v>893</v>
      </c>
    </row>
    <row r="1863" spans="1:9">
      <c r="A1863" s="42" t="s">
        <v>759</v>
      </c>
      <c r="B1863" s="42" t="s">
        <v>251</v>
      </c>
      <c r="C1863" s="42" t="s">
        <v>874</v>
      </c>
      <c r="D1863" s="42" t="s">
        <v>182</v>
      </c>
      <c r="E1863" s="42" t="s">
        <v>808</v>
      </c>
      <c r="F1863" s="45">
        <v>7000000</v>
      </c>
      <c r="G1863" s="42" t="s">
        <v>763</v>
      </c>
      <c r="H1863" s="42" t="s">
        <v>153</v>
      </c>
      <c r="I1863" s="42" t="s">
        <v>893</v>
      </c>
    </row>
    <row r="1864" spans="1:9">
      <c r="A1864" s="42" t="s">
        <v>759</v>
      </c>
      <c r="B1864" s="42" t="s">
        <v>252</v>
      </c>
      <c r="C1864" s="42" t="s">
        <v>875</v>
      </c>
      <c r="D1864" s="42" t="s">
        <v>182</v>
      </c>
      <c r="E1864" s="42" t="s">
        <v>808</v>
      </c>
      <c r="F1864" s="45">
        <v>-35000000</v>
      </c>
      <c r="G1864" s="42" t="s">
        <v>763</v>
      </c>
      <c r="H1864" s="42" t="s">
        <v>153</v>
      </c>
      <c r="I1864" s="42" t="s">
        <v>893</v>
      </c>
    </row>
    <row r="1865" spans="1:9">
      <c r="A1865" s="42" t="s">
        <v>759</v>
      </c>
      <c r="B1865" s="42" t="s">
        <v>253</v>
      </c>
      <c r="C1865" s="42" t="s">
        <v>876</v>
      </c>
      <c r="D1865" s="42" t="s">
        <v>182</v>
      </c>
      <c r="E1865" s="42" t="s">
        <v>808</v>
      </c>
      <c r="F1865" s="45">
        <v>-44000000</v>
      </c>
      <c r="G1865" s="42" t="s">
        <v>763</v>
      </c>
      <c r="H1865" s="42" t="s">
        <v>153</v>
      </c>
      <c r="I1865" s="42" t="s">
        <v>893</v>
      </c>
    </row>
    <row r="1866" spans="1:9">
      <c r="A1866" s="42" t="s">
        <v>759</v>
      </c>
      <c r="B1866" s="42" t="s">
        <v>254</v>
      </c>
      <c r="C1866" s="42" t="s">
        <v>877</v>
      </c>
      <c r="D1866" s="42" t="s">
        <v>182</v>
      </c>
      <c r="E1866" s="42" t="s">
        <v>808</v>
      </c>
      <c r="F1866" s="45">
        <v>640000000</v>
      </c>
      <c r="G1866" s="42" t="s">
        <v>763</v>
      </c>
      <c r="H1866" s="42" t="s">
        <v>153</v>
      </c>
      <c r="I1866" s="42" t="s">
        <v>893</v>
      </c>
    </row>
    <row r="1867" spans="1:9">
      <c r="A1867" s="42" t="s">
        <v>759</v>
      </c>
      <c r="B1867" s="42" t="s">
        <v>255</v>
      </c>
      <c r="C1867" s="42" t="s">
        <v>878</v>
      </c>
      <c r="D1867" s="42" t="s">
        <v>182</v>
      </c>
      <c r="E1867" s="42" t="s">
        <v>808</v>
      </c>
      <c r="F1867" s="45">
        <v>787000000</v>
      </c>
      <c r="G1867" s="42" t="s">
        <v>763</v>
      </c>
      <c r="H1867" s="42" t="s">
        <v>153</v>
      </c>
      <c r="I1867" s="42" t="s">
        <v>893</v>
      </c>
    </row>
    <row r="1868" spans="1:9">
      <c r="A1868" s="42" t="s">
        <v>759</v>
      </c>
      <c r="B1868" s="42" t="s">
        <v>256</v>
      </c>
      <c r="C1868" s="42" t="s">
        <v>880</v>
      </c>
      <c r="D1868" s="42" t="s">
        <v>182</v>
      </c>
      <c r="E1868" s="42" t="s">
        <v>808</v>
      </c>
      <c r="F1868" s="45">
        <v>6587000000</v>
      </c>
      <c r="G1868" s="42" t="s">
        <v>763</v>
      </c>
      <c r="H1868" s="42" t="s">
        <v>153</v>
      </c>
      <c r="I1868" s="42" t="s">
        <v>893</v>
      </c>
    </row>
    <row r="1869" spans="1:9">
      <c r="A1869" s="42" t="s">
        <v>759</v>
      </c>
      <c r="B1869" s="42" t="s">
        <v>257</v>
      </c>
      <c r="C1869" s="42" t="s">
        <v>881</v>
      </c>
      <c r="D1869" s="42" t="s">
        <v>182</v>
      </c>
      <c r="E1869" s="42" t="s">
        <v>808</v>
      </c>
      <c r="F1869" s="45">
        <v>33000000</v>
      </c>
      <c r="G1869" s="42" t="s">
        <v>763</v>
      </c>
      <c r="H1869" s="42" t="s">
        <v>153</v>
      </c>
      <c r="I1869" s="42" t="s">
        <v>893</v>
      </c>
    </row>
    <row r="1870" spans="1:9">
      <c r="A1870" s="42" t="s">
        <v>759</v>
      </c>
      <c r="B1870" s="42" t="s">
        <v>258</v>
      </c>
      <c r="C1870" s="42" t="s">
        <v>882</v>
      </c>
      <c r="D1870" s="42" t="s">
        <v>182</v>
      </c>
      <c r="E1870" s="42" t="s">
        <v>808</v>
      </c>
      <c r="F1870" s="45">
        <v>-338000000</v>
      </c>
      <c r="G1870" s="42" t="s">
        <v>763</v>
      </c>
      <c r="H1870" s="42" t="s">
        <v>153</v>
      </c>
      <c r="I1870" s="42" t="s">
        <v>893</v>
      </c>
    </row>
    <row r="1871" spans="1:9">
      <c r="A1871" s="42" t="s">
        <v>759</v>
      </c>
      <c r="B1871" s="42" t="s">
        <v>259</v>
      </c>
      <c r="C1871" s="42" t="s">
        <v>883</v>
      </c>
      <c r="D1871" s="42" t="s">
        <v>182</v>
      </c>
      <c r="E1871" s="42" t="s">
        <v>808</v>
      </c>
      <c r="F1871" s="45">
        <v>-756000000</v>
      </c>
      <c r="G1871" s="42" t="s">
        <v>763</v>
      </c>
      <c r="H1871" s="42" t="s">
        <v>153</v>
      </c>
      <c r="I1871" s="42" t="s">
        <v>893</v>
      </c>
    </row>
    <row r="1872" spans="1:9">
      <c r="A1872" s="42" t="s">
        <v>759</v>
      </c>
      <c r="B1872" s="42" t="s">
        <v>260</v>
      </c>
      <c r="C1872" s="42" t="s">
        <v>784</v>
      </c>
      <c r="D1872" s="42" t="s">
        <v>182</v>
      </c>
      <c r="E1872" s="42" t="s">
        <v>808</v>
      </c>
      <c r="F1872" s="45">
        <v>10814000000</v>
      </c>
      <c r="G1872" s="42" t="s">
        <v>763</v>
      </c>
      <c r="H1872" s="42" t="s">
        <v>153</v>
      </c>
      <c r="I1872" s="42" t="s">
        <v>893</v>
      </c>
    </row>
    <row r="1873" spans="1:9">
      <c r="A1873" s="42" t="s">
        <v>759</v>
      </c>
      <c r="B1873" s="42" t="s">
        <v>261</v>
      </c>
      <c r="C1873" s="42" t="s">
        <v>785</v>
      </c>
      <c r="D1873" s="42" t="s">
        <v>182</v>
      </c>
      <c r="E1873" s="42" t="s">
        <v>808</v>
      </c>
      <c r="F1873" s="45">
        <v>230000000</v>
      </c>
      <c r="G1873" s="42" t="s">
        <v>763</v>
      </c>
      <c r="H1873" s="42" t="s">
        <v>153</v>
      </c>
      <c r="I1873" s="42" t="s">
        <v>893</v>
      </c>
    </row>
    <row r="1874" spans="1:9">
      <c r="A1874" s="42" t="s">
        <v>759</v>
      </c>
      <c r="B1874" s="42" t="s">
        <v>262</v>
      </c>
      <c r="C1874" s="42" t="s">
        <v>787</v>
      </c>
      <c r="D1874" s="42" t="s">
        <v>182</v>
      </c>
      <c r="E1874" s="42" t="s">
        <v>808</v>
      </c>
      <c r="F1874" s="45">
        <v>11044000000</v>
      </c>
      <c r="G1874" s="42" t="s">
        <v>763</v>
      </c>
      <c r="H1874" s="42" t="s">
        <v>153</v>
      </c>
      <c r="I1874" s="42" t="s">
        <v>893</v>
      </c>
    </row>
    <row r="1875" spans="1:9">
      <c r="A1875" s="42" t="s">
        <v>759</v>
      </c>
      <c r="B1875" s="42" t="s">
        <v>301</v>
      </c>
      <c r="C1875" s="42" t="s">
        <v>832</v>
      </c>
      <c r="D1875" s="42" t="s">
        <v>182</v>
      </c>
      <c r="E1875" s="42" t="s">
        <v>808</v>
      </c>
      <c r="F1875" s="45">
        <v>610000000</v>
      </c>
      <c r="G1875" s="42" t="s">
        <v>763</v>
      </c>
      <c r="H1875" s="42" t="s">
        <v>153</v>
      </c>
      <c r="I1875" s="42" t="s">
        <v>893</v>
      </c>
    </row>
    <row r="1876" spans="1:9">
      <c r="A1876" s="42" t="s">
        <v>759</v>
      </c>
      <c r="B1876" s="42" t="s">
        <v>302</v>
      </c>
      <c r="C1876" s="42" t="s">
        <v>834</v>
      </c>
      <c r="D1876" s="42" t="s">
        <v>182</v>
      </c>
      <c r="E1876" s="42" t="s">
        <v>808</v>
      </c>
      <c r="F1876" s="45">
        <v>180000000</v>
      </c>
      <c r="G1876" s="42" t="s">
        <v>763</v>
      </c>
      <c r="H1876" s="42" t="s">
        <v>153</v>
      </c>
      <c r="I1876" s="42" t="s">
        <v>893</v>
      </c>
    </row>
    <row r="1877" spans="1:9">
      <c r="A1877" s="42" t="s">
        <v>759</v>
      </c>
      <c r="B1877" s="42" t="s">
        <v>303</v>
      </c>
      <c r="C1877" s="42" t="s">
        <v>833</v>
      </c>
      <c r="D1877" s="42" t="s">
        <v>182</v>
      </c>
      <c r="E1877" s="42" t="s">
        <v>808</v>
      </c>
      <c r="F1877" s="45">
        <v>373000000</v>
      </c>
      <c r="G1877" s="42" t="s">
        <v>763</v>
      </c>
      <c r="H1877" s="42" t="s">
        <v>153</v>
      </c>
      <c r="I1877" s="42" t="s">
        <v>893</v>
      </c>
    </row>
    <row r="1878" spans="1:9">
      <c r="A1878" s="42" t="s">
        <v>759</v>
      </c>
      <c r="B1878" s="42" t="s">
        <v>304</v>
      </c>
      <c r="C1878" s="42" t="s">
        <v>835</v>
      </c>
      <c r="D1878" s="42" t="s">
        <v>182</v>
      </c>
      <c r="E1878" s="42" t="s">
        <v>808</v>
      </c>
      <c r="F1878" s="45">
        <v>830000000</v>
      </c>
      <c r="G1878" s="42" t="s">
        <v>763</v>
      </c>
      <c r="H1878" s="42" t="s">
        <v>153</v>
      </c>
      <c r="I1878" s="42" t="s">
        <v>893</v>
      </c>
    </row>
    <row r="1879" spans="1:9">
      <c r="A1879" s="42" t="s">
        <v>759</v>
      </c>
      <c r="B1879" s="42" t="s">
        <v>305</v>
      </c>
      <c r="C1879" s="42" t="s">
        <v>837</v>
      </c>
      <c r="D1879" s="42" t="s">
        <v>182</v>
      </c>
      <c r="E1879" s="42" t="s">
        <v>808</v>
      </c>
      <c r="F1879" s="45">
        <v>18000000</v>
      </c>
      <c r="G1879" s="42" t="s">
        <v>763</v>
      </c>
      <c r="H1879" s="42" t="s">
        <v>153</v>
      </c>
      <c r="I1879" s="42" t="s">
        <v>893</v>
      </c>
    </row>
    <row r="1880" spans="1:9">
      <c r="A1880" s="42" t="s">
        <v>759</v>
      </c>
      <c r="B1880" s="42" t="s">
        <v>306</v>
      </c>
      <c r="C1880" s="42" t="s">
        <v>857</v>
      </c>
      <c r="D1880" s="42" t="s">
        <v>182</v>
      </c>
      <c r="E1880" s="42" t="s">
        <v>808</v>
      </c>
      <c r="F1880" s="45">
        <v>63000000</v>
      </c>
      <c r="G1880" s="42" t="s">
        <v>763</v>
      </c>
      <c r="H1880" s="42" t="s">
        <v>153</v>
      </c>
      <c r="I1880" s="42" t="s">
        <v>893</v>
      </c>
    </row>
    <row r="1881" spans="1:9">
      <c r="A1881" s="42" t="s">
        <v>759</v>
      </c>
      <c r="B1881" s="42" t="s">
        <v>307</v>
      </c>
      <c r="C1881" s="42" t="s">
        <v>838</v>
      </c>
      <c r="D1881" s="42" t="s">
        <v>182</v>
      </c>
      <c r="E1881" s="42" t="s">
        <v>808</v>
      </c>
      <c r="F1881" s="45">
        <v>273000000</v>
      </c>
      <c r="G1881" s="42" t="s">
        <v>763</v>
      </c>
      <c r="H1881" s="42" t="s">
        <v>153</v>
      </c>
      <c r="I1881" s="42" t="s">
        <v>893</v>
      </c>
    </row>
    <row r="1882" spans="1:9">
      <c r="A1882" s="42" t="s">
        <v>759</v>
      </c>
      <c r="B1882" s="42" t="s">
        <v>308</v>
      </c>
      <c r="C1882" s="42" t="s">
        <v>839</v>
      </c>
      <c r="D1882" s="42" t="s">
        <v>182</v>
      </c>
      <c r="E1882" s="42" t="s">
        <v>808</v>
      </c>
      <c r="F1882" s="45">
        <v>8226000000</v>
      </c>
      <c r="G1882" s="42" t="s">
        <v>763</v>
      </c>
      <c r="H1882" s="42" t="s">
        <v>153</v>
      </c>
      <c r="I1882" s="42" t="s">
        <v>893</v>
      </c>
    </row>
    <row r="1883" spans="1:9">
      <c r="A1883" s="42" t="s">
        <v>759</v>
      </c>
      <c r="B1883" s="42" t="s">
        <v>309</v>
      </c>
      <c r="C1883" s="42" t="s">
        <v>840</v>
      </c>
      <c r="D1883" s="42" t="s">
        <v>182</v>
      </c>
      <c r="E1883" s="42" t="s">
        <v>808</v>
      </c>
      <c r="F1883" s="45">
        <v>373000000</v>
      </c>
      <c r="G1883" s="42" t="s">
        <v>763</v>
      </c>
      <c r="H1883" s="42" t="s">
        <v>153</v>
      </c>
      <c r="I1883" s="42" t="s">
        <v>893</v>
      </c>
    </row>
    <row r="1884" spans="1:9">
      <c r="A1884" s="42" t="s">
        <v>759</v>
      </c>
      <c r="B1884" s="42" t="s">
        <v>310</v>
      </c>
      <c r="C1884" s="42" t="s">
        <v>841</v>
      </c>
      <c r="D1884" s="42" t="s">
        <v>182</v>
      </c>
      <c r="E1884" s="42" t="s">
        <v>808</v>
      </c>
      <c r="F1884" s="45">
        <v>6000000</v>
      </c>
      <c r="G1884" s="42" t="s">
        <v>763</v>
      </c>
      <c r="H1884" s="42" t="s">
        <v>153</v>
      </c>
      <c r="I1884" s="42" t="s">
        <v>893</v>
      </c>
    </row>
    <row r="1885" spans="1:9">
      <c r="A1885" s="42" t="s">
        <v>759</v>
      </c>
      <c r="B1885" s="42" t="s">
        <v>273</v>
      </c>
      <c r="C1885" s="42" t="s">
        <v>842</v>
      </c>
      <c r="D1885" s="42" t="s">
        <v>182</v>
      </c>
      <c r="E1885" s="42" t="s">
        <v>808</v>
      </c>
      <c r="F1885" s="45">
        <v>10952000000</v>
      </c>
      <c r="G1885" s="42" t="s">
        <v>763</v>
      </c>
      <c r="H1885" s="42" t="s">
        <v>153</v>
      </c>
      <c r="I1885" s="42" t="s">
        <v>893</v>
      </c>
    </row>
    <row r="1886" spans="1:9">
      <c r="A1886" s="42" t="s">
        <v>759</v>
      </c>
      <c r="B1886" s="42" t="s">
        <v>274</v>
      </c>
      <c r="C1886" s="42" t="s">
        <v>889</v>
      </c>
      <c r="D1886" s="42" t="s">
        <v>182</v>
      </c>
      <c r="E1886" s="42" t="s">
        <v>808</v>
      </c>
      <c r="F1886" s="45">
        <v>1181000000</v>
      </c>
      <c r="G1886" s="42" t="s">
        <v>763</v>
      </c>
      <c r="H1886" s="42" t="s">
        <v>153</v>
      </c>
      <c r="I1886" s="42" t="s">
        <v>893</v>
      </c>
    </row>
    <row r="1887" spans="1:9">
      <c r="A1887" s="42" t="s">
        <v>759</v>
      </c>
      <c r="B1887" s="42" t="s">
        <v>301</v>
      </c>
      <c r="C1887" s="42" t="s">
        <v>795</v>
      </c>
      <c r="D1887" s="42" t="s">
        <v>182</v>
      </c>
      <c r="E1887" s="42" t="s">
        <v>808</v>
      </c>
      <c r="F1887" s="45">
        <v>229000000</v>
      </c>
      <c r="G1887" s="42" t="s">
        <v>763</v>
      </c>
      <c r="H1887" s="42" t="s">
        <v>153</v>
      </c>
      <c r="I1887" s="42" t="s">
        <v>893</v>
      </c>
    </row>
    <row r="1888" spans="1:9">
      <c r="A1888" s="42" t="s">
        <v>759</v>
      </c>
      <c r="B1888" s="42" t="s">
        <v>302</v>
      </c>
      <c r="C1888" s="42" t="s">
        <v>797</v>
      </c>
      <c r="D1888" s="42" t="s">
        <v>182</v>
      </c>
      <c r="E1888" s="42" t="s">
        <v>808</v>
      </c>
      <c r="F1888" s="45">
        <v>117000000</v>
      </c>
      <c r="G1888" s="42" t="s">
        <v>763</v>
      </c>
      <c r="H1888" s="42" t="s">
        <v>153</v>
      </c>
      <c r="I1888" s="42" t="s">
        <v>893</v>
      </c>
    </row>
    <row r="1889" spans="1:9">
      <c r="A1889" s="42" t="s">
        <v>759</v>
      </c>
      <c r="B1889" s="42" t="s">
        <v>304</v>
      </c>
      <c r="C1889" s="42" t="s">
        <v>796</v>
      </c>
      <c r="D1889" s="42" t="s">
        <v>182</v>
      </c>
      <c r="E1889" s="42" t="s">
        <v>808</v>
      </c>
      <c r="F1889" s="45">
        <v>73000000</v>
      </c>
      <c r="G1889" s="42" t="s">
        <v>763</v>
      </c>
      <c r="H1889" s="42" t="s">
        <v>153</v>
      </c>
      <c r="I1889" s="42" t="s">
        <v>893</v>
      </c>
    </row>
    <row r="1890" spans="1:9">
      <c r="A1890" s="42" t="s">
        <v>759</v>
      </c>
      <c r="B1890" s="42" t="s">
        <v>305</v>
      </c>
      <c r="C1890" s="42" t="s">
        <v>798</v>
      </c>
      <c r="D1890" s="42" t="s">
        <v>182</v>
      </c>
      <c r="E1890" s="42" t="s">
        <v>808</v>
      </c>
      <c r="F1890" s="45">
        <v>217000000</v>
      </c>
      <c r="G1890" s="42" t="s">
        <v>763</v>
      </c>
      <c r="H1890" s="42" t="s">
        <v>153</v>
      </c>
      <c r="I1890" s="42" t="s">
        <v>893</v>
      </c>
    </row>
    <row r="1891" spans="1:9">
      <c r="A1891" s="42" t="s">
        <v>759</v>
      </c>
      <c r="B1891" s="42" t="s">
        <v>306</v>
      </c>
      <c r="C1891" s="42" t="s">
        <v>799</v>
      </c>
      <c r="D1891" s="42" t="s">
        <v>182</v>
      </c>
      <c r="E1891" s="42" t="s">
        <v>808</v>
      </c>
      <c r="F1891" s="45">
        <v>336000000</v>
      </c>
      <c r="G1891" s="42" t="s">
        <v>763</v>
      </c>
      <c r="H1891" s="42" t="s">
        <v>153</v>
      </c>
      <c r="I1891" s="42" t="s">
        <v>893</v>
      </c>
    </row>
    <row r="1892" spans="1:9">
      <c r="A1892" s="42" t="s">
        <v>759</v>
      </c>
      <c r="B1892" s="42" t="s">
        <v>307</v>
      </c>
      <c r="C1892" s="42" t="s">
        <v>843</v>
      </c>
      <c r="D1892" s="42" t="s">
        <v>182</v>
      </c>
      <c r="E1892" s="42" t="s">
        <v>808</v>
      </c>
      <c r="F1892" s="45">
        <v>298000000</v>
      </c>
      <c r="G1892" s="42" t="s">
        <v>763</v>
      </c>
      <c r="H1892" s="42" t="s">
        <v>153</v>
      </c>
      <c r="I1892" s="42" t="s">
        <v>893</v>
      </c>
    </row>
    <row r="1893" spans="1:9">
      <c r="A1893" s="42" t="s">
        <v>759</v>
      </c>
      <c r="B1893" s="42" t="s">
        <v>308</v>
      </c>
      <c r="C1893" s="42" t="s">
        <v>800</v>
      </c>
      <c r="D1893" s="42" t="s">
        <v>182</v>
      </c>
      <c r="E1893" s="42" t="s">
        <v>808</v>
      </c>
      <c r="F1893" s="45">
        <v>2355000000</v>
      </c>
      <c r="G1893" s="42" t="s">
        <v>763</v>
      </c>
      <c r="H1893" s="42" t="s">
        <v>153</v>
      </c>
      <c r="I1893" s="42" t="s">
        <v>893</v>
      </c>
    </row>
    <row r="1894" spans="1:9">
      <c r="A1894" s="42" t="s">
        <v>759</v>
      </c>
      <c r="B1894" s="42" t="s">
        <v>309</v>
      </c>
      <c r="C1894" s="42" t="s">
        <v>801</v>
      </c>
      <c r="D1894" s="42" t="s">
        <v>182</v>
      </c>
      <c r="E1894" s="42" t="s">
        <v>808</v>
      </c>
      <c r="F1894" s="45">
        <v>399000000</v>
      </c>
      <c r="G1894" s="42" t="s">
        <v>763</v>
      </c>
      <c r="H1894" s="42" t="s">
        <v>153</v>
      </c>
      <c r="I1894" s="42" t="s">
        <v>893</v>
      </c>
    </row>
    <row r="1895" spans="1:9">
      <c r="A1895" s="42" t="s">
        <v>759</v>
      </c>
      <c r="B1895" s="42" t="s">
        <v>310</v>
      </c>
      <c r="C1895" s="42" t="s">
        <v>802</v>
      </c>
      <c r="D1895" s="42" t="s">
        <v>182</v>
      </c>
      <c r="E1895" s="42" t="s">
        <v>808</v>
      </c>
      <c r="F1895" s="45">
        <v>2238000000</v>
      </c>
      <c r="G1895" s="42" t="s">
        <v>763</v>
      </c>
      <c r="H1895" s="42" t="s">
        <v>153</v>
      </c>
      <c r="I1895" s="42" t="s">
        <v>893</v>
      </c>
    </row>
    <row r="1896" spans="1:9">
      <c r="A1896" s="42" t="s">
        <v>759</v>
      </c>
      <c r="B1896" s="42" t="s">
        <v>284</v>
      </c>
      <c r="C1896" s="42" t="s">
        <v>803</v>
      </c>
      <c r="D1896" s="42" t="s">
        <v>182</v>
      </c>
      <c r="E1896" s="42" t="s">
        <v>808</v>
      </c>
      <c r="F1896" s="45">
        <v>7443000000</v>
      </c>
      <c r="G1896" s="42" t="s">
        <v>763</v>
      </c>
      <c r="H1896" s="42" t="s">
        <v>153</v>
      </c>
      <c r="I1896" s="42" t="s">
        <v>893</v>
      </c>
    </row>
    <row r="1897" spans="1:9">
      <c r="A1897" s="42" t="s">
        <v>759</v>
      </c>
      <c r="B1897" s="42" t="s">
        <v>285</v>
      </c>
      <c r="C1897" s="42" t="s">
        <v>804</v>
      </c>
      <c r="D1897" s="42" t="s">
        <v>182</v>
      </c>
      <c r="E1897" s="42" t="s">
        <v>808</v>
      </c>
      <c r="F1897" s="45">
        <v>18395000000</v>
      </c>
      <c r="G1897" s="42" t="s">
        <v>763</v>
      </c>
      <c r="H1897" s="42" t="s">
        <v>153</v>
      </c>
      <c r="I1897" s="42" t="s">
        <v>893</v>
      </c>
    </row>
    <row r="1898" spans="1:9">
      <c r="A1898" s="42" t="s">
        <v>759</v>
      </c>
      <c r="B1898" s="42" t="s">
        <v>286</v>
      </c>
      <c r="C1898" s="42" t="s">
        <v>806</v>
      </c>
      <c r="D1898" s="42" t="s">
        <v>182</v>
      </c>
      <c r="E1898" s="42" t="s">
        <v>808</v>
      </c>
      <c r="F1898" s="45">
        <v>29439000000</v>
      </c>
      <c r="G1898" s="42" t="s">
        <v>763</v>
      </c>
      <c r="H1898" s="42" t="s">
        <v>153</v>
      </c>
      <c r="I1898" s="42" t="s">
        <v>893</v>
      </c>
    </row>
    <row r="1899" spans="1:9">
      <c r="A1899" s="42" t="s">
        <v>759</v>
      </c>
      <c r="B1899" s="42" t="s">
        <v>287</v>
      </c>
      <c r="C1899" s="42" t="s">
        <v>821</v>
      </c>
      <c r="D1899" s="42" t="s">
        <v>183</v>
      </c>
      <c r="E1899" s="42" t="s">
        <v>808</v>
      </c>
      <c r="F1899" s="45">
        <v>1073000000</v>
      </c>
      <c r="G1899" s="42" t="s">
        <v>763</v>
      </c>
      <c r="H1899" s="42" t="s">
        <v>151</v>
      </c>
      <c r="I1899" s="42" t="s">
        <v>896</v>
      </c>
    </row>
    <row r="1900" spans="1:9">
      <c r="A1900" s="42" t="s">
        <v>759</v>
      </c>
      <c r="B1900" s="42" t="s">
        <v>288</v>
      </c>
      <c r="C1900" s="42" t="s">
        <v>823</v>
      </c>
      <c r="D1900" s="42" t="s">
        <v>183</v>
      </c>
      <c r="E1900" s="42" t="s">
        <v>808</v>
      </c>
      <c r="F1900" s="45">
        <v>19558000000</v>
      </c>
      <c r="G1900" s="42" t="s">
        <v>763</v>
      </c>
      <c r="H1900" s="42" t="s">
        <v>151</v>
      </c>
      <c r="I1900" s="42" t="s">
        <v>896</v>
      </c>
    </row>
    <row r="1901" spans="1:9">
      <c r="A1901" s="42" t="s">
        <v>759</v>
      </c>
      <c r="B1901" s="42" t="s">
        <v>289</v>
      </c>
      <c r="C1901" s="42" t="s">
        <v>825</v>
      </c>
      <c r="D1901" s="42" t="s">
        <v>183</v>
      </c>
      <c r="E1901" s="42" t="s">
        <v>808</v>
      </c>
      <c r="F1901" s="45">
        <v>609000000</v>
      </c>
      <c r="G1901" s="42" t="s">
        <v>763</v>
      </c>
      <c r="H1901" s="42" t="s">
        <v>151</v>
      </c>
      <c r="I1901" s="42" t="s">
        <v>896</v>
      </c>
    </row>
    <row r="1902" spans="1:9">
      <c r="A1902" s="42" t="s">
        <v>759</v>
      </c>
      <c r="B1902" s="42" t="s">
        <v>290</v>
      </c>
      <c r="C1902" s="42" t="s">
        <v>826</v>
      </c>
      <c r="D1902" s="42" t="s">
        <v>183</v>
      </c>
      <c r="E1902" s="42" t="s">
        <v>808</v>
      </c>
      <c r="F1902" s="45">
        <v>1717000000</v>
      </c>
      <c r="G1902" s="42" t="s">
        <v>763</v>
      </c>
      <c r="H1902" s="42" t="s">
        <v>151</v>
      </c>
      <c r="I1902" s="42" t="s">
        <v>896</v>
      </c>
    </row>
    <row r="1903" spans="1:9">
      <c r="A1903" s="42" t="s">
        <v>759</v>
      </c>
      <c r="B1903" s="42" t="s">
        <v>291</v>
      </c>
      <c r="C1903" s="42" t="s">
        <v>827</v>
      </c>
      <c r="D1903" s="42" t="s">
        <v>183</v>
      </c>
      <c r="E1903" s="42" t="s">
        <v>808</v>
      </c>
      <c r="F1903" s="45">
        <v>41000000</v>
      </c>
      <c r="G1903" s="42" t="s">
        <v>763</v>
      </c>
      <c r="H1903" s="42" t="s">
        <v>151</v>
      </c>
      <c r="I1903" s="42" t="s">
        <v>896</v>
      </c>
    </row>
    <row r="1904" spans="1:9">
      <c r="A1904" s="42" t="s">
        <v>759</v>
      </c>
      <c r="B1904" s="42" t="s">
        <v>292</v>
      </c>
      <c r="C1904" s="42" t="s">
        <v>828</v>
      </c>
      <c r="D1904" s="42" t="s">
        <v>183</v>
      </c>
      <c r="E1904" s="42" t="s">
        <v>808</v>
      </c>
      <c r="F1904" s="45">
        <v>636000000</v>
      </c>
      <c r="G1904" s="42" t="s">
        <v>763</v>
      </c>
      <c r="H1904" s="42" t="s">
        <v>151</v>
      </c>
      <c r="I1904" s="42" t="s">
        <v>896</v>
      </c>
    </row>
    <row r="1905" spans="1:9">
      <c r="A1905" s="42" t="s">
        <v>759</v>
      </c>
      <c r="B1905" s="42" t="s">
        <v>293</v>
      </c>
      <c r="C1905" s="42" t="s">
        <v>829</v>
      </c>
      <c r="D1905" s="42" t="s">
        <v>183</v>
      </c>
      <c r="E1905" s="42" t="s">
        <v>808</v>
      </c>
      <c r="F1905" s="45">
        <v>6000000</v>
      </c>
      <c r="G1905" s="42" t="s">
        <v>763</v>
      </c>
      <c r="H1905" s="42" t="s">
        <v>151</v>
      </c>
      <c r="I1905" s="42" t="s">
        <v>896</v>
      </c>
    </row>
    <row r="1906" spans="1:9">
      <c r="A1906" s="42" t="s">
        <v>759</v>
      </c>
      <c r="B1906" s="42" t="s">
        <v>239</v>
      </c>
      <c r="C1906" s="42" t="s">
        <v>830</v>
      </c>
      <c r="D1906" s="42" t="s">
        <v>183</v>
      </c>
      <c r="E1906" s="42" t="s">
        <v>808</v>
      </c>
      <c r="F1906" s="45">
        <v>23640000000</v>
      </c>
      <c r="G1906" s="42" t="s">
        <v>763</v>
      </c>
      <c r="H1906" s="42" t="s">
        <v>151</v>
      </c>
      <c r="I1906" s="42" t="s">
        <v>896</v>
      </c>
    </row>
    <row r="1907" spans="1:9">
      <c r="A1907" s="42" t="s">
        <v>759</v>
      </c>
      <c r="B1907" s="42" t="s">
        <v>240</v>
      </c>
      <c r="C1907" s="42" t="s">
        <v>818</v>
      </c>
      <c r="D1907" s="42" t="s">
        <v>183</v>
      </c>
      <c r="E1907" s="42" t="s">
        <v>808</v>
      </c>
      <c r="F1907" s="45">
        <v>957000000</v>
      </c>
      <c r="G1907" s="42" t="s">
        <v>763</v>
      </c>
      <c r="H1907" s="42" t="s">
        <v>151</v>
      </c>
      <c r="I1907" s="42" t="s">
        <v>896</v>
      </c>
    </row>
    <row r="1908" spans="1:9">
      <c r="A1908" s="42" t="s">
        <v>759</v>
      </c>
      <c r="B1908" s="42" t="s">
        <v>241</v>
      </c>
      <c r="C1908" s="42" t="s">
        <v>772</v>
      </c>
      <c r="D1908" s="42" t="s">
        <v>183</v>
      </c>
      <c r="E1908" s="42" t="s">
        <v>808</v>
      </c>
      <c r="F1908" s="45">
        <v>1460000000</v>
      </c>
      <c r="G1908" s="42" t="s">
        <v>763</v>
      </c>
      <c r="H1908" s="42" t="s">
        <v>151</v>
      </c>
      <c r="I1908" s="42" t="s">
        <v>896</v>
      </c>
    </row>
    <row r="1909" spans="1:9">
      <c r="A1909" s="42" t="s">
        <v>759</v>
      </c>
      <c r="B1909" s="42" t="s">
        <v>242</v>
      </c>
      <c r="C1909" s="42" t="s">
        <v>773</v>
      </c>
      <c r="D1909" s="42" t="s">
        <v>183</v>
      </c>
      <c r="E1909" s="42" t="s">
        <v>808</v>
      </c>
      <c r="F1909" s="45">
        <v>5000000</v>
      </c>
      <c r="G1909" s="42" t="s">
        <v>763</v>
      </c>
      <c r="H1909" s="42" t="s">
        <v>151</v>
      </c>
      <c r="I1909" s="42" t="s">
        <v>896</v>
      </c>
    </row>
    <row r="1910" spans="1:9">
      <c r="A1910" s="42" t="s">
        <v>759</v>
      </c>
      <c r="B1910" s="42" t="s">
        <v>292</v>
      </c>
      <c r="C1910" s="42" t="s">
        <v>774</v>
      </c>
      <c r="D1910" s="42" t="s">
        <v>183</v>
      </c>
      <c r="E1910" s="42" t="s">
        <v>808</v>
      </c>
      <c r="F1910" s="45">
        <v>820000000</v>
      </c>
      <c r="G1910" s="42" t="s">
        <v>763</v>
      </c>
      <c r="H1910" s="42" t="s">
        <v>151</v>
      </c>
      <c r="I1910" s="42" t="s">
        <v>896</v>
      </c>
    </row>
    <row r="1911" spans="1:9">
      <c r="A1911" s="42" t="s">
        <v>759</v>
      </c>
      <c r="B1911" s="42" t="s">
        <v>293</v>
      </c>
      <c r="C1911" s="42" t="s">
        <v>775</v>
      </c>
      <c r="D1911" s="42" t="s">
        <v>183</v>
      </c>
      <c r="E1911" s="42" t="s">
        <v>808</v>
      </c>
      <c r="F1911" s="45">
        <v>1784000000</v>
      </c>
      <c r="G1911" s="42" t="s">
        <v>763</v>
      </c>
      <c r="H1911" s="42" t="s">
        <v>151</v>
      </c>
      <c r="I1911" s="42" t="s">
        <v>896</v>
      </c>
    </row>
    <row r="1912" spans="1:9">
      <c r="A1912" s="42" t="s">
        <v>759</v>
      </c>
      <c r="B1912" s="42" t="s">
        <v>862</v>
      </c>
      <c r="C1912" s="42" t="s">
        <v>776</v>
      </c>
      <c r="D1912" s="42" t="s">
        <v>183</v>
      </c>
      <c r="E1912" s="42" t="s">
        <v>808</v>
      </c>
      <c r="F1912" s="45">
        <v>366000000</v>
      </c>
      <c r="G1912" s="42" t="s">
        <v>763</v>
      </c>
      <c r="H1912" s="42" t="s">
        <v>151</v>
      </c>
      <c r="I1912" s="42" t="s">
        <v>896</v>
      </c>
    </row>
    <row r="1913" spans="1:9">
      <c r="A1913" s="42" t="s">
        <v>759</v>
      </c>
      <c r="B1913" s="42" t="s">
        <v>246</v>
      </c>
      <c r="C1913" s="42" t="s">
        <v>777</v>
      </c>
      <c r="D1913" s="42" t="s">
        <v>183</v>
      </c>
      <c r="E1913" s="42" t="s">
        <v>808</v>
      </c>
      <c r="F1913" s="45">
        <v>1326000000</v>
      </c>
      <c r="G1913" s="42" t="s">
        <v>763</v>
      </c>
      <c r="H1913" s="42" t="s">
        <v>151</v>
      </c>
      <c r="I1913" s="42" t="s">
        <v>896</v>
      </c>
    </row>
    <row r="1914" spans="1:9">
      <c r="A1914" s="42" t="s">
        <v>759</v>
      </c>
      <c r="B1914" s="42" t="s">
        <v>247</v>
      </c>
      <c r="C1914" s="42" t="s">
        <v>778</v>
      </c>
      <c r="D1914" s="42" t="s">
        <v>183</v>
      </c>
      <c r="E1914" s="42" t="s">
        <v>808</v>
      </c>
      <c r="F1914" s="45">
        <v>6718000000</v>
      </c>
      <c r="G1914" s="42" t="s">
        <v>763</v>
      </c>
      <c r="H1914" s="42" t="s">
        <v>151</v>
      </c>
      <c r="I1914" s="42" t="s">
        <v>896</v>
      </c>
    </row>
    <row r="1915" spans="1:9">
      <c r="A1915" s="42" t="s">
        <v>759</v>
      </c>
      <c r="B1915" s="42" t="s">
        <v>248</v>
      </c>
      <c r="C1915" s="42" t="s">
        <v>779</v>
      </c>
      <c r="D1915" s="42" t="s">
        <v>183</v>
      </c>
      <c r="E1915" s="42" t="s">
        <v>808</v>
      </c>
      <c r="F1915" s="45">
        <v>30358000000</v>
      </c>
      <c r="G1915" s="42" t="s">
        <v>763</v>
      </c>
      <c r="H1915" s="42" t="s">
        <v>151</v>
      </c>
      <c r="I1915" s="42" t="s">
        <v>896</v>
      </c>
    </row>
    <row r="1916" spans="1:9">
      <c r="A1916" s="42" t="s">
        <v>759</v>
      </c>
      <c r="B1916" s="42" t="s">
        <v>249</v>
      </c>
      <c r="C1916" s="42" t="s">
        <v>872</v>
      </c>
      <c r="D1916" s="42" t="s">
        <v>183</v>
      </c>
      <c r="E1916" s="42" t="s">
        <v>808</v>
      </c>
      <c r="F1916" s="45">
        <v>3921000000</v>
      </c>
      <c r="G1916" s="42" t="s">
        <v>763</v>
      </c>
      <c r="H1916" s="42" t="s">
        <v>151</v>
      </c>
      <c r="I1916" s="42" t="s">
        <v>896</v>
      </c>
    </row>
    <row r="1917" spans="1:9">
      <c r="A1917" s="42" t="s">
        <v>759</v>
      </c>
      <c r="B1917" s="42" t="s">
        <v>250</v>
      </c>
      <c r="C1917" s="42" t="s">
        <v>873</v>
      </c>
      <c r="D1917" s="42" t="s">
        <v>183</v>
      </c>
      <c r="E1917" s="42" t="s">
        <v>808</v>
      </c>
      <c r="F1917" s="45">
        <v>12000000</v>
      </c>
      <c r="G1917" s="42" t="s">
        <v>763</v>
      </c>
      <c r="H1917" s="42" t="s">
        <v>151</v>
      </c>
      <c r="I1917" s="42" t="s">
        <v>896</v>
      </c>
    </row>
    <row r="1918" spans="1:9">
      <c r="A1918" s="42" t="s">
        <v>759</v>
      </c>
      <c r="B1918" s="42" t="s">
        <v>251</v>
      </c>
      <c r="C1918" s="42" t="s">
        <v>874</v>
      </c>
      <c r="D1918" s="42" t="s">
        <v>183</v>
      </c>
      <c r="E1918" s="42" t="s">
        <v>808</v>
      </c>
      <c r="F1918" s="45">
        <v>10000000</v>
      </c>
      <c r="G1918" s="42" t="s">
        <v>763</v>
      </c>
      <c r="H1918" s="42" t="s">
        <v>151</v>
      </c>
      <c r="I1918" s="42" t="s">
        <v>896</v>
      </c>
    </row>
    <row r="1919" spans="1:9">
      <c r="A1919" s="42" t="s">
        <v>759</v>
      </c>
      <c r="B1919" s="42" t="s">
        <v>252</v>
      </c>
      <c r="C1919" s="42" t="s">
        <v>875</v>
      </c>
      <c r="D1919" s="42" t="s">
        <v>183</v>
      </c>
      <c r="E1919" s="42" t="s">
        <v>808</v>
      </c>
      <c r="F1919" s="45">
        <v>-35000000</v>
      </c>
      <c r="G1919" s="42" t="s">
        <v>763</v>
      </c>
      <c r="H1919" s="42" t="s">
        <v>151</v>
      </c>
      <c r="I1919" s="42" t="s">
        <v>896</v>
      </c>
    </row>
    <row r="1920" spans="1:9">
      <c r="A1920" s="42" t="s">
        <v>759</v>
      </c>
      <c r="B1920" s="42" t="s">
        <v>253</v>
      </c>
      <c r="C1920" s="42" t="s">
        <v>876</v>
      </c>
      <c r="D1920" s="42" t="s">
        <v>183</v>
      </c>
      <c r="E1920" s="42" t="s">
        <v>808</v>
      </c>
      <c r="F1920" s="45">
        <v>-44000000</v>
      </c>
      <c r="G1920" s="42" t="s">
        <v>763</v>
      </c>
      <c r="H1920" s="42" t="s">
        <v>151</v>
      </c>
      <c r="I1920" s="42" t="s">
        <v>896</v>
      </c>
    </row>
    <row r="1921" spans="1:9">
      <c r="A1921" s="42" t="s">
        <v>759</v>
      </c>
      <c r="B1921" s="42" t="s">
        <v>254</v>
      </c>
      <c r="C1921" s="42" t="s">
        <v>877</v>
      </c>
      <c r="D1921" s="42" t="s">
        <v>183</v>
      </c>
      <c r="E1921" s="42" t="s">
        <v>808</v>
      </c>
      <c r="F1921" s="45">
        <v>640000000</v>
      </c>
      <c r="G1921" s="42" t="s">
        <v>763</v>
      </c>
      <c r="H1921" s="42" t="s">
        <v>151</v>
      </c>
      <c r="I1921" s="42" t="s">
        <v>896</v>
      </c>
    </row>
    <row r="1922" spans="1:9">
      <c r="A1922" s="42" t="s">
        <v>759</v>
      </c>
      <c r="B1922" s="42" t="s">
        <v>255</v>
      </c>
      <c r="C1922" s="42" t="s">
        <v>878</v>
      </c>
      <c r="D1922" s="42" t="s">
        <v>183</v>
      </c>
      <c r="E1922" s="42" t="s">
        <v>808</v>
      </c>
      <c r="F1922" s="45">
        <v>787000000</v>
      </c>
      <c r="G1922" s="42" t="s">
        <v>763</v>
      </c>
      <c r="H1922" s="42" t="s">
        <v>151</v>
      </c>
      <c r="I1922" s="42" t="s">
        <v>896</v>
      </c>
    </row>
    <row r="1923" spans="1:9">
      <c r="A1923" s="42" t="s">
        <v>759</v>
      </c>
      <c r="B1923" s="42" t="s">
        <v>256</v>
      </c>
      <c r="C1923" s="42" t="s">
        <v>880</v>
      </c>
      <c r="D1923" s="42" t="s">
        <v>183</v>
      </c>
      <c r="E1923" s="42" t="s">
        <v>808</v>
      </c>
      <c r="F1923" s="45">
        <v>6587000000</v>
      </c>
      <c r="G1923" s="42" t="s">
        <v>763</v>
      </c>
      <c r="H1923" s="42" t="s">
        <v>151</v>
      </c>
      <c r="I1923" s="42" t="s">
        <v>896</v>
      </c>
    </row>
    <row r="1924" spans="1:9">
      <c r="A1924" s="42" t="s">
        <v>759</v>
      </c>
      <c r="B1924" s="42" t="s">
        <v>257</v>
      </c>
      <c r="C1924" s="42" t="s">
        <v>881</v>
      </c>
      <c r="D1924" s="42" t="s">
        <v>183</v>
      </c>
      <c r="E1924" s="42" t="s">
        <v>808</v>
      </c>
      <c r="F1924" s="45">
        <v>33000000</v>
      </c>
      <c r="G1924" s="42" t="s">
        <v>763</v>
      </c>
      <c r="H1924" s="42" t="s">
        <v>151</v>
      </c>
      <c r="I1924" s="42" t="s">
        <v>896</v>
      </c>
    </row>
    <row r="1925" spans="1:9">
      <c r="A1925" s="42" t="s">
        <v>759</v>
      </c>
      <c r="B1925" s="42" t="s">
        <v>258</v>
      </c>
      <c r="C1925" s="42" t="s">
        <v>882</v>
      </c>
      <c r="D1925" s="42" t="s">
        <v>183</v>
      </c>
      <c r="E1925" s="42" t="s">
        <v>808</v>
      </c>
      <c r="F1925" s="45">
        <v>-193000000</v>
      </c>
      <c r="G1925" s="42" t="s">
        <v>763</v>
      </c>
      <c r="H1925" s="42" t="s">
        <v>151</v>
      </c>
      <c r="I1925" s="42" t="s">
        <v>896</v>
      </c>
    </row>
    <row r="1926" spans="1:9">
      <c r="A1926" s="42" t="s">
        <v>759</v>
      </c>
      <c r="B1926" s="42" t="s">
        <v>259</v>
      </c>
      <c r="C1926" s="42" t="s">
        <v>883</v>
      </c>
      <c r="D1926" s="42" t="s">
        <v>183</v>
      </c>
      <c r="E1926" s="42" t="s">
        <v>808</v>
      </c>
      <c r="F1926" s="45">
        <v>-352000000</v>
      </c>
      <c r="G1926" s="42" t="s">
        <v>763</v>
      </c>
      <c r="H1926" s="42" t="s">
        <v>151</v>
      </c>
      <c r="I1926" s="42" t="s">
        <v>896</v>
      </c>
    </row>
    <row r="1927" spans="1:9">
      <c r="A1927" s="42" t="s">
        <v>759</v>
      </c>
      <c r="B1927" s="42" t="s">
        <v>260</v>
      </c>
      <c r="C1927" s="42" t="s">
        <v>784</v>
      </c>
      <c r="D1927" s="42" t="s">
        <v>183</v>
      </c>
      <c r="E1927" s="42" t="s">
        <v>808</v>
      </c>
      <c r="F1927" s="45">
        <v>11366000000</v>
      </c>
      <c r="G1927" s="42" t="s">
        <v>763</v>
      </c>
      <c r="H1927" s="42" t="s">
        <v>151</v>
      </c>
      <c r="I1927" s="42" t="s">
        <v>896</v>
      </c>
    </row>
    <row r="1928" spans="1:9">
      <c r="A1928" s="42" t="s">
        <v>759</v>
      </c>
      <c r="B1928" s="42" t="s">
        <v>261</v>
      </c>
      <c r="C1928" s="42" t="s">
        <v>785</v>
      </c>
      <c r="D1928" s="42" t="s">
        <v>183</v>
      </c>
      <c r="E1928" s="42" t="s">
        <v>808</v>
      </c>
      <c r="F1928" s="45">
        <v>269000000</v>
      </c>
      <c r="G1928" s="42" t="s">
        <v>763</v>
      </c>
      <c r="H1928" s="42" t="s">
        <v>151</v>
      </c>
      <c r="I1928" s="42" t="s">
        <v>896</v>
      </c>
    </row>
    <row r="1929" spans="1:9">
      <c r="A1929" s="42" t="s">
        <v>759</v>
      </c>
      <c r="B1929" s="42" t="s">
        <v>262</v>
      </c>
      <c r="C1929" s="42" t="s">
        <v>787</v>
      </c>
      <c r="D1929" s="42" t="s">
        <v>183</v>
      </c>
      <c r="E1929" s="42" t="s">
        <v>808</v>
      </c>
      <c r="F1929" s="45">
        <v>11635000000</v>
      </c>
      <c r="G1929" s="42" t="s">
        <v>763</v>
      </c>
      <c r="H1929" s="42" t="s">
        <v>151</v>
      </c>
      <c r="I1929" s="42" t="s">
        <v>896</v>
      </c>
    </row>
    <row r="1930" spans="1:9">
      <c r="A1930" s="42" t="s">
        <v>759</v>
      </c>
      <c r="B1930" s="42" t="s">
        <v>301</v>
      </c>
      <c r="C1930" s="42" t="s">
        <v>832</v>
      </c>
      <c r="D1930" s="42" t="s">
        <v>183</v>
      </c>
      <c r="E1930" s="42" t="s">
        <v>808</v>
      </c>
      <c r="F1930" s="45">
        <v>639000000</v>
      </c>
      <c r="G1930" s="42" t="s">
        <v>763</v>
      </c>
      <c r="H1930" s="42" t="s">
        <v>151</v>
      </c>
      <c r="I1930" s="42" t="s">
        <v>896</v>
      </c>
    </row>
    <row r="1931" spans="1:9">
      <c r="A1931" s="42" t="s">
        <v>759</v>
      </c>
      <c r="B1931" s="42" t="s">
        <v>302</v>
      </c>
      <c r="C1931" s="42" t="s">
        <v>834</v>
      </c>
      <c r="D1931" s="42" t="s">
        <v>183</v>
      </c>
      <c r="E1931" s="42" t="s">
        <v>808</v>
      </c>
      <c r="F1931" s="45">
        <v>212000000</v>
      </c>
      <c r="G1931" s="42" t="s">
        <v>763</v>
      </c>
      <c r="H1931" s="42" t="s">
        <v>151</v>
      </c>
      <c r="I1931" s="42" t="s">
        <v>896</v>
      </c>
    </row>
    <row r="1932" spans="1:9">
      <c r="A1932" s="42" t="s">
        <v>759</v>
      </c>
      <c r="B1932" s="42" t="s">
        <v>303</v>
      </c>
      <c r="C1932" s="42" t="s">
        <v>833</v>
      </c>
      <c r="D1932" s="42" t="s">
        <v>183</v>
      </c>
      <c r="E1932" s="42" t="s">
        <v>808</v>
      </c>
      <c r="F1932" s="45">
        <v>511000000</v>
      </c>
      <c r="G1932" s="42" t="s">
        <v>763</v>
      </c>
      <c r="H1932" s="42" t="s">
        <v>151</v>
      </c>
      <c r="I1932" s="42" t="s">
        <v>896</v>
      </c>
    </row>
    <row r="1933" spans="1:9">
      <c r="A1933" s="42" t="s">
        <v>759</v>
      </c>
      <c r="B1933" s="42" t="s">
        <v>304</v>
      </c>
      <c r="C1933" s="42" t="s">
        <v>835</v>
      </c>
      <c r="D1933" s="42" t="s">
        <v>183</v>
      </c>
      <c r="E1933" s="42" t="s">
        <v>808</v>
      </c>
      <c r="F1933" s="45">
        <v>865000000</v>
      </c>
      <c r="G1933" s="42" t="s">
        <v>763</v>
      </c>
      <c r="H1933" s="42" t="s">
        <v>151</v>
      </c>
      <c r="I1933" s="42" t="s">
        <v>896</v>
      </c>
    </row>
    <row r="1934" spans="1:9">
      <c r="A1934" s="42" t="s">
        <v>759</v>
      </c>
      <c r="B1934" s="42" t="s">
        <v>305</v>
      </c>
      <c r="C1934" s="42" t="s">
        <v>837</v>
      </c>
      <c r="D1934" s="42" t="s">
        <v>183</v>
      </c>
      <c r="E1934" s="42" t="s">
        <v>808</v>
      </c>
      <c r="F1934" s="45">
        <v>19000000</v>
      </c>
      <c r="G1934" s="42" t="s">
        <v>763</v>
      </c>
      <c r="H1934" s="42" t="s">
        <v>151</v>
      </c>
      <c r="I1934" s="42" t="s">
        <v>896</v>
      </c>
    </row>
    <row r="1935" spans="1:9">
      <c r="A1935" s="42" t="s">
        <v>759</v>
      </c>
      <c r="B1935" s="42" t="s">
        <v>306</v>
      </c>
      <c r="C1935" s="42" t="s">
        <v>857</v>
      </c>
      <c r="D1935" s="42" t="s">
        <v>183</v>
      </c>
      <c r="E1935" s="42" t="s">
        <v>808</v>
      </c>
      <c r="F1935" s="45">
        <v>98000000</v>
      </c>
      <c r="G1935" s="42" t="s">
        <v>763</v>
      </c>
      <c r="H1935" s="42" t="s">
        <v>151</v>
      </c>
      <c r="I1935" s="42" t="s">
        <v>896</v>
      </c>
    </row>
    <row r="1936" spans="1:9">
      <c r="A1936" s="42" t="s">
        <v>759</v>
      </c>
      <c r="B1936" s="42" t="s">
        <v>307</v>
      </c>
      <c r="C1936" s="42" t="s">
        <v>838</v>
      </c>
      <c r="D1936" s="42" t="s">
        <v>183</v>
      </c>
      <c r="E1936" s="42" t="s">
        <v>808</v>
      </c>
      <c r="F1936" s="45">
        <v>332000000</v>
      </c>
      <c r="G1936" s="42" t="s">
        <v>763</v>
      </c>
      <c r="H1936" s="42" t="s">
        <v>151</v>
      </c>
      <c r="I1936" s="42" t="s">
        <v>896</v>
      </c>
    </row>
    <row r="1937" spans="1:9">
      <c r="A1937" s="42" t="s">
        <v>759</v>
      </c>
      <c r="B1937" s="42" t="s">
        <v>308</v>
      </c>
      <c r="C1937" s="42" t="s">
        <v>839</v>
      </c>
      <c r="D1937" s="42" t="s">
        <v>183</v>
      </c>
      <c r="E1937" s="42" t="s">
        <v>808</v>
      </c>
      <c r="F1937" s="45">
        <v>8526000000</v>
      </c>
      <c r="G1937" s="42" t="s">
        <v>763</v>
      </c>
      <c r="H1937" s="42" t="s">
        <v>151</v>
      </c>
      <c r="I1937" s="42" t="s">
        <v>896</v>
      </c>
    </row>
    <row r="1938" spans="1:9">
      <c r="A1938" s="42" t="s">
        <v>759</v>
      </c>
      <c r="B1938" s="42" t="s">
        <v>309</v>
      </c>
      <c r="C1938" s="42" t="s">
        <v>840</v>
      </c>
      <c r="D1938" s="42" t="s">
        <v>183</v>
      </c>
      <c r="E1938" s="42" t="s">
        <v>808</v>
      </c>
      <c r="F1938" s="45">
        <v>347000000</v>
      </c>
      <c r="G1938" s="42" t="s">
        <v>763</v>
      </c>
      <c r="H1938" s="42" t="s">
        <v>151</v>
      </c>
      <c r="I1938" s="42" t="s">
        <v>896</v>
      </c>
    </row>
    <row r="1939" spans="1:9">
      <c r="A1939" s="42" t="s">
        <v>759</v>
      </c>
      <c r="B1939" s="42" t="s">
        <v>310</v>
      </c>
      <c r="C1939" s="42" t="s">
        <v>841</v>
      </c>
      <c r="D1939" s="42" t="s">
        <v>183</v>
      </c>
      <c r="E1939" s="42" t="s">
        <v>808</v>
      </c>
      <c r="F1939" s="45">
        <v>6000000</v>
      </c>
      <c r="G1939" s="42" t="s">
        <v>763</v>
      </c>
      <c r="H1939" s="42" t="s">
        <v>151</v>
      </c>
      <c r="I1939" s="42" t="s">
        <v>896</v>
      </c>
    </row>
    <row r="1940" spans="1:9">
      <c r="A1940" s="42" t="s">
        <v>759</v>
      </c>
      <c r="B1940" s="42" t="s">
        <v>273</v>
      </c>
      <c r="C1940" s="42" t="s">
        <v>842</v>
      </c>
      <c r="D1940" s="42" t="s">
        <v>183</v>
      </c>
      <c r="E1940" s="42" t="s">
        <v>808</v>
      </c>
      <c r="F1940" s="45">
        <v>11555000000</v>
      </c>
      <c r="G1940" s="42" t="s">
        <v>763</v>
      </c>
      <c r="H1940" s="42" t="s">
        <v>151</v>
      </c>
      <c r="I1940" s="42" t="s">
        <v>896</v>
      </c>
    </row>
    <row r="1941" spans="1:9">
      <c r="A1941" s="42" t="s">
        <v>759</v>
      </c>
      <c r="B1941" s="42" t="s">
        <v>274</v>
      </c>
      <c r="C1941" s="42" t="s">
        <v>889</v>
      </c>
      <c r="D1941" s="42" t="s">
        <v>183</v>
      </c>
      <c r="E1941" s="42" t="s">
        <v>808</v>
      </c>
      <c r="F1941" s="45">
        <v>1060000000</v>
      </c>
      <c r="G1941" s="42" t="s">
        <v>763</v>
      </c>
      <c r="H1941" s="42" t="s">
        <v>151</v>
      </c>
      <c r="I1941" s="42" t="s">
        <v>896</v>
      </c>
    </row>
    <row r="1942" spans="1:9">
      <c r="A1942" s="42" t="s">
        <v>759</v>
      </c>
      <c r="B1942" s="42" t="s">
        <v>301</v>
      </c>
      <c r="C1942" s="42" t="s">
        <v>795</v>
      </c>
      <c r="D1942" s="42" t="s">
        <v>183</v>
      </c>
      <c r="E1942" s="42" t="s">
        <v>808</v>
      </c>
      <c r="F1942" s="45">
        <v>248000000</v>
      </c>
      <c r="G1942" s="42" t="s">
        <v>763</v>
      </c>
      <c r="H1942" s="42" t="s">
        <v>151</v>
      </c>
      <c r="I1942" s="42" t="s">
        <v>896</v>
      </c>
    </row>
    <row r="1943" spans="1:9">
      <c r="A1943" s="42" t="s">
        <v>759</v>
      </c>
      <c r="B1943" s="42" t="s">
        <v>302</v>
      </c>
      <c r="C1943" s="42" t="s">
        <v>797</v>
      </c>
      <c r="D1943" s="42" t="s">
        <v>183</v>
      </c>
      <c r="E1943" s="42" t="s">
        <v>808</v>
      </c>
      <c r="F1943" s="45">
        <v>145000000</v>
      </c>
      <c r="G1943" s="42" t="s">
        <v>763</v>
      </c>
      <c r="H1943" s="42" t="s">
        <v>151</v>
      </c>
      <c r="I1943" s="42" t="s">
        <v>896</v>
      </c>
    </row>
    <row r="1944" spans="1:9">
      <c r="A1944" s="42" t="s">
        <v>759</v>
      </c>
      <c r="B1944" s="42" t="s">
        <v>304</v>
      </c>
      <c r="C1944" s="42" t="s">
        <v>796</v>
      </c>
      <c r="D1944" s="42" t="s">
        <v>183</v>
      </c>
      <c r="E1944" s="42" t="s">
        <v>808</v>
      </c>
      <c r="F1944" s="45">
        <v>194000000</v>
      </c>
      <c r="G1944" s="42" t="s">
        <v>763</v>
      </c>
      <c r="H1944" s="42" t="s">
        <v>151</v>
      </c>
      <c r="I1944" s="42" t="s">
        <v>896</v>
      </c>
    </row>
    <row r="1945" spans="1:9">
      <c r="A1945" s="42" t="s">
        <v>759</v>
      </c>
      <c r="B1945" s="42" t="s">
        <v>305</v>
      </c>
      <c r="C1945" s="42" t="s">
        <v>798</v>
      </c>
      <c r="D1945" s="42" t="s">
        <v>183</v>
      </c>
      <c r="E1945" s="42" t="s">
        <v>808</v>
      </c>
      <c r="F1945" s="45">
        <v>350000000</v>
      </c>
      <c r="G1945" s="42" t="s">
        <v>763</v>
      </c>
      <c r="H1945" s="42" t="s">
        <v>151</v>
      </c>
      <c r="I1945" s="42" t="s">
        <v>896</v>
      </c>
    </row>
    <row r="1946" spans="1:9">
      <c r="A1946" s="42" t="s">
        <v>759</v>
      </c>
      <c r="B1946" s="42" t="s">
        <v>306</v>
      </c>
      <c r="C1946" s="42" t="s">
        <v>799</v>
      </c>
      <c r="D1946" s="42" t="s">
        <v>183</v>
      </c>
      <c r="E1946" s="42" t="s">
        <v>808</v>
      </c>
      <c r="F1946" s="45">
        <v>371000000</v>
      </c>
      <c r="G1946" s="42" t="s">
        <v>763</v>
      </c>
      <c r="H1946" s="42" t="s">
        <v>151</v>
      </c>
      <c r="I1946" s="42" t="s">
        <v>896</v>
      </c>
    </row>
    <row r="1947" spans="1:9">
      <c r="A1947" s="42" t="s">
        <v>759</v>
      </c>
      <c r="B1947" s="42" t="s">
        <v>307</v>
      </c>
      <c r="C1947" s="42" t="s">
        <v>843</v>
      </c>
      <c r="D1947" s="42" t="s">
        <v>183</v>
      </c>
      <c r="E1947" s="42" t="s">
        <v>808</v>
      </c>
      <c r="F1947" s="45">
        <v>308000000</v>
      </c>
      <c r="G1947" s="42" t="s">
        <v>763</v>
      </c>
      <c r="H1947" s="42" t="s">
        <v>151</v>
      </c>
      <c r="I1947" s="42" t="s">
        <v>896</v>
      </c>
    </row>
    <row r="1948" spans="1:9">
      <c r="A1948" s="42" t="s">
        <v>759</v>
      </c>
      <c r="B1948" s="42" t="s">
        <v>308</v>
      </c>
      <c r="C1948" s="42" t="s">
        <v>800</v>
      </c>
      <c r="D1948" s="42" t="s">
        <v>183</v>
      </c>
      <c r="E1948" s="42" t="s">
        <v>808</v>
      </c>
      <c r="F1948" s="45">
        <v>1591000000</v>
      </c>
      <c r="G1948" s="42" t="s">
        <v>763</v>
      </c>
      <c r="H1948" s="42" t="s">
        <v>151</v>
      </c>
      <c r="I1948" s="42" t="s">
        <v>896</v>
      </c>
    </row>
    <row r="1949" spans="1:9">
      <c r="A1949" s="42" t="s">
        <v>759</v>
      </c>
      <c r="B1949" s="42" t="s">
        <v>309</v>
      </c>
      <c r="C1949" s="42" t="s">
        <v>801</v>
      </c>
      <c r="D1949" s="42" t="s">
        <v>183</v>
      </c>
      <c r="E1949" s="42" t="s">
        <v>808</v>
      </c>
      <c r="F1949" s="45">
        <v>534000000</v>
      </c>
      <c r="G1949" s="42" t="s">
        <v>763</v>
      </c>
      <c r="H1949" s="42" t="s">
        <v>151</v>
      </c>
      <c r="I1949" s="42" t="s">
        <v>896</v>
      </c>
    </row>
    <row r="1950" spans="1:9">
      <c r="A1950" s="42" t="s">
        <v>759</v>
      </c>
      <c r="B1950" s="42" t="s">
        <v>310</v>
      </c>
      <c r="C1950" s="42" t="s">
        <v>802</v>
      </c>
      <c r="D1950" s="42" t="s">
        <v>183</v>
      </c>
      <c r="E1950" s="42" t="s">
        <v>808</v>
      </c>
      <c r="F1950" s="45">
        <v>2367000000</v>
      </c>
      <c r="G1950" s="42" t="s">
        <v>763</v>
      </c>
      <c r="H1950" s="42" t="s">
        <v>151</v>
      </c>
      <c r="I1950" s="42" t="s">
        <v>896</v>
      </c>
    </row>
    <row r="1951" spans="1:9">
      <c r="A1951" s="42" t="s">
        <v>759</v>
      </c>
      <c r="B1951" s="42" t="s">
        <v>284</v>
      </c>
      <c r="C1951" s="42" t="s">
        <v>803</v>
      </c>
      <c r="D1951" s="42" t="s">
        <v>183</v>
      </c>
      <c r="E1951" s="42" t="s">
        <v>808</v>
      </c>
      <c r="F1951" s="45">
        <v>7168000000</v>
      </c>
      <c r="G1951" s="42" t="s">
        <v>763</v>
      </c>
      <c r="H1951" s="42" t="s">
        <v>151</v>
      </c>
      <c r="I1951" s="42" t="s">
        <v>896</v>
      </c>
    </row>
    <row r="1952" spans="1:9">
      <c r="A1952" s="42" t="s">
        <v>759</v>
      </c>
      <c r="B1952" s="42" t="s">
        <v>285</v>
      </c>
      <c r="C1952" s="42" t="s">
        <v>804</v>
      </c>
      <c r="D1952" s="42" t="s">
        <v>183</v>
      </c>
      <c r="E1952" s="42" t="s">
        <v>808</v>
      </c>
      <c r="F1952" s="45">
        <v>18723000000</v>
      </c>
      <c r="G1952" s="42" t="s">
        <v>763</v>
      </c>
      <c r="H1952" s="42" t="s">
        <v>151</v>
      </c>
      <c r="I1952" s="42" t="s">
        <v>896</v>
      </c>
    </row>
    <row r="1953" spans="1:9">
      <c r="A1953" s="42" t="s">
        <v>759</v>
      </c>
      <c r="B1953" s="42" t="s">
        <v>286</v>
      </c>
      <c r="C1953" s="42" t="s">
        <v>806</v>
      </c>
      <c r="D1953" s="42" t="s">
        <v>183</v>
      </c>
      <c r="E1953" s="42" t="s">
        <v>808</v>
      </c>
      <c r="F1953" s="45">
        <v>30358000000</v>
      </c>
      <c r="G1953" s="42" t="s">
        <v>763</v>
      </c>
      <c r="H1953" s="42" t="s">
        <v>151</v>
      </c>
      <c r="I1953" s="42" t="s">
        <v>896</v>
      </c>
    </row>
    <row r="1954" spans="1:9">
      <c r="A1954" s="42" t="s">
        <v>759</v>
      </c>
      <c r="B1954" s="42" t="s">
        <v>287</v>
      </c>
      <c r="C1954" s="42" t="s">
        <v>821</v>
      </c>
      <c r="D1954" s="42" t="s">
        <v>184</v>
      </c>
      <c r="E1954" s="42" t="s">
        <v>808</v>
      </c>
      <c r="F1954" s="45">
        <v>1079000000</v>
      </c>
      <c r="G1954" s="42" t="s">
        <v>763</v>
      </c>
      <c r="H1954" s="42" t="s">
        <v>153</v>
      </c>
      <c r="I1954" s="42" t="s">
        <v>893</v>
      </c>
    </row>
    <row r="1955" spans="1:9">
      <c r="A1955" s="42" t="s">
        <v>759</v>
      </c>
      <c r="B1955" s="42" t="s">
        <v>288</v>
      </c>
      <c r="C1955" s="42" t="s">
        <v>823</v>
      </c>
      <c r="D1955" s="42" t="s">
        <v>184</v>
      </c>
      <c r="E1955" s="42" t="s">
        <v>808</v>
      </c>
      <c r="F1955" s="45">
        <v>20433000000</v>
      </c>
      <c r="G1955" s="42" t="s">
        <v>763</v>
      </c>
      <c r="H1955" s="42" t="s">
        <v>153</v>
      </c>
      <c r="I1955" s="42" t="s">
        <v>893</v>
      </c>
    </row>
    <row r="1956" spans="1:9">
      <c r="A1956" s="42" t="s">
        <v>759</v>
      </c>
      <c r="B1956" s="42" t="s">
        <v>289</v>
      </c>
      <c r="C1956" s="42" t="s">
        <v>825</v>
      </c>
      <c r="D1956" s="42" t="s">
        <v>184</v>
      </c>
      <c r="E1956" s="42" t="s">
        <v>808</v>
      </c>
      <c r="F1956" s="45">
        <v>689000000</v>
      </c>
      <c r="G1956" s="42" t="s">
        <v>763</v>
      </c>
      <c r="H1956" s="42" t="s">
        <v>153</v>
      </c>
      <c r="I1956" s="42" t="s">
        <v>893</v>
      </c>
    </row>
    <row r="1957" spans="1:9">
      <c r="A1957" s="42" t="s">
        <v>759</v>
      </c>
      <c r="B1957" s="42" t="s">
        <v>290</v>
      </c>
      <c r="C1957" s="42" t="s">
        <v>826</v>
      </c>
      <c r="D1957" s="42" t="s">
        <v>184</v>
      </c>
      <c r="E1957" s="42" t="s">
        <v>808</v>
      </c>
      <c r="F1957" s="45">
        <v>2056000000</v>
      </c>
      <c r="G1957" s="42" t="s">
        <v>763</v>
      </c>
      <c r="H1957" s="42" t="s">
        <v>153</v>
      </c>
      <c r="I1957" s="42" t="s">
        <v>893</v>
      </c>
    </row>
    <row r="1958" spans="1:9">
      <c r="A1958" s="42" t="s">
        <v>759</v>
      </c>
      <c r="B1958" s="42" t="s">
        <v>291</v>
      </c>
      <c r="C1958" s="42" t="s">
        <v>827</v>
      </c>
      <c r="D1958" s="42" t="s">
        <v>184</v>
      </c>
      <c r="E1958" s="42" t="s">
        <v>808</v>
      </c>
      <c r="F1958" s="45">
        <v>24000000</v>
      </c>
      <c r="G1958" s="42" t="s">
        <v>763</v>
      </c>
      <c r="H1958" s="42" t="s">
        <v>153</v>
      </c>
      <c r="I1958" s="42" t="s">
        <v>893</v>
      </c>
    </row>
    <row r="1959" spans="1:9">
      <c r="A1959" s="42" t="s">
        <v>759</v>
      </c>
      <c r="B1959" s="42" t="s">
        <v>292</v>
      </c>
      <c r="C1959" s="42" t="s">
        <v>828</v>
      </c>
      <c r="D1959" s="42" t="s">
        <v>184</v>
      </c>
      <c r="E1959" s="42" t="s">
        <v>808</v>
      </c>
      <c r="F1959" s="45">
        <v>797000000</v>
      </c>
      <c r="G1959" s="42" t="s">
        <v>763</v>
      </c>
      <c r="H1959" s="42" t="s">
        <v>153</v>
      </c>
      <c r="I1959" s="42" t="s">
        <v>893</v>
      </c>
    </row>
    <row r="1960" spans="1:9">
      <c r="A1960" s="42" t="s">
        <v>759</v>
      </c>
      <c r="B1960" s="42" t="s">
        <v>293</v>
      </c>
      <c r="C1960" s="42" t="s">
        <v>829</v>
      </c>
      <c r="D1960" s="42" t="s">
        <v>184</v>
      </c>
      <c r="E1960" s="42" t="s">
        <v>808</v>
      </c>
      <c r="F1960" s="45">
        <v>6000000</v>
      </c>
      <c r="G1960" s="42" t="s">
        <v>763</v>
      </c>
      <c r="H1960" s="42" t="s">
        <v>153</v>
      </c>
      <c r="I1960" s="42" t="s">
        <v>893</v>
      </c>
    </row>
    <row r="1961" spans="1:9">
      <c r="A1961" s="42" t="s">
        <v>759</v>
      </c>
      <c r="B1961" s="42" t="s">
        <v>239</v>
      </c>
      <c r="C1961" s="42" t="s">
        <v>830</v>
      </c>
      <c r="D1961" s="42" t="s">
        <v>184</v>
      </c>
      <c r="E1961" s="42" t="s">
        <v>808</v>
      </c>
      <c r="F1961" s="45">
        <v>25084000000</v>
      </c>
      <c r="G1961" s="42" t="s">
        <v>763</v>
      </c>
      <c r="H1961" s="42" t="s">
        <v>153</v>
      </c>
      <c r="I1961" s="42" t="s">
        <v>893</v>
      </c>
    </row>
    <row r="1962" spans="1:9">
      <c r="A1962" s="42" t="s">
        <v>759</v>
      </c>
      <c r="B1962" s="42" t="s">
        <v>240</v>
      </c>
      <c r="C1962" s="42" t="s">
        <v>818</v>
      </c>
      <c r="D1962" s="42" t="s">
        <v>184</v>
      </c>
      <c r="E1962" s="42" t="s">
        <v>808</v>
      </c>
      <c r="F1962" s="45">
        <v>432000000</v>
      </c>
      <c r="G1962" s="42" t="s">
        <v>763</v>
      </c>
      <c r="H1962" s="42" t="s">
        <v>153</v>
      </c>
      <c r="I1962" s="42" t="s">
        <v>893</v>
      </c>
    </row>
    <row r="1963" spans="1:9">
      <c r="A1963" s="42" t="s">
        <v>759</v>
      </c>
      <c r="B1963" s="42" t="s">
        <v>241</v>
      </c>
      <c r="C1963" s="42" t="s">
        <v>772</v>
      </c>
      <c r="D1963" s="42" t="s">
        <v>184</v>
      </c>
      <c r="E1963" s="42" t="s">
        <v>808</v>
      </c>
      <c r="F1963" s="45">
        <v>1643000000</v>
      </c>
      <c r="G1963" s="42" t="s">
        <v>763</v>
      </c>
      <c r="H1963" s="42" t="s">
        <v>153</v>
      </c>
      <c r="I1963" s="42" t="s">
        <v>893</v>
      </c>
    </row>
    <row r="1964" spans="1:9">
      <c r="A1964" s="42" t="s">
        <v>759</v>
      </c>
      <c r="B1964" s="42" t="s">
        <v>242</v>
      </c>
      <c r="C1964" s="42" t="s">
        <v>773</v>
      </c>
      <c r="D1964" s="42" t="s">
        <v>184</v>
      </c>
      <c r="E1964" s="42" t="s">
        <v>808</v>
      </c>
      <c r="F1964" s="45">
        <v>7000000</v>
      </c>
      <c r="G1964" s="42" t="s">
        <v>763</v>
      </c>
      <c r="H1964" s="42" t="s">
        <v>153</v>
      </c>
      <c r="I1964" s="42" t="s">
        <v>893</v>
      </c>
    </row>
    <row r="1965" spans="1:9">
      <c r="A1965" s="42" t="s">
        <v>759</v>
      </c>
      <c r="B1965" s="42" t="s">
        <v>292</v>
      </c>
      <c r="C1965" s="42" t="s">
        <v>774</v>
      </c>
      <c r="D1965" s="42" t="s">
        <v>184</v>
      </c>
      <c r="E1965" s="42" t="s">
        <v>808</v>
      </c>
      <c r="F1965" s="45">
        <v>666000000</v>
      </c>
      <c r="G1965" s="42" t="s">
        <v>763</v>
      </c>
      <c r="H1965" s="42" t="s">
        <v>153</v>
      </c>
      <c r="I1965" s="42" t="s">
        <v>893</v>
      </c>
    </row>
    <row r="1966" spans="1:9">
      <c r="A1966" s="42" t="s">
        <v>759</v>
      </c>
      <c r="B1966" s="42" t="s">
        <v>293</v>
      </c>
      <c r="C1966" s="42" t="s">
        <v>775</v>
      </c>
      <c r="D1966" s="42" t="s">
        <v>184</v>
      </c>
      <c r="E1966" s="42" t="s">
        <v>808</v>
      </c>
      <c r="F1966" s="45">
        <v>2087000000</v>
      </c>
      <c r="G1966" s="42" t="s">
        <v>763</v>
      </c>
      <c r="H1966" s="42" t="s">
        <v>153</v>
      </c>
      <c r="I1966" s="42" t="s">
        <v>893</v>
      </c>
    </row>
    <row r="1967" spans="1:9">
      <c r="A1967" s="42" t="s">
        <v>759</v>
      </c>
      <c r="B1967" s="42" t="s">
        <v>862</v>
      </c>
      <c r="C1967" s="42" t="s">
        <v>776</v>
      </c>
      <c r="D1967" s="42" t="s">
        <v>184</v>
      </c>
      <c r="E1967" s="42" t="s">
        <v>808</v>
      </c>
      <c r="F1967" s="45">
        <v>1156000000</v>
      </c>
      <c r="G1967" s="42" t="s">
        <v>763</v>
      </c>
      <c r="H1967" s="42" t="s">
        <v>153</v>
      </c>
      <c r="I1967" s="42" t="s">
        <v>893</v>
      </c>
    </row>
    <row r="1968" spans="1:9">
      <c r="A1968" s="42" t="s">
        <v>759</v>
      </c>
      <c r="B1968" s="42" t="s">
        <v>246</v>
      </c>
      <c r="C1968" s="42" t="s">
        <v>777</v>
      </c>
      <c r="D1968" s="42" t="s">
        <v>184</v>
      </c>
      <c r="E1968" s="42" t="s">
        <v>808</v>
      </c>
      <c r="F1968" s="45">
        <v>1318000000</v>
      </c>
      <c r="G1968" s="42" t="s">
        <v>763</v>
      </c>
      <c r="H1968" s="42" t="s">
        <v>153</v>
      </c>
      <c r="I1968" s="42" t="s">
        <v>893</v>
      </c>
    </row>
    <row r="1969" spans="1:9">
      <c r="A1969" s="42" t="s">
        <v>759</v>
      </c>
      <c r="B1969" s="42" t="s">
        <v>247</v>
      </c>
      <c r="C1969" s="42" t="s">
        <v>778</v>
      </c>
      <c r="D1969" s="42" t="s">
        <v>184</v>
      </c>
      <c r="E1969" s="42" t="s">
        <v>808</v>
      </c>
      <c r="F1969" s="45">
        <v>7309000000</v>
      </c>
      <c r="G1969" s="42" t="s">
        <v>763</v>
      </c>
      <c r="H1969" s="42" t="s">
        <v>153</v>
      </c>
      <c r="I1969" s="42" t="s">
        <v>893</v>
      </c>
    </row>
    <row r="1970" spans="1:9">
      <c r="A1970" s="42" t="s">
        <v>759</v>
      </c>
      <c r="B1970" s="42" t="s">
        <v>248</v>
      </c>
      <c r="C1970" s="42" t="s">
        <v>779</v>
      </c>
      <c r="D1970" s="42" t="s">
        <v>184</v>
      </c>
      <c r="E1970" s="42" t="s">
        <v>808</v>
      </c>
      <c r="F1970" s="45">
        <v>32393000000</v>
      </c>
      <c r="G1970" s="42" t="s">
        <v>763</v>
      </c>
      <c r="H1970" s="42" t="s">
        <v>153</v>
      </c>
      <c r="I1970" s="42" t="s">
        <v>893</v>
      </c>
    </row>
    <row r="1971" spans="1:9">
      <c r="A1971" s="42" t="s">
        <v>759</v>
      </c>
      <c r="B1971" s="42" t="s">
        <v>249</v>
      </c>
      <c r="C1971" s="42" t="s">
        <v>872</v>
      </c>
      <c r="D1971" s="42" t="s">
        <v>184</v>
      </c>
      <c r="E1971" s="42" t="s">
        <v>808</v>
      </c>
      <c r="F1971" s="45">
        <v>3916000000</v>
      </c>
      <c r="G1971" s="42" t="s">
        <v>763</v>
      </c>
      <c r="H1971" s="42" t="s">
        <v>153</v>
      </c>
      <c r="I1971" s="42" t="s">
        <v>893</v>
      </c>
    </row>
    <row r="1972" spans="1:9">
      <c r="A1972" s="42" t="s">
        <v>759</v>
      </c>
      <c r="B1972" s="42" t="s">
        <v>250</v>
      </c>
      <c r="C1972" s="42" t="s">
        <v>873</v>
      </c>
      <c r="D1972" s="42" t="s">
        <v>184</v>
      </c>
      <c r="E1972" s="42" t="s">
        <v>808</v>
      </c>
      <c r="F1972" s="45">
        <v>17000000</v>
      </c>
      <c r="G1972" s="42" t="s">
        <v>763</v>
      </c>
      <c r="H1972" s="42" t="s">
        <v>153</v>
      </c>
      <c r="I1972" s="42" t="s">
        <v>893</v>
      </c>
    </row>
    <row r="1973" spans="1:9">
      <c r="A1973" s="42" t="s">
        <v>759</v>
      </c>
      <c r="B1973" s="42" t="s">
        <v>251</v>
      </c>
      <c r="C1973" s="42" t="s">
        <v>874</v>
      </c>
      <c r="D1973" s="42" t="s">
        <v>184</v>
      </c>
      <c r="E1973" s="42" t="s">
        <v>808</v>
      </c>
      <c r="F1973" s="45">
        <v>14000000</v>
      </c>
      <c r="G1973" s="42" t="s">
        <v>763</v>
      </c>
      <c r="H1973" s="42" t="s">
        <v>153</v>
      </c>
      <c r="I1973" s="42" t="s">
        <v>893</v>
      </c>
    </row>
    <row r="1974" spans="1:9">
      <c r="A1974" s="42" t="s">
        <v>759</v>
      </c>
      <c r="B1974" s="42" t="s">
        <v>252</v>
      </c>
      <c r="C1974" s="42" t="s">
        <v>875</v>
      </c>
      <c r="D1974" s="42" t="s">
        <v>184</v>
      </c>
      <c r="E1974" s="42" t="s">
        <v>808</v>
      </c>
      <c r="F1974" s="45">
        <v>-62000000</v>
      </c>
      <c r="G1974" s="42" t="s">
        <v>763</v>
      </c>
      <c r="H1974" s="42" t="s">
        <v>153</v>
      </c>
      <c r="I1974" s="42" t="s">
        <v>893</v>
      </c>
    </row>
    <row r="1975" spans="1:9">
      <c r="A1975" s="42" t="s">
        <v>759</v>
      </c>
      <c r="B1975" s="42" t="s">
        <v>253</v>
      </c>
      <c r="C1975" s="42" t="s">
        <v>876</v>
      </c>
      <c r="D1975" s="42" t="s">
        <v>184</v>
      </c>
      <c r="E1975" s="42" t="s">
        <v>808</v>
      </c>
      <c r="F1975" s="45">
        <v>-44000000</v>
      </c>
      <c r="G1975" s="42" t="s">
        <v>763</v>
      </c>
      <c r="H1975" s="42" t="s">
        <v>153</v>
      </c>
      <c r="I1975" s="42" t="s">
        <v>893</v>
      </c>
    </row>
    <row r="1976" spans="1:9">
      <c r="A1976" s="42" t="s">
        <v>759</v>
      </c>
      <c r="B1976" s="42" t="s">
        <v>254</v>
      </c>
      <c r="C1976" s="42" t="s">
        <v>877</v>
      </c>
      <c r="D1976" s="42" t="s">
        <v>184</v>
      </c>
      <c r="E1976" s="42" t="s">
        <v>808</v>
      </c>
      <c r="F1976" s="45">
        <v>640000000</v>
      </c>
      <c r="G1976" s="42" t="s">
        <v>763</v>
      </c>
      <c r="H1976" s="42" t="s">
        <v>153</v>
      </c>
      <c r="I1976" s="42" t="s">
        <v>893</v>
      </c>
    </row>
    <row r="1977" spans="1:9">
      <c r="A1977" s="42" t="s">
        <v>759</v>
      </c>
      <c r="B1977" s="42" t="s">
        <v>255</v>
      </c>
      <c r="C1977" s="42" t="s">
        <v>878</v>
      </c>
      <c r="D1977" s="42" t="s">
        <v>184</v>
      </c>
      <c r="E1977" s="42" t="s">
        <v>808</v>
      </c>
      <c r="F1977" s="45">
        <v>787000000</v>
      </c>
      <c r="G1977" s="42" t="s">
        <v>763</v>
      </c>
      <c r="H1977" s="42" t="s">
        <v>153</v>
      </c>
      <c r="I1977" s="42" t="s">
        <v>893</v>
      </c>
    </row>
    <row r="1978" spans="1:9">
      <c r="A1978" s="42" t="s">
        <v>759</v>
      </c>
      <c r="B1978" s="42" t="s">
        <v>256</v>
      </c>
      <c r="C1978" s="42" t="s">
        <v>880</v>
      </c>
      <c r="D1978" s="42" t="s">
        <v>184</v>
      </c>
      <c r="E1978" s="42" t="s">
        <v>808</v>
      </c>
      <c r="F1978" s="45">
        <v>5802000000</v>
      </c>
      <c r="G1978" s="42" t="s">
        <v>763</v>
      </c>
      <c r="H1978" s="42" t="s">
        <v>153</v>
      </c>
      <c r="I1978" s="42" t="s">
        <v>893</v>
      </c>
    </row>
    <row r="1979" spans="1:9">
      <c r="A1979" s="42" t="s">
        <v>759</v>
      </c>
      <c r="B1979" s="42" t="s">
        <v>257</v>
      </c>
      <c r="C1979" s="42" t="s">
        <v>881</v>
      </c>
      <c r="D1979" s="42" t="s">
        <v>184</v>
      </c>
      <c r="E1979" s="42" t="s">
        <v>808</v>
      </c>
      <c r="F1979" s="45">
        <v>27000000</v>
      </c>
      <c r="G1979" s="42" t="s">
        <v>763</v>
      </c>
      <c r="H1979" s="42" t="s">
        <v>153</v>
      </c>
      <c r="I1979" s="42" t="s">
        <v>893</v>
      </c>
    </row>
    <row r="1980" spans="1:9">
      <c r="A1980" s="42" t="s">
        <v>759</v>
      </c>
      <c r="B1980" s="42" t="s">
        <v>258</v>
      </c>
      <c r="C1980" s="42" t="s">
        <v>882</v>
      </c>
      <c r="D1980" s="42" t="s">
        <v>184</v>
      </c>
      <c r="E1980" s="42" t="s">
        <v>808</v>
      </c>
      <c r="F1980" s="45">
        <v>-211000000</v>
      </c>
      <c r="G1980" s="42" t="s">
        <v>763</v>
      </c>
      <c r="H1980" s="42" t="s">
        <v>153</v>
      </c>
      <c r="I1980" s="42" t="s">
        <v>893</v>
      </c>
    </row>
    <row r="1981" spans="1:9">
      <c r="A1981" s="42" t="s">
        <v>759</v>
      </c>
      <c r="B1981" s="42" t="s">
        <v>259</v>
      </c>
      <c r="C1981" s="42" t="s">
        <v>883</v>
      </c>
      <c r="D1981" s="42" t="s">
        <v>184</v>
      </c>
      <c r="E1981" s="42" t="s">
        <v>808</v>
      </c>
      <c r="F1981" s="45">
        <v>1640000000</v>
      </c>
      <c r="G1981" s="42" t="s">
        <v>763</v>
      </c>
      <c r="H1981" s="42" t="s">
        <v>153</v>
      </c>
      <c r="I1981" s="42" t="s">
        <v>893</v>
      </c>
    </row>
    <row r="1982" spans="1:9">
      <c r="A1982" s="42" t="s">
        <v>759</v>
      </c>
      <c r="B1982" s="42" t="s">
        <v>260</v>
      </c>
      <c r="C1982" s="42" t="s">
        <v>784</v>
      </c>
      <c r="D1982" s="42" t="s">
        <v>184</v>
      </c>
      <c r="E1982" s="42" t="s">
        <v>808</v>
      </c>
      <c r="F1982" s="45">
        <v>12526000000</v>
      </c>
      <c r="G1982" s="42" t="s">
        <v>763</v>
      </c>
      <c r="H1982" s="42" t="s">
        <v>153</v>
      </c>
      <c r="I1982" s="42" t="s">
        <v>893</v>
      </c>
    </row>
    <row r="1983" spans="1:9">
      <c r="A1983" s="42" t="s">
        <v>759</v>
      </c>
      <c r="B1983" s="42" t="s">
        <v>261</v>
      </c>
      <c r="C1983" s="42" t="s">
        <v>785</v>
      </c>
      <c r="D1983" s="42" t="s">
        <v>184</v>
      </c>
      <c r="E1983" s="42" t="s">
        <v>808</v>
      </c>
      <c r="F1983" s="45">
        <v>269000000</v>
      </c>
      <c r="G1983" s="42" t="s">
        <v>763</v>
      </c>
      <c r="H1983" s="42" t="s">
        <v>153</v>
      </c>
      <c r="I1983" s="42" t="s">
        <v>893</v>
      </c>
    </row>
    <row r="1984" spans="1:9">
      <c r="A1984" s="42" t="s">
        <v>759</v>
      </c>
      <c r="B1984" s="42" t="s">
        <v>262</v>
      </c>
      <c r="C1984" s="42" t="s">
        <v>787</v>
      </c>
      <c r="D1984" s="42" t="s">
        <v>184</v>
      </c>
      <c r="E1984" s="42" t="s">
        <v>808</v>
      </c>
      <c r="F1984" s="45">
        <v>12795000000</v>
      </c>
      <c r="G1984" s="42" t="s">
        <v>763</v>
      </c>
      <c r="H1984" s="42" t="s">
        <v>153</v>
      </c>
      <c r="I1984" s="42" t="s">
        <v>893</v>
      </c>
    </row>
    <row r="1985" spans="1:9">
      <c r="A1985" s="42" t="s">
        <v>759</v>
      </c>
      <c r="B1985" s="42" t="s">
        <v>301</v>
      </c>
      <c r="C1985" s="42" t="s">
        <v>832</v>
      </c>
      <c r="D1985" s="42" t="s">
        <v>184</v>
      </c>
      <c r="E1985" s="42" t="s">
        <v>808</v>
      </c>
      <c r="F1985" s="45">
        <v>661000000</v>
      </c>
      <c r="G1985" s="42" t="s">
        <v>763</v>
      </c>
      <c r="H1985" s="42" t="s">
        <v>153</v>
      </c>
      <c r="I1985" s="42" t="s">
        <v>893</v>
      </c>
    </row>
    <row r="1986" spans="1:9">
      <c r="A1986" s="42" t="s">
        <v>759</v>
      </c>
      <c r="B1986" s="42" t="s">
        <v>302</v>
      </c>
      <c r="C1986" s="42" t="s">
        <v>834</v>
      </c>
      <c r="D1986" s="42" t="s">
        <v>184</v>
      </c>
      <c r="E1986" s="42" t="s">
        <v>808</v>
      </c>
      <c r="F1986" s="45">
        <v>236000000</v>
      </c>
      <c r="G1986" s="42" t="s">
        <v>763</v>
      </c>
      <c r="H1986" s="42" t="s">
        <v>153</v>
      </c>
      <c r="I1986" s="42" t="s">
        <v>893</v>
      </c>
    </row>
    <row r="1987" spans="1:9">
      <c r="A1987" s="42" t="s">
        <v>759</v>
      </c>
      <c r="B1987" s="42" t="s">
        <v>303</v>
      </c>
      <c r="C1987" s="42" t="s">
        <v>833</v>
      </c>
      <c r="D1987" s="42" t="s">
        <v>184</v>
      </c>
      <c r="E1987" s="42" t="s">
        <v>808</v>
      </c>
      <c r="F1987" s="45">
        <v>446000000</v>
      </c>
      <c r="G1987" s="42" t="s">
        <v>763</v>
      </c>
      <c r="H1987" s="42" t="s">
        <v>153</v>
      </c>
      <c r="I1987" s="42" t="s">
        <v>893</v>
      </c>
    </row>
    <row r="1988" spans="1:9">
      <c r="A1988" s="42" t="s">
        <v>759</v>
      </c>
      <c r="B1988" s="42" t="s">
        <v>304</v>
      </c>
      <c r="C1988" s="42" t="s">
        <v>835</v>
      </c>
      <c r="D1988" s="42" t="s">
        <v>184</v>
      </c>
      <c r="E1988" s="42" t="s">
        <v>808</v>
      </c>
      <c r="F1988" s="45">
        <v>801000000</v>
      </c>
      <c r="G1988" s="42" t="s">
        <v>763</v>
      </c>
      <c r="H1988" s="42" t="s">
        <v>153</v>
      </c>
      <c r="I1988" s="42" t="s">
        <v>893</v>
      </c>
    </row>
    <row r="1989" spans="1:9">
      <c r="A1989" s="42" t="s">
        <v>759</v>
      </c>
      <c r="B1989" s="42" t="s">
        <v>305</v>
      </c>
      <c r="C1989" s="42" t="s">
        <v>837</v>
      </c>
      <c r="D1989" s="42" t="s">
        <v>184</v>
      </c>
      <c r="E1989" s="42" t="s">
        <v>808</v>
      </c>
      <c r="F1989" s="45">
        <v>12000000</v>
      </c>
      <c r="G1989" s="42" t="s">
        <v>763</v>
      </c>
      <c r="H1989" s="42" t="s">
        <v>153</v>
      </c>
      <c r="I1989" s="42" t="s">
        <v>893</v>
      </c>
    </row>
    <row r="1990" spans="1:9">
      <c r="A1990" s="42" t="s">
        <v>759</v>
      </c>
      <c r="B1990" s="42" t="s">
        <v>306</v>
      </c>
      <c r="C1990" s="42" t="s">
        <v>857</v>
      </c>
      <c r="D1990" s="42" t="s">
        <v>184</v>
      </c>
      <c r="E1990" s="42" t="s">
        <v>808</v>
      </c>
      <c r="F1990" s="45">
        <v>134000000</v>
      </c>
      <c r="G1990" s="42" t="s">
        <v>763</v>
      </c>
      <c r="H1990" s="42" t="s">
        <v>153</v>
      </c>
      <c r="I1990" s="42" t="s">
        <v>893</v>
      </c>
    </row>
    <row r="1991" spans="1:9">
      <c r="A1991" s="42" t="s">
        <v>759</v>
      </c>
      <c r="B1991" s="42" t="s">
        <v>307</v>
      </c>
      <c r="C1991" s="42" t="s">
        <v>838</v>
      </c>
      <c r="D1991" s="42" t="s">
        <v>184</v>
      </c>
      <c r="E1991" s="42" t="s">
        <v>808</v>
      </c>
      <c r="F1991" s="45">
        <v>410000000</v>
      </c>
      <c r="G1991" s="42" t="s">
        <v>763</v>
      </c>
      <c r="H1991" s="42" t="s">
        <v>153</v>
      </c>
      <c r="I1991" s="42" t="s">
        <v>893</v>
      </c>
    </row>
    <row r="1992" spans="1:9">
      <c r="A1992" s="42" t="s">
        <v>759</v>
      </c>
      <c r="B1992" s="42" t="s">
        <v>308</v>
      </c>
      <c r="C1992" s="42" t="s">
        <v>839</v>
      </c>
      <c r="D1992" s="42" t="s">
        <v>184</v>
      </c>
      <c r="E1992" s="42" t="s">
        <v>808</v>
      </c>
      <c r="F1992" s="45">
        <v>8521000000</v>
      </c>
      <c r="G1992" s="42" t="s">
        <v>763</v>
      </c>
      <c r="H1992" s="42" t="s">
        <v>153</v>
      </c>
      <c r="I1992" s="42" t="s">
        <v>893</v>
      </c>
    </row>
    <row r="1993" spans="1:9">
      <c r="A1993" s="42" t="s">
        <v>759</v>
      </c>
      <c r="B1993" s="42" t="s">
        <v>309</v>
      </c>
      <c r="C1993" s="42" t="s">
        <v>840</v>
      </c>
      <c r="D1993" s="42" t="s">
        <v>184</v>
      </c>
      <c r="E1993" s="42" t="s">
        <v>808</v>
      </c>
      <c r="F1993" s="45">
        <v>547000000</v>
      </c>
      <c r="G1993" s="42" t="s">
        <v>763</v>
      </c>
      <c r="H1993" s="42" t="s">
        <v>153</v>
      </c>
      <c r="I1993" s="42" t="s">
        <v>893</v>
      </c>
    </row>
    <row r="1994" spans="1:9">
      <c r="A1994" s="42" t="s">
        <v>759</v>
      </c>
      <c r="B1994" s="42" t="s">
        <v>310</v>
      </c>
      <c r="C1994" s="42" t="s">
        <v>841</v>
      </c>
      <c r="D1994" s="42" t="s">
        <v>184</v>
      </c>
      <c r="E1994" s="42" t="s">
        <v>808</v>
      </c>
      <c r="F1994" s="45">
        <v>5000000</v>
      </c>
      <c r="G1994" s="42" t="s">
        <v>763</v>
      </c>
      <c r="H1994" s="42" t="s">
        <v>153</v>
      </c>
      <c r="I1994" s="42" t="s">
        <v>893</v>
      </c>
    </row>
    <row r="1995" spans="1:9">
      <c r="A1995" s="42" t="s">
        <v>759</v>
      </c>
      <c r="B1995" s="42" t="s">
        <v>273</v>
      </c>
      <c r="C1995" s="42" t="s">
        <v>842</v>
      </c>
      <c r="D1995" s="42" t="s">
        <v>184</v>
      </c>
      <c r="E1995" s="42" t="s">
        <v>808</v>
      </c>
      <c r="F1995" s="45">
        <v>11773000000</v>
      </c>
      <c r="G1995" s="42" t="s">
        <v>763</v>
      </c>
      <c r="H1995" s="42" t="s">
        <v>153</v>
      </c>
      <c r="I1995" s="42" t="s">
        <v>893</v>
      </c>
    </row>
    <row r="1996" spans="1:9">
      <c r="A1996" s="42" t="s">
        <v>759</v>
      </c>
      <c r="B1996" s="42" t="s">
        <v>274</v>
      </c>
      <c r="C1996" s="42" t="s">
        <v>889</v>
      </c>
      <c r="D1996" s="42" t="s">
        <v>184</v>
      </c>
      <c r="E1996" s="42" t="s">
        <v>808</v>
      </c>
      <c r="F1996" s="45">
        <v>981000000</v>
      </c>
      <c r="G1996" s="42" t="s">
        <v>763</v>
      </c>
      <c r="H1996" s="42" t="s">
        <v>153</v>
      </c>
      <c r="I1996" s="42" t="s">
        <v>893</v>
      </c>
    </row>
    <row r="1997" spans="1:9">
      <c r="A1997" s="42" t="s">
        <v>759</v>
      </c>
      <c r="B1997" s="42" t="s">
        <v>301</v>
      </c>
      <c r="C1997" s="42" t="s">
        <v>795</v>
      </c>
      <c r="D1997" s="42" t="s">
        <v>184</v>
      </c>
      <c r="E1997" s="42" t="s">
        <v>808</v>
      </c>
      <c r="F1997" s="45">
        <v>236000000</v>
      </c>
      <c r="G1997" s="42" t="s">
        <v>763</v>
      </c>
      <c r="H1997" s="42" t="s">
        <v>153</v>
      </c>
      <c r="I1997" s="42" t="s">
        <v>893</v>
      </c>
    </row>
    <row r="1998" spans="1:9">
      <c r="A1998" s="42" t="s">
        <v>759</v>
      </c>
      <c r="B1998" s="42" t="s">
        <v>302</v>
      </c>
      <c r="C1998" s="42" t="s">
        <v>797</v>
      </c>
      <c r="D1998" s="42" t="s">
        <v>184</v>
      </c>
      <c r="E1998" s="42" t="s">
        <v>808</v>
      </c>
      <c r="F1998" s="45">
        <v>192000000</v>
      </c>
      <c r="G1998" s="42" t="s">
        <v>763</v>
      </c>
      <c r="H1998" s="42" t="s">
        <v>153</v>
      </c>
      <c r="I1998" s="42" t="s">
        <v>893</v>
      </c>
    </row>
    <row r="1999" spans="1:9">
      <c r="A1999" s="42" t="s">
        <v>759</v>
      </c>
      <c r="B1999" s="42" t="s">
        <v>304</v>
      </c>
      <c r="C1999" s="42" t="s">
        <v>796</v>
      </c>
      <c r="D1999" s="42" t="s">
        <v>184</v>
      </c>
      <c r="E1999" s="42" t="s">
        <v>808</v>
      </c>
      <c r="F1999" s="45">
        <v>781000000</v>
      </c>
      <c r="G1999" s="42" t="s">
        <v>763</v>
      </c>
      <c r="H1999" s="42" t="s">
        <v>153</v>
      </c>
      <c r="I1999" s="42" t="s">
        <v>893</v>
      </c>
    </row>
    <row r="2000" spans="1:9">
      <c r="A2000" s="42" t="s">
        <v>759</v>
      </c>
      <c r="B2000" s="42" t="s">
        <v>305</v>
      </c>
      <c r="C2000" s="42" t="s">
        <v>798</v>
      </c>
      <c r="D2000" s="42" t="s">
        <v>184</v>
      </c>
      <c r="E2000" s="42" t="s">
        <v>808</v>
      </c>
      <c r="F2000" s="45">
        <v>401000000</v>
      </c>
      <c r="G2000" s="42" t="s">
        <v>763</v>
      </c>
      <c r="H2000" s="42" t="s">
        <v>153</v>
      </c>
      <c r="I2000" s="42" t="s">
        <v>893</v>
      </c>
    </row>
    <row r="2001" spans="1:9">
      <c r="A2001" s="42" t="s">
        <v>759</v>
      </c>
      <c r="B2001" s="42" t="s">
        <v>306</v>
      </c>
      <c r="C2001" s="42" t="s">
        <v>799</v>
      </c>
      <c r="D2001" s="42" t="s">
        <v>184</v>
      </c>
      <c r="E2001" s="42" t="s">
        <v>808</v>
      </c>
      <c r="F2001" s="45">
        <v>300000000</v>
      </c>
      <c r="G2001" s="42" t="s">
        <v>763</v>
      </c>
      <c r="H2001" s="42" t="s">
        <v>153</v>
      </c>
      <c r="I2001" s="42" t="s">
        <v>893</v>
      </c>
    </row>
    <row r="2002" spans="1:9">
      <c r="A2002" s="42" t="s">
        <v>759</v>
      </c>
      <c r="B2002" s="42" t="s">
        <v>307</v>
      </c>
      <c r="C2002" s="42" t="s">
        <v>843</v>
      </c>
      <c r="D2002" s="42" t="s">
        <v>184</v>
      </c>
      <c r="E2002" s="42" t="s">
        <v>808</v>
      </c>
      <c r="F2002" s="45">
        <v>304000000</v>
      </c>
      <c r="G2002" s="42" t="s">
        <v>763</v>
      </c>
      <c r="H2002" s="42" t="s">
        <v>153</v>
      </c>
      <c r="I2002" s="42" t="s">
        <v>893</v>
      </c>
    </row>
    <row r="2003" spans="1:9">
      <c r="A2003" s="42" t="s">
        <v>759</v>
      </c>
      <c r="B2003" s="42" t="s">
        <v>308</v>
      </c>
      <c r="C2003" s="42" t="s">
        <v>800</v>
      </c>
      <c r="D2003" s="42" t="s">
        <v>184</v>
      </c>
      <c r="E2003" s="42" t="s">
        <v>808</v>
      </c>
      <c r="F2003" s="45">
        <v>1607000000</v>
      </c>
      <c r="G2003" s="42" t="s">
        <v>763</v>
      </c>
      <c r="H2003" s="42" t="s">
        <v>153</v>
      </c>
      <c r="I2003" s="42" t="s">
        <v>893</v>
      </c>
    </row>
    <row r="2004" spans="1:9">
      <c r="A2004" s="42" t="s">
        <v>759</v>
      </c>
      <c r="B2004" s="42" t="s">
        <v>309</v>
      </c>
      <c r="C2004" s="42" t="s">
        <v>801</v>
      </c>
      <c r="D2004" s="42" t="s">
        <v>184</v>
      </c>
      <c r="E2004" s="42" t="s">
        <v>808</v>
      </c>
      <c r="F2004" s="45">
        <v>737000000</v>
      </c>
      <c r="G2004" s="42" t="s">
        <v>763</v>
      </c>
      <c r="H2004" s="42" t="s">
        <v>153</v>
      </c>
      <c r="I2004" s="42" t="s">
        <v>893</v>
      </c>
    </row>
    <row r="2005" spans="1:9">
      <c r="A2005" s="42" t="s">
        <v>759</v>
      </c>
      <c r="B2005" s="42" t="s">
        <v>310</v>
      </c>
      <c r="C2005" s="42" t="s">
        <v>802</v>
      </c>
      <c r="D2005" s="42" t="s">
        <v>184</v>
      </c>
      <c r="E2005" s="42" t="s">
        <v>808</v>
      </c>
      <c r="F2005" s="45">
        <v>2286000000</v>
      </c>
      <c r="G2005" s="42" t="s">
        <v>763</v>
      </c>
      <c r="H2005" s="42" t="s">
        <v>153</v>
      </c>
      <c r="I2005" s="42" t="s">
        <v>893</v>
      </c>
    </row>
    <row r="2006" spans="1:9">
      <c r="A2006" s="42" t="s">
        <v>759</v>
      </c>
      <c r="B2006" s="42" t="s">
        <v>284</v>
      </c>
      <c r="C2006" s="42" t="s">
        <v>803</v>
      </c>
      <c r="D2006" s="42" t="s">
        <v>184</v>
      </c>
      <c r="E2006" s="42" t="s">
        <v>808</v>
      </c>
      <c r="F2006" s="45">
        <v>7825000000</v>
      </c>
      <c r="G2006" s="42" t="s">
        <v>763</v>
      </c>
      <c r="H2006" s="42" t="s">
        <v>153</v>
      </c>
      <c r="I2006" s="42" t="s">
        <v>893</v>
      </c>
    </row>
    <row r="2007" spans="1:9">
      <c r="A2007" s="42" t="s">
        <v>759</v>
      </c>
      <c r="B2007" s="42" t="s">
        <v>285</v>
      </c>
      <c r="C2007" s="42" t="s">
        <v>804</v>
      </c>
      <c r="D2007" s="42" t="s">
        <v>184</v>
      </c>
      <c r="E2007" s="42" t="s">
        <v>808</v>
      </c>
      <c r="F2007" s="45">
        <v>19598000000</v>
      </c>
      <c r="G2007" s="42" t="s">
        <v>763</v>
      </c>
      <c r="H2007" s="42" t="s">
        <v>153</v>
      </c>
      <c r="I2007" s="42" t="s">
        <v>893</v>
      </c>
    </row>
    <row r="2008" spans="1:9">
      <c r="A2008" s="42" t="s">
        <v>759</v>
      </c>
      <c r="B2008" s="42" t="s">
        <v>286</v>
      </c>
      <c r="C2008" s="42" t="s">
        <v>806</v>
      </c>
      <c r="D2008" s="42" t="s">
        <v>184</v>
      </c>
      <c r="E2008" s="42" t="s">
        <v>808</v>
      </c>
      <c r="F2008" s="45">
        <v>32393000000</v>
      </c>
      <c r="G2008" s="42" t="s">
        <v>763</v>
      </c>
      <c r="H2008" s="42" t="s">
        <v>153</v>
      </c>
      <c r="I2008" s="42" t="s">
        <v>893</v>
      </c>
    </row>
    <row r="2009" spans="1:9">
      <c r="A2009" s="42" t="s">
        <v>897</v>
      </c>
      <c r="B2009" s="42" t="s">
        <v>349</v>
      </c>
      <c r="C2009" s="42" t="s">
        <v>898</v>
      </c>
      <c r="D2009" s="42" t="s">
        <v>761</v>
      </c>
      <c r="E2009" s="42" t="s">
        <v>762</v>
      </c>
      <c r="F2009" s="45">
        <v>-1924540363.290984</v>
      </c>
      <c r="G2009" s="42" t="s">
        <v>763</v>
      </c>
      <c r="H2009" s="42" t="s">
        <v>80</v>
      </c>
      <c r="I2009" s="42" t="s">
        <v>865</v>
      </c>
    </row>
    <row r="2010" spans="1:9">
      <c r="A2010" s="42" t="s">
        <v>897</v>
      </c>
      <c r="B2010" s="42" t="s">
        <v>351</v>
      </c>
      <c r="C2010" s="42" t="s">
        <v>899</v>
      </c>
      <c r="D2010" s="42" t="s">
        <v>761</v>
      </c>
      <c r="E2010" s="42" t="s">
        <v>762</v>
      </c>
      <c r="F2010" s="45">
        <v>-39875602.86180269</v>
      </c>
      <c r="G2010" s="42" t="s">
        <v>763</v>
      </c>
      <c r="H2010" s="42" t="s">
        <v>80</v>
      </c>
      <c r="I2010" s="42" t="s">
        <v>860</v>
      </c>
    </row>
    <row r="2011" spans="1:9">
      <c r="A2011" s="42" t="s">
        <v>897</v>
      </c>
      <c r="B2011" s="42" t="s">
        <v>314</v>
      </c>
      <c r="C2011" s="42" t="s">
        <v>900</v>
      </c>
      <c r="D2011" s="42" t="s">
        <v>761</v>
      </c>
      <c r="E2011" s="42" t="s">
        <v>762</v>
      </c>
      <c r="F2011" s="45">
        <v>3034886019.169037</v>
      </c>
      <c r="G2011" s="42" t="s">
        <v>763</v>
      </c>
      <c r="H2011" s="42" t="s">
        <v>80</v>
      </c>
      <c r="I2011" s="42" t="s">
        <v>893</v>
      </c>
    </row>
    <row r="2012" spans="1:9">
      <c r="A2012" s="42" t="s">
        <v>897</v>
      </c>
      <c r="B2012" s="42" t="s">
        <v>315</v>
      </c>
      <c r="C2012" s="42" t="s">
        <v>901</v>
      </c>
      <c r="D2012" s="42" t="s">
        <v>761</v>
      </c>
      <c r="E2012" s="42" t="s">
        <v>762</v>
      </c>
      <c r="F2012" s="45">
        <v>48623821.8569941</v>
      </c>
      <c r="G2012" s="42" t="s">
        <v>763</v>
      </c>
      <c r="H2012" s="42" t="s">
        <v>80</v>
      </c>
      <c r="I2012" s="42" t="s">
        <v>893</v>
      </c>
    </row>
    <row r="2013" spans="1:9">
      <c r="A2013" s="42" t="s">
        <v>897</v>
      </c>
      <c r="B2013" s="42" t="s">
        <v>902</v>
      </c>
      <c r="C2013" s="42" t="s">
        <v>903</v>
      </c>
      <c r="D2013" s="42" t="s">
        <v>761</v>
      </c>
      <c r="E2013" s="42" t="s">
        <v>762</v>
      </c>
      <c r="F2013" s="45">
        <v>392720435.667856</v>
      </c>
      <c r="G2013" s="42" t="s">
        <v>763</v>
      </c>
      <c r="H2013" s="42" t="s">
        <v>80</v>
      </c>
      <c r="I2013" s="42" t="s">
        <v>764</v>
      </c>
    </row>
    <row r="2014" spans="1:9">
      <c r="A2014" s="42" t="s">
        <v>897</v>
      </c>
      <c r="B2014" s="42" t="s">
        <v>318</v>
      </c>
      <c r="C2014" s="42" t="s">
        <v>904</v>
      </c>
      <c r="D2014" s="42" t="s">
        <v>761</v>
      </c>
      <c r="E2014" s="42" t="s">
        <v>762</v>
      </c>
      <c r="F2014" s="45">
        <v>-96637302.85385856</v>
      </c>
      <c r="G2014" s="42" t="s">
        <v>763</v>
      </c>
      <c r="H2014" s="42" t="s">
        <v>80</v>
      </c>
      <c r="I2014" s="42" t="s">
        <v>893</v>
      </c>
    </row>
    <row r="2015" spans="1:9">
      <c r="A2015" s="42" t="s">
        <v>897</v>
      </c>
      <c r="B2015" s="42" t="s">
        <v>905</v>
      </c>
      <c r="C2015" s="42" t="s">
        <v>906</v>
      </c>
      <c r="D2015" s="42" t="s">
        <v>761</v>
      </c>
      <c r="E2015" s="42" t="s">
        <v>762</v>
      </c>
      <c r="F2015" s="45">
        <v>2369682297.278863</v>
      </c>
      <c r="G2015" s="42" t="s">
        <v>763</v>
      </c>
      <c r="H2015" s="42" t="s">
        <v>80</v>
      </c>
      <c r="I2015" s="42" t="s">
        <v>764</v>
      </c>
    </row>
    <row r="2016" spans="1:9">
      <c r="A2016" s="42" t="s">
        <v>897</v>
      </c>
      <c r="B2016" s="42" t="s">
        <v>319</v>
      </c>
      <c r="C2016" s="42" t="s">
        <v>907</v>
      </c>
      <c r="D2016" s="42" t="s">
        <v>761</v>
      </c>
      <c r="E2016" s="42" t="s">
        <v>762</v>
      </c>
      <c r="F2016" s="45">
        <v>409606532.7981092</v>
      </c>
      <c r="G2016" s="42" t="s">
        <v>763</v>
      </c>
      <c r="H2016" s="42" t="s">
        <v>80</v>
      </c>
      <c r="I2016" s="42" t="s">
        <v>893</v>
      </c>
    </row>
    <row r="2017" spans="1:9">
      <c r="A2017" s="42" t="s">
        <v>897</v>
      </c>
      <c r="B2017" s="42" t="s">
        <v>357</v>
      </c>
      <c r="C2017" s="42" t="s">
        <v>908</v>
      </c>
      <c r="D2017" s="42" t="s">
        <v>761</v>
      </c>
      <c r="E2017" s="42" t="s">
        <v>762</v>
      </c>
      <c r="F2017" s="45">
        <v>223656017.4119478</v>
      </c>
      <c r="G2017" s="42" t="s">
        <v>763</v>
      </c>
      <c r="H2017" s="42" t="s">
        <v>80</v>
      </c>
      <c r="I2017" s="42" t="s">
        <v>864</v>
      </c>
    </row>
    <row r="2018" spans="1:9">
      <c r="A2018" s="42" t="s">
        <v>897</v>
      </c>
      <c r="B2018" s="42" t="s">
        <v>251</v>
      </c>
      <c r="C2018" s="42" t="s">
        <v>909</v>
      </c>
      <c r="D2018" s="42" t="s">
        <v>761</v>
      </c>
      <c r="E2018" s="42" t="s">
        <v>762</v>
      </c>
      <c r="F2018" s="45">
        <v>10375794.62220376</v>
      </c>
      <c r="G2018" s="42" t="s">
        <v>763</v>
      </c>
      <c r="H2018" s="42" t="s">
        <v>80</v>
      </c>
      <c r="I2018" s="42" t="s">
        <v>893</v>
      </c>
    </row>
    <row r="2019" spans="1:9">
      <c r="A2019" s="42" t="s">
        <v>897</v>
      </c>
      <c r="B2019" s="42" t="s">
        <v>910</v>
      </c>
      <c r="C2019" s="42" t="s">
        <v>911</v>
      </c>
      <c r="D2019" s="42" t="s">
        <v>761</v>
      </c>
      <c r="E2019" s="42" t="s">
        <v>762</v>
      </c>
      <c r="F2019" s="45">
        <v>-103622314.9197866</v>
      </c>
      <c r="G2019" s="42" t="s">
        <v>763</v>
      </c>
      <c r="H2019" s="42" t="s">
        <v>80</v>
      </c>
      <c r="I2019" s="42" t="s">
        <v>764</v>
      </c>
    </row>
    <row r="2020" spans="1:9">
      <c r="A2020" s="42" t="s">
        <v>897</v>
      </c>
      <c r="B2020" s="42" t="s">
        <v>293</v>
      </c>
      <c r="C2020" s="42" t="s">
        <v>912</v>
      </c>
      <c r="D2020" s="42" t="s">
        <v>761</v>
      </c>
      <c r="E2020" s="42" t="s">
        <v>762</v>
      </c>
      <c r="F2020" s="45">
        <v>-1090407854.447152</v>
      </c>
      <c r="G2020" s="42" t="s">
        <v>763</v>
      </c>
      <c r="H2020" s="42" t="s">
        <v>80</v>
      </c>
      <c r="I2020" s="42" t="s">
        <v>893</v>
      </c>
    </row>
    <row r="2021" spans="1:9">
      <c r="A2021" s="42" t="s">
        <v>897</v>
      </c>
      <c r="B2021" s="42" t="s">
        <v>292</v>
      </c>
      <c r="C2021" s="42" t="s">
        <v>913</v>
      </c>
      <c r="D2021" s="42" t="s">
        <v>761</v>
      </c>
      <c r="E2021" s="42" t="s">
        <v>762</v>
      </c>
      <c r="F2021" s="45">
        <v>366611409.9845329</v>
      </c>
      <c r="G2021" s="42" t="s">
        <v>763</v>
      </c>
      <c r="H2021" s="42" t="s">
        <v>80</v>
      </c>
      <c r="I2021" s="42" t="s">
        <v>893</v>
      </c>
    </row>
    <row r="2022" spans="1:9">
      <c r="A2022" s="42" t="s">
        <v>897</v>
      </c>
      <c r="B2022" s="42" t="s">
        <v>241</v>
      </c>
      <c r="C2022" s="42" t="s">
        <v>914</v>
      </c>
      <c r="D2022" s="42" t="s">
        <v>761</v>
      </c>
      <c r="E2022" s="42" t="s">
        <v>762</v>
      </c>
      <c r="F2022" s="45">
        <v>94670648.97121863</v>
      </c>
      <c r="G2022" s="42" t="s">
        <v>763</v>
      </c>
      <c r="H2022" s="42" t="s">
        <v>80</v>
      </c>
      <c r="I2022" s="42" t="s">
        <v>893</v>
      </c>
    </row>
    <row r="2023" spans="1:9">
      <c r="A2023" s="42" t="s">
        <v>897</v>
      </c>
      <c r="B2023" s="42" t="s">
        <v>310</v>
      </c>
      <c r="C2023" s="42" t="s">
        <v>915</v>
      </c>
      <c r="D2023" s="42" t="s">
        <v>761</v>
      </c>
      <c r="E2023" s="42" t="s">
        <v>762</v>
      </c>
      <c r="F2023" s="45">
        <v>-74800663.19144279</v>
      </c>
      <c r="G2023" s="42" t="s">
        <v>763</v>
      </c>
      <c r="H2023" s="42" t="s">
        <v>80</v>
      </c>
      <c r="I2023" s="42" t="s">
        <v>893</v>
      </c>
    </row>
    <row r="2024" spans="1:9">
      <c r="A2024" s="42" t="s">
        <v>897</v>
      </c>
      <c r="B2024" s="42" t="s">
        <v>305</v>
      </c>
      <c r="C2024" s="42" t="s">
        <v>916</v>
      </c>
      <c r="D2024" s="42" t="s">
        <v>761</v>
      </c>
      <c r="E2024" s="42" t="s">
        <v>762</v>
      </c>
      <c r="F2024" s="45">
        <v>-120440596.3989142</v>
      </c>
      <c r="G2024" s="42" t="s">
        <v>763</v>
      </c>
      <c r="H2024" s="42" t="s">
        <v>80</v>
      </c>
      <c r="I2024" s="42" t="s">
        <v>893</v>
      </c>
    </row>
    <row r="2025" spans="1:9">
      <c r="A2025" s="42" t="s">
        <v>897</v>
      </c>
      <c r="B2025" s="42" t="s">
        <v>306</v>
      </c>
      <c r="C2025" s="42" t="s">
        <v>917</v>
      </c>
      <c r="D2025" s="42" t="s">
        <v>761</v>
      </c>
      <c r="E2025" s="42" t="s">
        <v>762</v>
      </c>
      <c r="F2025" s="45">
        <v>53167470.48240358</v>
      </c>
      <c r="G2025" s="42" t="s">
        <v>763</v>
      </c>
      <c r="H2025" s="42" t="s">
        <v>80</v>
      </c>
      <c r="I2025" s="42" t="s">
        <v>893</v>
      </c>
    </row>
    <row r="2026" spans="1:9">
      <c r="A2026" s="42" t="s">
        <v>897</v>
      </c>
      <c r="B2026" s="42" t="s">
        <v>309</v>
      </c>
      <c r="C2026" s="42" t="s">
        <v>918</v>
      </c>
      <c r="D2026" s="42" t="s">
        <v>761</v>
      </c>
      <c r="E2026" s="42" t="s">
        <v>762</v>
      </c>
      <c r="F2026" s="45">
        <v>12884973.71384781</v>
      </c>
      <c r="G2026" s="42" t="s">
        <v>763</v>
      </c>
      <c r="H2026" s="42" t="s">
        <v>80</v>
      </c>
      <c r="I2026" s="42" t="s">
        <v>893</v>
      </c>
    </row>
    <row r="2027" spans="1:9">
      <c r="A2027" s="42" t="s">
        <v>897</v>
      </c>
      <c r="B2027" s="42" t="s">
        <v>325</v>
      </c>
      <c r="C2027" s="42" t="s">
        <v>919</v>
      </c>
      <c r="D2027" s="42" t="s">
        <v>761</v>
      </c>
      <c r="E2027" s="42" t="s">
        <v>762</v>
      </c>
      <c r="F2027" s="45">
        <v>-118880836.4230274</v>
      </c>
      <c r="G2027" s="42" t="s">
        <v>763</v>
      </c>
      <c r="H2027" s="42" t="s">
        <v>80</v>
      </c>
      <c r="I2027" s="42" t="s">
        <v>893</v>
      </c>
    </row>
    <row r="2028" spans="1:9">
      <c r="A2028" s="42" t="s">
        <v>897</v>
      </c>
      <c r="B2028" s="42" t="s">
        <v>242</v>
      </c>
      <c r="C2028" s="42" t="s">
        <v>920</v>
      </c>
      <c r="D2028" s="42" t="s">
        <v>761</v>
      </c>
      <c r="E2028" s="42" t="s">
        <v>762</v>
      </c>
      <c r="F2028" s="45">
        <v>4950542.532162579</v>
      </c>
      <c r="G2028" s="42" t="s">
        <v>763</v>
      </c>
      <c r="H2028" s="42" t="s">
        <v>80</v>
      </c>
      <c r="I2028" s="42" t="s">
        <v>893</v>
      </c>
    </row>
    <row r="2029" spans="1:9">
      <c r="A2029" s="42" t="s">
        <v>897</v>
      </c>
      <c r="B2029" s="42" t="s">
        <v>302</v>
      </c>
      <c r="C2029" s="42" t="s">
        <v>921</v>
      </c>
      <c r="D2029" s="42" t="s">
        <v>761</v>
      </c>
      <c r="E2029" s="42" t="s">
        <v>762</v>
      </c>
      <c r="F2029" s="45">
        <v>-2034469.533765443</v>
      </c>
      <c r="G2029" s="42" t="s">
        <v>763</v>
      </c>
      <c r="H2029" s="42" t="s">
        <v>80</v>
      </c>
      <c r="I2029" s="42" t="s">
        <v>893</v>
      </c>
    </row>
    <row r="2030" spans="1:9">
      <c r="A2030" s="42" t="s">
        <v>897</v>
      </c>
      <c r="B2030" s="42" t="s">
        <v>326</v>
      </c>
      <c r="C2030" s="42" t="s">
        <v>922</v>
      </c>
      <c r="D2030" s="42" t="s">
        <v>761</v>
      </c>
      <c r="E2030" s="42" t="s">
        <v>762</v>
      </c>
      <c r="F2030" s="45">
        <v>28482573.47271621</v>
      </c>
      <c r="G2030" s="42" t="s">
        <v>763</v>
      </c>
      <c r="H2030" s="42" t="s">
        <v>80</v>
      </c>
      <c r="I2030" s="42" t="s">
        <v>893</v>
      </c>
    </row>
    <row r="2031" spans="1:9">
      <c r="A2031" s="42" t="s">
        <v>897</v>
      </c>
      <c r="B2031" s="42" t="s">
        <v>371</v>
      </c>
      <c r="C2031" s="42" t="s">
        <v>923</v>
      </c>
      <c r="D2031" s="42" t="s">
        <v>761</v>
      </c>
      <c r="E2031" s="42" t="s">
        <v>762</v>
      </c>
      <c r="F2031" s="45">
        <v>41164100.23318747</v>
      </c>
      <c r="G2031" s="42" t="s">
        <v>763</v>
      </c>
      <c r="H2031" s="42" t="s">
        <v>80</v>
      </c>
      <c r="I2031" s="42" t="s">
        <v>866</v>
      </c>
    </row>
    <row r="2032" spans="1:9">
      <c r="A2032" s="42" t="s">
        <v>897</v>
      </c>
      <c r="B2032" s="42" t="s">
        <v>328</v>
      </c>
      <c r="C2032" s="42" t="s">
        <v>924</v>
      </c>
      <c r="D2032" s="42" t="s">
        <v>761</v>
      </c>
      <c r="E2032" s="42" t="s">
        <v>762</v>
      </c>
      <c r="F2032" s="45">
        <v>-184865464.9681533</v>
      </c>
      <c r="G2032" s="42" t="s">
        <v>763</v>
      </c>
      <c r="H2032" s="42" t="s">
        <v>80</v>
      </c>
      <c r="I2032" s="42" t="s">
        <v>893</v>
      </c>
    </row>
    <row r="2033" spans="1:9">
      <c r="A2033" s="42" t="s">
        <v>897</v>
      </c>
      <c r="B2033" s="42" t="s">
        <v>329</v>
      </c>
      <c r="C2033" s="42" t="s">
        <v>925</v>
      </c>
      <c r="D2033" s="42" t="s">
        <v>761</v>
      </c>
      <c r="E2033" s="42" t="s">
        <v>762</v>
      </c>
      <c r="F2033" s="45">
        <v>3335377169.306193</v>
      </c>
      <c r="G2033" s="42" t="s">
        <v>763</v>
      </c>
      <c r="H2033" s="42" t="s">
        <v>80</v>
      </c>
      <c r="I2033" s="42" t="s">
        <v>893</v>
      </c>
    </row>
    <row r="2034" spans="1:9">
      <c r="A2034" s="42" t="s">
        <v>897</v>
      </c>
      <c r="B2034" s="42" t="s">
        <v>372</v>
      </c>
      <c r="C2034" s="42" t="s">
        <v>926</v>
      </c>
      <c r="D2034" s="42" t="s">
        <v>761</v>
      </c>
      <c r="E2034" s="42" t="s">
        <v>762</v>
      </c>
      <c r="F2034" s="45">
        <v>72698378.00655185</v>
      </c>
      <c r="G2034" s="42" t="s">
        <v>763</v>
      </c>
      <c r="H2034" s="42" t="s">
        <v>80</v>
      </c>
      <c r="I2034" s="42" t="s">
        <v>896</v>
      </c>
    </row>
    <row r="2035" spans="1:9">
      <c r="A2035" s="42" t="s">
        <v>897</v>
      </c>
      <c r="B2035" s="42" t="s">
        <v>330</v>
      </c>
      <c r="C2035" s="42" t="s">
        <v>927</v>
      </c>
      <c r="D2035" s="42" t="s">
        <v>761</v>
      </c>
      <c r="E2035" s="42" t="s">
        <v>762</v>
      </c>
      <c r="F2035" s="45">
        <v>-4351052176.213028</v>
      </c>
      <c r="G2035" s="42" t="s">
        <v>763</v>
      </c>
      <c r="H2035" s="42" t="s">
        <v>80</v>
      </c>
      <c r="I2035" s="42" t="s">
        <v>893</v>
      </c>
    </row>
    <row r="2036" spans="1:9">
      <c r="A2036" s="42" t="s">
        <v>897</v>
      </c>
      <c r="B2036" s="42" t="s">
        <v>928</v>
      </c>
      <c r="C2036" s="42" t="s">
        <v>929</v>
      </c>
      <c r="D2036" s="42" t="s">
        <v>761</v>
      </c>
      <c r="E2036" s="42" t="s">
        <v>762</v>
      </c>
      <c r="F2036" s="45">
        <v>-235727203.3122894</v>
      </c>
      <c r="G2036" s="42" t="s">
        <v>763</v>
      </c>
      <c r="H2036" s="42" t="s">
        <v>80</v>
      </c>
      <c r="I2036" s="42" t="s">
        <v>764</v>
      </c>
    </row>
    <row r="2037" spans="1:9">
      <c r="A2037" s="42" t="s">
        <v>897</v>
      </c>
      <c r="B2037" s="42" t="s">
        <v>930</v>
      </c>
      <c r="C2037" s="42" t="s">
        <v>931</v>
      </c>
      <c r="D2037" s="42" t="s">
        <v>761</v>
      </c>
      <c r="E2037" s="42" t="s">
        <v>762</v>
      </c>
      <c r="F2037" s="45">
        <v>24074556.14955775</v>
      </c>
      <c r="G2037" s="42" t="s">
        <v>763</v>
      </c>
      <c r="H2037" s="42" t="s">
        <v>80</v>
      </c>
      <c r="I2037" s="42" t="s">
        <v>764</v>
      </c>
    </row>
    <row r="2038" spans="1:9">
      <c r="A2038" s="42" t="s">
        <v>897</v>
      </c>
      <c r="B2038" s="42" t="s">
        <v>332</v>
      </c>
      <c r="C2038" s="42" t="s">
        <v>932</v>
      </c>
      <c r="D2038" s="42" t="s">
        <v>761</v>
      </c>
      <c r="E2038" s="42" t="s">
        <v>762</v>
      </c>
      <c r="F2038" s="45">
        <v>-30381411.70423062</v>
      </c>
      <c r="G2038" s="42" t="s">
        <v>763</v>
      </c>
      <c r="H2038" s="42" t="s">
        <v>80</v>
      </c>
      <c r="I2038" s="42" t="s">
        <v>893</v>
      </c>
    </row>
    <row r="2039" spans="1:9">
      <c r="A2039" s="42" t="s">
        <v>897</v>
      </c>
      <c r="B2039" s="42" t="s">
        <v>334</v>
      </c>
      <c r="C2039" s="42" t="s">
        <v>933</v>
      </c>
      <c r="D2039" s="42" t="s">
        <v>761</v>
      </c>
      <c r="E2039" s="42" t="s">
        <v>762</v>
      </c>
      <c r="F2039" s="45">
        <v>32754959.49362364</v>
      </c>
      <c r="G2039" s="42" t="s">
        <v>763</v>
      </c>
      <c r="H2039" s="42" t="s">
        <v>80</v>
      </c>
      <c r="I2039" s="42" t="s">
        <v>893</v>
      </c>
    </row>
    <row r="2040" spans="1:9">
      <c r="A2040" s="42" t="s">
        <v>897</v>
      </c>
      <c r="B2040" s="42" t="s">
        <v>934</v>
      </c>
      <c r="C2040" s="42" t="s">
        <v>935</v>
      </c>
      <c r="D2040" s="42" t="s">
        <v>761</v>
      </c>
      <c r="E2040" s="42" t="s">
        <v>762</v>
      </c>
      <c r="F2040" s="45">
        <v>-4969937808.384476</v>
      </c>
      <c r="G2040" s="42" t="s">
        <v>763</v>
      </c>
      <c r="H2040" s="42" t="s">
        <v>80</v>
      </c>
      <c r="I2040" s="42" t="s">
        <v>764</v>
      </c>
    </row>
    <row r="2041" spans="1:9">
      <c r="A2041" s="42" t="s">
        <v>897</v>
      </c>
      <c r="B2041" s="42" t="s">
        <v>936</v>
      </c>
      <c r="C2041" s="42" t="s">
        <v>937</v>
      </c>
      <c r="D2041" s="42" t="s">
        <v>761</v>
      </c>
      <c r="E2041" s="42" t="s">
        <v>762</v>
      </c>
      <c r="F2041" s="45">
        <v>-1107429582.879657</v>
      </c>
      <c r="G2041" s="42" t="s">
        <v>763</v>
      </c>
      <c r="H2041" s="42" t="s">
        <v>80</v>
      </c>
      <c r="I2041" s="42" t="s">
        <v>764</v>
      </c>
    </row>
    <row r="2042" spans="1:9">
      <c r="A2042" s="42" t="s">
        <v>897</v>
      </c>
      <c r="B2042" s="42" t="s">
        <v>336</v>
      </c>
      <c r="C2042" s="42" t="s">
        <v>938</v>
      </c>
      <c r="D2042" s="42" t="s">
        <v>761</v>
      </c>
      <c r="E2042" s="42" t="s">
        <v>762</v>
      </c>
      <c r="F2042" s="45">
        <v>-4487632897.579815</v>
      </c>
      <c r="G2042" s="42" t="s">
        <v>763</v>
      </c>
      <c r="H2042" s="42" t="s">
        <v>80</v>
      </c>
      <c r="I2042" s="42" t="s">
        <v>893</v>
      </c>
    </row>
    <row r="2043" spans="1:9">
      <c r="A2043" s="42" t="s">
        <v>897</v>
      </c>
      <c r="B2043" s="42" t="s">
        <v>939</v>
      </c>
      <c r="C2043" s="42" t="s">
        <v>940</v>
      </c>
      <c r="D2043" s="42" t="s">
        <v>761</v>
      </c>
      <c r="E2043" s="42" t="s">
        <v>762</v>
      </c>
      <c r="F2043" s="45">
        <v>6871217403.339409</v>
      </c>
      <c r="G2043" s="42" t="s">
        <v>763</v>
      </c>
      <c r="H2043" s="42" t="s">
        <v>80</v>
      </c>
      <c r="I2043" s="42" t="s">
        <v>764</v>
      </c>
    </row>
    <row r="2044" spans="1:9">
      <c r="A2044" s="42" t="s">
        <v>897</v>
      </c>
      <c r="B2044" s="42" t="s">
        <v>941</v>
      </c>
      <c r="C2044" s="42" t="s">
        <v>942</v>
      </c>
      <c r="D2044" s="42" t="s">
        <v>761</v>
      </c>
      <c r="E2044" s="42" t="s">
        <v>762</v>
      </c>
      <c r="F2044" s="45">
        <v>-3390782.556275739</v>
      </c>
      <c r="G2044" s="42" t="s">
        <v>763</v>
      </c>
      <c r="H2044" s="42" t="s">
        <v>80</v>
      </c>
      <c r="I2044" s="42" t="s">
        <v>764</v>
      </c>
    </row>
    <row r="2045" spans="1:9">
      <c r="A2045" s="42" t="s">
        <v>897</v>
      </c>
      <c r="B2045" s="42" t="s">
        <v>943</v>
      </c>
      <c r="C2045" s="42" t="s">
        <v>944</v>
      </c>
      <c r="D2045" s="42" t="s">
        <v>761</v>
      </c>
      <c r="E2045" s="42" t="s">
        <v>762</v>
      </c>
      <c r="F2045" s="45">
        <v>-60288113.85058264</v>
      </c>
      <c r="G2045" s="42" t="s">
        <v>763</v>
      </c>
      <c r="H2045" s="42" t="s">
        <v>80</v>
      </c>
      <c r="I2045" s="42" t="s">
        <v>764</v>
      </c>
    </row>
    <row r="2046" spans="1:9">
      <c r="A2046" s="42" t="s">
        <v>897</v>
      </c>
      <c r="B2046" s="42" t="s">
        <v>945</v>
      </c>
      <c r="C2046" s="42" t="s">
        <v>946</v>
      </c>
      <c r="D2046" s="42" t="s">
        <v>761</v>
      </c>
      <c r="E2046" s="42" t="s">
        <v>762</v>
      </c>
      <c r="F2046" s="45">
        <v>1043479423.868296</v>
      </c>
      <c r="G2046" s="42" t="s">
        <v>763</v>
      </c>
      <c r="H2046" s="42" t="s">
        <v>80</v>
      </c>
      <c r="I2046" s="42" t="s">
        <v>845</v>
      </c>
    </row>
    <row r="2047" spans="1:9">
      <c r="A2047" s="42" t="s">
        <v>897</v>
      </c>
      <c r="B2047" s="42" t="s">
        <v>947</v>
      </c>
      <c r="C2047" s="42" t="s">
        <v>948</v>
      </c>
      <c r="D2047" s="42" t="s">
        <v>761</v>
      </c>
      <c r="E2047" s="42" t="s">
        <v>762</v>
      </c>
      <c r="F2047" s="45">
        <v>3390782.556275739</v>
      </c>
      <c r="G2047" s="42" t="s">
        <v>763</v>
      </c>
      <c r="H2047" s="42" t="s">
        <v>80</v>
      </c>
      <c r="I2047" s="42" t="s">
        <v>764</v>
      </c>
    </row>
    <row r="2048" spans="1:9">
      <c r="A2048" s="42" t="s">
        <v>897</v>
      </c>
      <c r="B2048" s="42" t="s">
        <v>949</v>
      </c>
      <c r="C2048" s="42" t="s">
        <v>950</v>
      </c>
      <c r="D2048" s="42" t="s">
        <v>761</v>
      </c>
      <c r="E2048" s="42" t="s">
        <v>762</v>
      </c>
      <c r="F2048" s="45">
        <v>733561898.2246933</v>
      </c>
      <c r="G2048" s="42" t="s">
        <v>763</v>
      </c>
      <c r="H2048" s="42" t="s">
        <v>80</v>
      </c>
      <c r="I2048" s="42" t="s">
        <v>764</v>
      </c>
    </row>
    <row r="2049" spans="1:9">
      <c r="A2049" s="42" t="s">
        <v>897</v>
      </c>
      <c r="B2049" s="42" t="s">
        <v>951</v>
      </c>
      <c r="C2049" s="42" t="s">
        <v>952</v>
      </c>
      <c r="D2049" s="42" t="s">
        <v>761</v>
      </c>
      <c r="E2049" s="42" t="s">
        <v>762</v>
      </c>
      <c r="F2049" s="45">
        <v>-10036716.36657619</v>
      </c>
      <c r="G2049" s="42" t="s">
        <v>763</v>
      </c>
      <c r="H2049" s="42" t="s">
        <v>80</v>
      </c>
      <c r="I2049" s="42" t="s">
        <v>764</v>
      </c>
    </row>
    <row r="2050" spans="1:9">
      <c r="A2050" s="42" t="s">
        <v>897</v>
      </c>
      <c r="B2050" s="42" t="s">
        <v>393</v>
      </c>
      <c r="C2050" s="42" t="s">
        <v>953</v>
      </c>
      <c r="D2050" s="42" t="s">
        <v>761</v>
      </c>
      <c r="E2050" s="42" t="s">
        <v>762</v>
      </c>
      <c r="F2050" s="45">
        <v>114744081.704371</v>
      </c>
      <c r="G2050" s="42" t="s">
        <v>763</v>
      </c>
      <c r="H2050" s="42" t="s">
        <v>80</v>
      </c>
      <c r="I2050" s="42" t="s">
        <v>817</v>
      </c>
    </row>
    <row r="2051" spans="1:9">
      <c r="A2051" s="42" t="s">
        <v>897</v>
      </c>
      <c r="B2051" s="42" t="s">
        <v>954</v>
      </c>
      <c r="C2051" s="42" t="s">
        <v>955</v>
      </c>
      <c r="D2051" s="42" t="s">
        <v>761</v>
      </c>
      <c r="E2051" s="42" t="s">
        <v>762</v>
      </c>
      <c r="F2051" s="45">
        <v>729492959.1571624</v>
      </c>
      <c r="G2051" s="42" t="s">
        <v>763</v>
      </c>
      <c r="H2051" s="42" t="s">
        <v>80</v>
      </c>
      <c r="I2051" s="42" t="s">
        <v>764</v>
      </c>
    </row>
    <row r="2052" spans="1:9">
      <c r="A2052" s="42" t="s">
        <v>897</v>
      </c>
      <c r="B2052" s="42" t="s">
        <v>346</v>
      </c>
      <c r="C2052" s="42" t="s">
        <v>956</v>
      </c>
      <c r="D2052" s="42" t="s">
        <v>761</v>
      </c>
      <c r="E2052" s="42" t="s">
        <v>762</v>
      </c>
      <c r="F2052" s="45">
        <v>-313986464.7111334</v>
      </c>
      <c r="G2052" s="42" t="s">
        <v>763</v>
      </c>
      <c r="H2052" s="42" t="s">
        <v>80</v>
      </c>
      <c r="I2052" s="42" t="s">
        <v>893</v>
      </c>
    </row>
    <row r="2053" spans="1:9">
      <c r="A2053" s="42" t="s">
        <v>897</v>
      </c>
      <c r="B2053" s="42" t="s">
        <v>957</v>
      </c>
      <c r="C2053" s="42" t="s">
        <v>958</v>
      </c>
      <c r="D2053" s="42" t="s">
        <v>761</v>
      </c>
      <c r="E2053" s="42" t="s">
        <v>762</v>
      </c>
      <c r="F2053" s="45">
        <v>444802855.7322514</v>
      </c>
      <c r="G2053" s="42" t="s">
        <v>763</v>
      </c>
      <c r="H2053" s="42" t="s">
        <v>80</v>
      </c>
      <c r="I2053" s="42" t="s">
        <v>764</v>
      </c>
    </row>
    <row r="2054" spans="1:9">
      <c r="A2054" s="42" t="s">
        <v>897</v>
      </c>
      <c r="B2054" s="42" t="s">
        <v>959</v>
      </c>
      <c r="C2054" s="42" t="s">
        <v>960</v>
      </c>
      <c r="D2054" s="42" t="s">
        <v>761</v>
      </c>
      <c r="E2054" s="42" t="s">
        <v>762</v>
      </c>
      <c r="F2054" s="45">
        <v>152110505.4745297</v>
      </c>
      <c r="G2054" s="42" t="s">
        <v>763</v>
      </c>
      <c r="H2054" s="42" t="s">
        <v>80</v>
      </c>
      <c r="I2054" s="42" t="s">
        <v>764</v>
      </c>
    </row>
    <row r="2055" spans="1:9">
      <c r="A2055" s="42" t="s">
        <v>897</v>
      </c>
      <c r="B2055" s="42" t="s">
        <v>346</v>
      </c>
      <c r="C2055" s="42" t="s">
        <v>961</v>
      </c>
      <c r="D2055" s="42" t="s">
        <v>761</v>
      </c>
      <c r="E2055" s="42" t="s">
        <v>762</v>
      </c>
      <c r="F2055" s="45">
        <v>-313986464.7111334</v>
      </c>
      <c r="G2055" s="42" t="s">
        <v>763</v>
      </c>
      <c r="H2055" s="42" t="s">
        <v>80</v>
      </c>
      <c r="I2055" s="42" t="s">
        <v>893</v>
      </c>
    </row>
    <row r="2056" spans="1:9">
      <c r="A2056" s="42" t="s">
        <v>897</v>
      </c>
      <c r="B2056" s="42" t="s">
        <v>962</v>
      </c>
      <c r="C2056" s="42" t="s">
        <v>963</v>
      </c>
      <c r="D2056" s="42" t="s">
        <v>761</v>
      </c>
      <c r="E2056" s="42" t="s">
        <v>762</v>
      </c>
      <c r="F2056" s="45">
        <v>6781565.112551478</v>
      </c>
      <c r="G2056" s="42" t="s">
        <v>763</v>
      </c>
      <c r="H2056" s="42" t="s">
        <v>80</v>
      </c>
      <c r="I2056" s="42" t="s">
        <v>764</v>
      </c>
    </row>
    <row r="2057" spans="1:9">
      <c r="A2057" s="42" t="s">
        <v>897</v>
      </c>
      <c r="B2057" s="42" t="s">
        <v>964</v>
      </c>
      <c r="C2057" s="42" t="s">
        <v>965</v>
      </c>
      <c r="D2057" s="42" t="s">
        <v>761</v>
      </c>
      <c r="E2057" s="42" t="s">
        <v>762</v>
      </c>
      <c r="F2057" s="45">
        <v>672595627.8628557</v>
      </c>
      <c r="G2057" s="42" t="s">
        <v>763</v>
      </c>
      <c r="H2057" s="42" t="s">
        <v>80</v>
      </c>
      <c r="I2057" s="42" t="s">
        <v>764</v>
      </c>
    </row>
    <row r="2058" spans="1:9">
      <c r="A2058" s="42" t="s">
        <v>897</v>
      </c>
      <c r="B2058" s="42" t="s">
        <v>349</v>
      </c>
      <c r="C2058" s="42" t="s">
        <v>898</v>
      </c>
      <c r="D2058" s="42" t="s">
        <v>662</v>
      </c>
      <c r="E2058" s="42" t="s">
        <v>762</v>
      </c>
      <c r="F2058" s="45">
        <v>766481152.858089</v>
      </c>
      <c r="G2058" s="42" t="s">
        <v>763</v>
      </c>
      <c r="H2058" s="42" t="s">
        <v>88</v>
      </c>
      <c r="I2058" s="42" t="s">
        <v>865</v>
      </c>
    </row>
    <row r="2059" spans="1:9">
      <c r="A2059" s="42" t="s">
        <v>897</v>
      </c>
      <c r="B2059" s="42" t="s">
        <v>351</v>
      </c>
      <c r="C2059" s="42" t="s">
        <v>899</v>
      </c>
      <c r="D2059" s="42" t="s">
        <v>662</v>
      </c>
      <c r="E2059" s="42" t="s">
        <v>762</v>
      </c>
      <c r="F2059" s="45">
        <v>-86374296.58154601</v>
      </c>
      <c r="G2059" s="42" t="s">
        <v>763</v>
      </c>
      <c r="H2059" s="42" t="s">
        <v>80</v>
      </c>
      <c r="I2059" s="42" t="s">
        <v>860</v>
      </c>
    </row>
    <row r="2060" spans="1:9">
      <c r="A2060" s="42" t="s">
        <v>897</v>
      </c>
      <c r="B2060" s="42" t="s">
        <v>201</v>
      </c>
      <c r="C2060" s="42" t="s">
        <v>966</v>
      </c>
      <c r="D2060" s="42" t="s">
        <v>662</v>
      </c>
      <c r="E2060" s="42" t="s">
        <v>762</v>
      </c>
      <c r="F2060" s="45">
        <v>-86374296.58154601</v>
      </c>
      <c r="G2060" s="42" t="s">
        <v>763</v>
      </c>
      <c r="H2060" s="42" t="s">
        <v>88</v>
      </c>
      <c r="I2060" s="42" t="s">
        <v>893</v>
      </c>
    </row>
    <row r="2061" spans="1:9">
      <c r="A2061" s="42" t="s">
        <v>897</v>
      </c>
      <c r="B2061" s="42" t="s">
        <v>314</v>
      </c>
      <c r="C2061" s="42" t="s">
        <v>900</v>
      </c>
      <c r="D2061" s="42" t="s">
        <v>662</v>
      </c>
      <c r="E2061" s="42" t="s">
        <v>762</v>
      </c>
      <c r="F2061" s="45">
        <v>3236737646.128634</v>
      </c>
      <c r="G2061" s="42" t="s">
        <v>763</v>
      </c>
      <c r="H2061" s="42" t="s">
        <v>88</v>
      </c>
      <c r="I2061" s="42" t="s">
        <v>893</v>
      </c>
    </row>
    <row r="2062" spans="1:9">
      <c r="A2062" s="42" t="s">
        <v>897</v>
      </c>
      <c r="B2062" s="42" t="s">
        <v>315</v>
      </c>
      <c r="C2062" s="42" t="s">
        <v>901</v>
      </c>
      <c r="D2062" s="42" t="s">
        <v>662</v>
      </c>
      <c r="E2062" s="42" t="s">
        <v>762</v>
      </c>
      <c r="F2062" s="45">
        <v>50687437.34967476</v>
      </c>
      <c r="G2062" s="42" t="s">
        <v>763</v>
      </c>
      <c r="H2062" s="42" t="s">
        <v>88</v>
      </c>
      <c r="I2062" s="42" t="s">
        <v>893</v>
      </c>
    </row>
    <row r="2063" spans="1:9">
      <c r="A2063" s="42" t="s">
        <v>897</v>
      </c>
      <c r="B2063" s="42" t="s">
        <v>902</v>
      </c>
      <c r="C2063" s="42" t="s">
        <v>903</v>
      </c>
      <c r="D2063" s="42" t="s">
        <v>662</v>
      </c>
      <c r="E2063" s="42" t="s">
        <v>762</v>
      </c>
      <c r="F2063" s="45">
        <v>277752639.9877166</v>
      </c>
      <c r="G2063" s="42" t="s">
        <v>763</v>
      </c>
      <c r="H2063" s="42" t="s">
        <v>80</v>
      </c>
      <c r="I2063" s="42" t="s">
        <v>764</v>
      </c>
    </row>
    <row r="2064" spans="1:9">
      <c r="A2064" s="42" t="s">
        <v>897</v>
      </c>
      <c r="B2064" s="42" t="s">
        <v>317</v>
      </c>
      <c r="C2064" s="42" t="s">
        <v>967</v>
      </c>
      <c r="D2064" s="42" t="s">
        <v>662</v>
      </c>
      <c r="E2064" s="42" t="s">
        <v>762</v>
      </c>
      <c r="F2064" s="45">
        <v>277752639.9877166</v>
      </c>
      <c r="G2064" s="42" t="s">
        <v>763</v>
      </c>
      <c r="H2064" s="42" t="s">
        <v>88</v>
      </c>
      <c r="I2064" s="42" t="s">
        <v>893</v>
      </c>
    </row>
    <row r="2065" spans="1:9">
      <c r="A2065" s="42" t="s">
        <v>897</v>
      </c>
      <c r="B2065" s="42" t="s">
        <v>318</v>
      </c>
      <c r="C2065" s="42" t="s">
        <v>904</v>
      </c>
      <c r="D2065" s="42" t="s">
        <v>662</v>
      </c>
      <c r="E2065" s="42" t="s">
        <v>762</v>
      </c>
      <c r="F2065" s="45">
        <v>-240069736.0869441</v>
      </c>
      <c r="G2065" s="42" t="s">
        <v>763</v>
      </c>
      <c r="H2065" s="42" t="s">
        <v>88</v>
      </c>
      <c r="I2065" s="42" t="s">
        <v>893</v>
      </c>
    </row>
    <row r="2066" spans="1:9">
      <c r="A2066" s="42" t="s">
        <v>897</v>
      </c>
      <c r="B2066" s="42" t="s">
        <v>905</v>
      </c>
      <c r="C2066" s="42" t="s">
        <v>906</v>
      </c>
      <c r="D2066" s="42" t="s">
        <v>662</v>
      </c>
      <c r="E2066" s="42" t="s">
        <v>762</v>
      </c>
      <c r="F2066" s="45">
        <v>-304366568.9064002</v>
      </c>
      <c r="G2066" s="42" t="s">
        <v>763</v>
      </c>
      <c r="H2066" s="42" t="s">
        <v>80</v>
      </c>
      <c r="I2066" s="42" t="s">
        <v>764</v>
      </c>
    </row>
    <row r="2067" spans="1:9">
      <c r="A2067" s="42" t="s">
        <v>897</v>
      </c>
      <c r="B2067" s="42" t="s">
        <v>319</v>
      </c>
      <c r="C2067" s="42" t="s">
        <v>907</v>
      </c>
      <c r="D2067" s="42" t="s">
        <v>662</v>
      </c>
      <c r="E2067" s="42" t="s">
        <v>762</v>
      </c>
      <c r="F2067" s="45">
        <v>297834059.0809051</v>
      </c>
      <c r="G2067" s="42" t="s">
        <v>763</v>
      </c>
      <c r="H2067" s="42" t="s">
        <v>88</v>
      </c>
      <c r="I2067" s="42" t="s">
        <v>893</v>
      </c>
    </row>
    <row r="2068" spans="1:9">
      <c r="A2068" s="42" t="s">
        <v>897</v>
      </c>
      <c r="B2068" s="42" t="s">
        <v>354</v>
      </c>
      <c r="C2068" s="42" t="s">
        <v>968</v>
      </c>
      <c r="D2068" s="42" t="s">
        <v>662</v>
      </c>
      <c r="E2068" s="42" t="s">
        <v>762</v>
      </c>
      <c r="F2068" s="45">
        <v>-304366568.9064002</v>
      </c>
      <c r="G2068" s="42" t="s">
        <v>763</v>
      </c>
      <c r="H2068" s="42" t="s">
        <v>88</v>
      </c>
      <c r="I2068" s="42" t="s">
        <v>809</v>
      </c>
    </row>
    <row r="2069" spans="1:9">
      <c r="A2069" s="42" t="s">
        <v>897</v>
      </c>
      <c r="B2069" s="42" t="s">
        <v>357</v>
      </c>
      <c r="C2069" s="42" t="s">
        <v>908</v>
      </c>
      <c r="D2069" s="42" t="s">
        <v>662</v>
      </c>
      <c r="E2069" s="42" t="s">
        <v>762</v>
      </c>
      <c r="F2069" s="45">
        <v>460360484.0911391</v>
      </c>
      <c r="G2069" s="42" t="s">
        <v>763</v>
      </c>
      <c r="H2069" s="42" t="s">
        <v>88</v>
      </c>
      <c r="I2069" s="42" t="s">
        <v>864</v>
      </c>
    </row>
    <row r="2070" spans="1:9">
      <c r="A2070" s="42" t="s">
        <v>897</v>
      </c>
      <c r="B2070" s="42" t="s">
        <v>251</v>
      </c>
      <c r="C2070" s="42" t="s">
        <v>909</v>
      </c>
      <c r="D2070" s="42" t="s">
        <v>662</v>
      </c>
      <c r="E2070" s="42" t="s">
        <v>762</v>
      </c>
      <c r="F2070" s="45">
        <v>9798764.738242613</v>
      </c>
      <c r="G2070" s="42" t="s">
        <v>763</v>
      </c>
      <c r="H2070" s="42" t="s">
        <v>88</v>
      </c>
      <c r="I2070" s="42" t="s">
        <v>893</v>
      </c>
    </row>
    <row r="2071" spans="1:9">
      <c r="A2071" s="42" t="s">
        <v>897</v>
      </c>
      <c r="B2071" s="42" t="s">
        <v>359</v>
      </c>
      <c r="C2071" s="42" t="s">
        <v>969</v>
      </c>
      <c r="D2071" s="42" t="s">
        <v>662</v>
      </c>
      <c r="E2071" s="42" t="s">
        <v>762</v>
      </c>
      <c r="F2071" s="45">
        <v>-12460157.63011098</v>
      </c>
      <c r="G2071" s="42" t="s">
        <v>763</v>
      </c>
      <c r="H2071" s="42" t="s">
        <v>88</v>
      </c>
      <c r="I2071" s="42" t="s">
        <v>853</v>
      </c>
    </row>
    <row r="2072" spans="1:9">
      <c r="A2072" s="42" t="s">
        <v>897</v>
      </c>
      <c r="B2072" s="42" t="s">
        <v>293</v>
      </c>
      <c r="C2072" s="42" t="s">
        <v>912</v>
      </c>
      <c r="D2072" s="42" t="s">
        <v>662</v>
      </c>
      <c r="E2072" s="42" t="s">
        <v>762</v>
      </c>
      <c r="F2072" s="45">
        <v>-488305109.455757</v>
      </c>
      <c r="G2072" s="42" t="s">
        <v>763</v>
      </c>
      <c r="H2072" s="42" t="s">
        <v>88</v>
      </c>
      <c r="I2072" s="42" t="s">
        <v>893</v>
      </c>
    </row>
    <row r="2073" spans="1:9">
      <c r="A2073" s="42" t="s">
        <v>897</v>
      </c>
      <c r="B2073" s="42" t="s">
        <v>369</v>
      </c>
      <c r="C2073" s="42" t="s">
        <v>970</v>
      </c>
      <c r="D2073" s="42" t="s">
        <v>662</v>
      </c>
      <c r="E2073" s="42" t="s">
        <v>762</v>
      </c>
      <c r="F2073" s="45">
        <v>-83954848.49802932</v>
      </c>
      <c r="G2073" s="42" t="s">
        <v>763</v>
      </c>
      <c r="H2073" s="42" t="s">
        <v>88</v>
      </c>
      <c r="I2073" s="42" t="s">
        <v>886</v>
      </c>
    </row>
    <row r="2074" spans="1:9">
      <c r="A2074" s="42" t="s">
        <v>897</v>
      </c>
      <c r="B2074" s="42" t="s">
        <v>292</v>
      </c>
      <c r="C2074" s="42" t="s">
        <v>913</v>
      </c>
      <c r="D2074" s="42" t="s">
        <v>662</v>
      </c>
      <c r="E2074" s="42" t="s">
        <v>762</v>
      </c>
      <c r="F2074" s="45">
        <v>54135150.86868605</v>
      </c>
      <c r="G2074" s="42" t="s">
        <v>763</v>
      </c>
      <c r="H2074" s="42" t="s">
        <v>88</v>
      </c>
      <c r="I2074" s="42" t="s">
        <v>893</v>
      </c>
    </row>
    <row r="2075" spans="1:9">
      <c r="A2075" s="42" t="s">
        <v>897</v>
      </c>
      <c r="B2075" s="42" t="s">
        <v>241</v>
      </c>
      <c r="C2075" s="42" t="s">
        <v>914</v>
      </c>
      <c r="D2075" s="42" t="s">
        <v>662</v>
      </c>
      <c r="E2075" s="42" t="s">
        <v>762</v>
      </c>
      <c r="F2075" s="45">
        <v>-94116530.44879943</v>
      </c>
      <c r="G2075" s="42" t="s">
        <v>763</v>
      </c>
      <c r="H2075" s="42" t="s">
        <v>88</v>
      </c>
      <c r="I2075" s="42" t="s">
        <v>893</v>
      </c>
    </row>
    <row r="2076" spans="1:9">
      <c r="A2076" s="42" t="s">
        <v>897</v>
      </c>
      <c r="B2076" s="42" t="s">
        <v>310</v>
      </c>
      <c r="C2076" s="42" t="s">
        <v>915</v>
      </c>
      <c r="D2076" s="42" t="s">
        <v>662</v>
      </c>
      <c r="E2076" s="42" t="s">
        <v>762</v>
      </c>
      <c r="F2076" s="45">
        <v>226641799.2234264</v>
      </c>
      <c r="G2076" s="42" t="s">
        <v>763</v>
      </c>
      <c r="H2076" s="42" t="s">
        <v>88</v>
      </c>
      <c r="I2076" s="42" t="s">
        <v>893</v>
      </c>
    </row>
    <row r="2077" spans="1:9">
      <c r="A2077" s="42" t="s">
        <v>897</v>
      </c>
      <c r="B2077" s="42" t="s">
        <v>305</v>
      </c>
      <c r="C2077" s="42" t="s">
        <v>916</v>
      </c>
      <c r="D2077" s="42" t="s">
        <v>662</v>
      </c>
      <c r="E2077" s="42" t="s">
        <v>762</v>
      </c>
      <c r="F2077" s="45">
        <v>154239815.3241893</v>
      </c>
      <c r="G2077" s="42" t="s">
        <v>763</v>
      </c>
      <c r="H2077" s="42" t="s">
        <v>88</v>
      </c>
      <c r="I2077" s="42" t="s">
        <v>893</v>
      </c>
    </row>
    <row r="2078" spans="1:9">
      <c r="A2078" s="42" t="s">
        <v>897</v>
      </c>
      <c r="B2078" s="42" t="s">
        <v>306</v>
      </c>
      <c r="C2078" s="42" t="s">
        <v>917</v>
      </c>
      <c r="D2078" s="42" t="s">
        <v>662</v>
      </c>
      <c r="E2078" s="42" t="s">
        <v>762</v>
      </c>
      <c r="F2078" s="45">
        <v>64417805.223632</v>
      </c>
      <c r="G2078" s="42" t="s">
        <v>763</v>
      </c>
      <c r="H2078" s="42" t="s">
        <v>88</v>
      </c>
      <c r="I2078" s="42" t="s">
        <v>893</v>
      </c>
    </row>
    <row r="2079" spans="1:9">
      <c r="A2079" s="42" t="s">
        <v>897</v>
      </c>
      <c r="B2079" s="42" t="s">
        <v>309</v>
      </c>
      <c r="C2079" s="42" t="s">
        <v>918</v>
      </c>
      <c r="D2079" s="42" t="s">
        <v>662</v>
      </c>
      <c r="E2079" s="42" t="s">
        <v>762</v>
      </c>
      <c r="F2079" s="45">
        <v>-43368606.89703675</v>
      </c>
      <c r="G2079" s="42" t="s">
        <v>763</v>
      </c>
      <c r="H2079" s="42" t="s">
        <v>88</v>
      </c>
      <c r="I2079" s="42" t="s">
        <v>893</v>
      </c>
    </row>
    <row r="2080" spans="1:9">
      <c r="A2080" s="42" t="s">
        <v>897</v>
      </c>
      <c r="B2080" s="42" t="s">
        <v>325</v>
      </c>
      <c r="C2080" s="42" t="s">
        <v>919</v>
      </c>
      <c r="D2080" s="42" t="s">
        <v>662</v>
      </c>
      <c r="E2080" s="42" t="s">
        <v>762</v>
      </c>
      <c r="F2080" s="45">
        <v>-83954848.49802932</v>
      </c>
      <c r="G2080" s="42" t="s">
        <v>763</v>
      </c>
      <c r="H2080" s="42" t="s">
        <v>80</v>
      </c>
      <c r="I2080" s="42" t="s">
        <v>893</v>
      </c>
    </row>
    <row r="2081" spans="1:9">
      <c r="A2081" s="42" t="s">
        <v>897</v>
      </c>
      <c r="B2081" s="42" t="s">
        <v>242</v>
      </c>
      <c r="C2081" s="42" t="s">
        <v>920</v>
      </c>
      <c r="D2081" s="42" t="s">
        <v>662</v>
      </c>
      <c r="E2081" s="42" t="s">
        <v>762</v>
      </c>
      <c r="F2081" s="45">
        <v>-7863206.271429258</v>
      </c>
      <c r="G2081" s="42" t="s">
        <v>763</v>
      </c>
      <c r="H2081" s="42" t="s">
        <v>88</v>
      </c>
      <c r="I2081" s="42" t="s">
        <v>893</v>
      </c>
    </row>
    <row r="2082" spans="1:9">
      <c r="A2082" s="42" t="s">
        <v>897</v>
      </c>
      <c r="B2082" s="42" t="s">
        <v>302</v>
      </c>
      <c r="C2082" s="42" t="s">
        <v>921</v>
      </c>
      <c r="D2082" s="42" t="s">
        <v>662</v>
      </c>
      <c r="E2082" s="42" t="s">
        <v>762</v>
      </c>
      <c r="F2082" s="45">
        <v>160953783.7559481</v>
      </c>
      <c r="G2082" s="42" t="s">
        <v>763</v>
      </c>
      <c r="H2082" s="42" t="s">
        <v>88</v>
      </c>
      <c r="I2082" s="42" t="s">
        <v>893</v>
      </c>
    </row>
    <row r="2083" spans="1:9">
      <c r="A2083" s="42" t="s">
        <v>897</v>
      </c>
      <c r="B2083" s="42" t="s">
        <v>326</v>
      </c>
      <c r="C2083" s="42" t="s">
        <v>922</v>
      </c>
      <c r="D2083" s="42" t="s">
        <v>662</v>
      </c>
      <c r="E2083" s="42" t="s">
        <v>762</v>
      </c>
      <c r="F2083" s="45">
        <v>19839474.2848369</v>
      </c>
      <c r="G2083" s="42" t="s">
        <v>763</v>
      </c>
      <c r="H2083" s="42" t="s">
        <v>88</v>
      </c>
      <c r="I2083" s="42" t="s">
        <v>893</v>
      </c>
    </row>
    <row r="2084" spans="1:9">
      <c r="A2084" s="42" t="s">
        <v>897</v>
      </c>
      <c r="B2084" s="42" t="s">
        <v>328</v>
      </c>
      <c r="C2084" s="42" t="s">
        <v>924</v>
      </c>
      <c r="D2084" s="42" t="s">
        <v>662</v>
      </c>
      <c r="E2084" s="42" t="s">
        <v>762</v>
      </c>
      <c r="F2084" s="45">
        <v>-65567043.06330243</v>
      </c>
      <c r="G2084" s="42" t="s">
        <v>763</v>
      </c>
      <c r="H2084" s="42" t="s">
        <v>88</v>
      </c>
      <c r="I2084" s="42" t="s">
        <v>893</v>
      </c>
    </row>
    <row r="2085" spans="1:9">
      <c r="A2085" s="42" t="s">
        <v>897</v>
      </c>
      <c r="B2085" s="42" t="s">
        <v>329</v>
      </c>
      <c r="C2085" s="42" t="s">
        <v>925</v>
      </c>
      <c r="D2085" s="42" t="s">
        <v>662</v>
      </c>
      <c r="E2085" s="42" t="s">
        <v>762</v>
      </c>
      <c r="F2085" s="45">
        <v>4353433909.075765</v>
      </c>
      <c r="G2085" s="42" t="s">
        <v>763</v>
      </c>
      <c r="H2085" s="42" t="s">
        <v>88</v>
      </c>
      <c r="I2085" s="42" t="s">
        <v>893</v>
      </c>
    </row>
    <row r="2086" spans="1:9">
      <c r="A2086" s="42" t="s">
        <v>897</v>
      </c>
      <c r="B2086" s="42" t="s">
        <v>372</v>
      </c>
      <c r="C2086" s="42" t="s">
        <v>926</v>
      </c>
      <c r="D2086" s="42" t="s">
        <v>662</v>
      </c>
      <c r="E2086" s="42" t="s">
        <v>762</v>
      </c>
      <c r="F2086" s="45">
        <v>259304348.3509018</v>
      </c>
      <c r="G2086" s="42" t="s">
        <v>763</v>
      </c>
      <c r="H2086" s="42" t="s">
        <v>88</v>
      </c>
      <c r="I2086" s="42" t="s">
        <v>896</v>
      </c>
    </row>
    <row r="2087" spans="1:9">
      <c r="A2087" s="42" t="s">
        <v>897</v>
      </c>
      <c r="B2087" s="42" t="s">
        <v>330</v>
      </c>
      <c r="C2087" s="42" t="s">
        <v>927</v>
      </c>
      <c r="D2087" s="42" t="s">
        <v>662</v>
      </c>
      <c r="E2087" s="42" t="s">
        <v>762</v>
      </c>
      <c r="F2087" s="45">
        <v>-3606066396.077458</v>
      </c>
      <c r="G2087" s="42" t="s">
        <v>763</v>
      </c>
      <c r="H2087" s="42" t="s">
        <v>88</v>
      </c>
      <c r="I2087" s="42" t="s">
        <v>893</v>
      </c>
    </row>
    <row r="2088" spans="1:9">
      <c r="A2088" s="42" t="s">
        <v>897</v>
      </c>
      <c r="B2088" s="42" t="s">
        <v>332</v>
      </c>
      <c r="C2088" s="42" t="s">
        <v>932</v>
      </c>
      <c r="D2088" s="42" t="s">
        <v>662</v>
      </c>
      <c r="E2088" s="42" t="s">
        <v>762</v>
      </c>
      <c r="F2088" s="45">
        <v>-53893206.06033438</v>
      </c>
      <c r="G2088" s="42" t="s">
        <v>763</v>
      </c>
      <c r="H2088" s="42" t="s">
        <v>88</v>
      </c>
      <c r="I2088" s="42" t="s">
        <v>893</v>
      </c>
    </row>
    <row r="2089" spans="1:9">
      <c r="A2089" s="42" t="s">
        <v>897</v>
      </c>
      <c r="B2089" s="42" t="s">
        <v>334</v>
      </c>
      <c r="C2089" s="42" t="s">
        <v>933</v>
      </c>
      <c r="D2089" s="42" t="s">
        <v>662</v>
      </c>
      <c r="E2089" s="42" t="s">
        <v>762</v>
      </c>
      <c r="F2089" s="45">
        <v>59276478.04615903</v>
      </c>
      <c r="G2089" s="42" t="s">
        <v>763</v>
      </c>
      <c r="H2089" s="42" t="s">
        <v>88</v>
      </c>
      <c r="I2089" s="42" t="s">
        <v>893</v>
      </c>
    </row>
    <row r="2090" spans="1:9">
      <c r="A2090" s="42" t="s">
        <v>897</v>
      </c>
      <c r="B2090" s="42" t="s">
        <v>934</v>
      </c>
      <c r="C2090" s="42" t="s">
        <v>971</v>
      </c>
      <c r="D2090" s="42" t="s">
        <v>662</v>
      </c>
      <c r="E2090" s="42" t="s">
        <v>762</v>
      </c>
      <c r="F2090" s="45">
        <v>-2198431501.087445</v>
      </c>
      <c r="G2090" s="42" t="s">
        <v>763</v>
      </c>
      <c r="H2090" s="42" t="s">
        <v>88</v>
      </c>
      <c r="I2090" s="42" t="s">
        <v>809</v>
      </c>
    </row>
    <row r="2091" spans="1:9">
      <c r="A2091" s="42" t="s">
        <v>897</v>
      </c>
      <c r="B2091" s="42" t="s">
        <v>934</v>
      </c>
      <c r="C2091" s="42" t="s">
        <v>935</v>
      </c>
      <c r="D2091" s="42" t="s">
        <v>662</v>
      </c>
      <c r="E2091" s="42" t="s">
        <v>762</v>
      </c>
      <c r="F2091" s="45">
        <v>-2198431501.087445</v>
      </c>
      <c r="G2091" s="42" t="s">
        <v>763</v>
      </c>
      <c r="H2091" s="42" t="s">
        <v>80</v>
      </c>
      <c r="I2091" s="42" t="s">
        <v>764</v>
      </c>
    </row>
    <row r="2092" spans="1:9">
      <c r="A2092" s="42" t="s">
        <v>897</v>
      </c>
      <c r="B2092" s="42" t="s">
        <v>936</v>
      </c>
      <c r="C2092" s="42" t="s">
        <v>937</v>
      </c>
      <c r="D2092" s="42" t="s">
        <v>662</v>
      </c>
      <c r="E2092" s="42" t="s">
        <v>762</v>
      </c>
      <c r="F2092" s="45">
        <v>-1083428851.798776</v>
      </c>
      <c r="G2092" s="42" t="s">
        <v>763</v>
      </c>
      <c r="H2092" s="42" t="s">
        <v>80</v>
      </c>
      <c r="I2092" s="42" t="s">
        <v>764</v>
      </c>
    </row>
    <row r="2093" spans="1:9">
      <c r="A2093" s="42" t="s">
        <v>897</v>
      </c>
      <c r="B2093" s="42" t="s">
        <v>336</v>
      </c>
      <c r="C2093" s="42" t="s">
        <v>938</v>
      </c>
      <c r="D2093" s="42" t="s">
        <v>662</v>
      </c>
      <c r="E2093" s="42" t="s">
        <v>762</v>
      </c>
      <c r="F2093" s="45">
        <v>-3341378775.740732</v>
      </c>
      <c r="G2093" s="42" t="s">
        <v>763</v>
      </c>
      <c r="H2093" s="42" t="s">
        <v>88</v>
      </c>
      <c r="I2093" s="42" t="s">
        <v>893</v>
      </c>
    </row>
    <row r="2094" spans="1:9">
      <c r="A2094" s="42" t="s">
        <v>897</v>
      </c>
      <c r="B2094" s="42" t="s">
        <v>939</v>
      </c>
      <c r="C2094" s="42" t="s">
        <v>940</v>
      </c>
      <c r="D2094" s="42" t="s">
        <v>662</v>
      </c>
      <c r="E2094" s="42" t="s">
        <v>762</v>
      </c>
      <c r="F2094" s="45">
        <v>3309744492.048751</v>
      </c>
      <c r="G2094" s="42" t="s">
        <v>763</v>
      </c>
      <c r="H2094" s="42" t="s">
        <v>80</v>
      </c>
      <c r="I2094" s="42" t="s">
        <v>764</v>
      </c>
    </row>
    <row r="2095" spans="1:9">
      <c r="A2095" s="42" t="s">
        <v>897</v>
      </c>
      <c r="B2095" s="42" t="s">
        <v>941</v>
      </c>
      <c r="C2095" s="42" t="s">
        <v>942</v>
      </c>
      <c r="D2095" s="42" t="s">
        <v>662</v>
      </c>
      <c r="E2095" s="42" t="s">
        <v>762</v>
      </c>
      <c r="F2095" s="45">
        <v>-6048620.208791737</v>
      </c>
      <c r="G2095" s="42" t="s">
        <v>763</v>
      </c>
      <c r="H2095" s="42" t="s">
        <v>80</v>
      </c>
      <c r="I2095" s="42" t="s">
        <v>764</v>
      </c>
    </row>
    <row r="2096" spans="1:9">
      <c r="A2096" s="42" t="s">
        <v>897</v>
      </c>
      <c r="B2096" s="42" t="s">
        <v>943</v>
      </c>
      <c r="C2096" s="42" t="s">
        <v>944</v>
      </c>
      <c r="D2096" s="42" t="s">
        <v>662</v>
      </c>
      <c r="E2096" s="42" t="s">
        <v>762</v>
      </c>
      <c r="F2096" s="45">
        <v>-43308120.69494884</v>
      </c>
      <c r="G2096" s="42" t="s">
        <v>763</v>
      </c>
      <c r="H2096" s="42" t="s">
        <v>80</v>
      </c>
      <c r="I2096" s="42" t="s">
        <v>764</v>
      </c>
    </row>
    <row r="2097" spans="1:9">
      <c r="A2097" s="42" t="s">
        <v>897</v>
      </c>
      <c r="B2097" s="42" t="s">
        <v>945</v>
      </c>
      <c r="C2097" s="42" t="s">
        <v>946</v>
      </c>
      <c r="D2097" s="42" t="s">
        <v>662</v>
      </c>
      <c r="E2097" s="42" t="s">
        <v>762</v>
      </c>
      <c r="F2097" s="45">
        <v>650650075.8597271</v>
      </c>
      <c r="G2097" s="42" t="s">
        <v>763</v>
      </c>
      <c r="H2097" s="42" t="s">
        <v>80</v>
      </c>
      <c r="I2097" s="42" t="s">
        <v>845</v>
      </c>
    </row>
    <row r="2098" spans="1:9">
      <c r="A2098" s="42" t="s">
        <v>897</v>
      </c>
      <c r="B2098" s="42" t="s">
        <v>949</v>
      </c>
      <c r="C2098" s="42" t="s">
        <v>950</v>
      </c>
      <c r="D2098" s="42" t="s">
        <v>662</v>
      </c>
      <c r="E2098" s="42" t="s">
        <v>762</v>
      </c>
      <c r="F2098" s="45">
        <v>-21472601.74121067</v>
      </c>
      <c r="G2098" s="42" t="s">
        <v>763</v>
      </c>
      <c r="H2098" s="42" t="s">
        <v>80</v>
      </c>
      <c r="I2098" s="42" t="s">
        <v>764</v>
      </c>
    </row>
    <row r="2099" spans="1:9">
      <c r="A2099" s="42" t="s">
        <v>897</v>
      </c>
      <c r="B2099" s="42" t="s">
        <v>338</v>
      </c>
      <c r="C2099" s="42" t="s">
        <v>972</v>
      </c>
      <c r="D2099" s="42" t="s">
        <v>662</v>
      </c>
      <c r="E2099" s="42" t="s">
        <v>762</v>
      </c>
      <c r="F2099" s="45">
        <v>-1083428851.798776</v>
      </c>
      <c r="G2099" s="42" t="s">
        <v>763</v>
      </c>
      <c r="H2099" s="42" t="s">
        <v>88</v>
      </c>
      <c r="I2099" s="42" t="s">
        <v>893</v>
      </c>
    </row>
    <row r="2100" spans="1:9">
      <c r="A2100" s="42" t="s">
        <v>897</v>
      </c>
      <c r="B2100" s="42" t="s">
        <v>939</v>
      </c>
      <c r="C2100" s="42" t="s">
        <v>973</v>
      </c>
      <c r="D2100" s="42" t="s">
        <v>662</v>
      </c>
      <c r="E2100" s="42" t="s">
        <v>762</v>
      </c>
      <c r="F2100" s="45">
        <v>3309744492.048751</v>
      </c>
      <c r="G2100" s="42" t="s">
        <v>763</v>
      </c>
      <c r="H2100" s="42" t="s">
        <v>88</v>
      </c>
      <c r="I2100" s="42" t="s">
        <v>893</v>
      </c>
    </row>
    <row r="2101" spans="1:9">
      <c r="A2101" s="42" t="s">
        <v>897</v>
      </c>
      <c r="B2101" s="42" t="s">
        <v>943</v>
      </c>
      <c r="C2101" s="42" t="s">
        <v>974</v>
      </c>
      <c r="D2101" s="42" t="s">
        <v>662</v>
      </c>
      <c r="E2101" s="42" t="s">
        <v>762</v>
      </c>
      <c r="F2101" s="45">
        <v>-43308120.69494884</v>
      </c>
      <c r="G2101" s="42" t="s">
        <v>763</v>
      </c>
      <c r="H2101" s="42" t="s">
        <v>88</v>
      </c>
      <c r="I2101" s="42" t="s">
        <v>822</v>
      </c>
    </row>
    <row r="2102" spans="1:9">
      <c r="A2102" s="42" t="s">
        <v>897</v>
      </c>
      <c r="B2102" s="42" t="s">
        <v>975</v>
      </c>
      <c r="C2102" s="42" t="s">
        <v>976</v>
      </c>
      <c r="D2102" s="42" t="s">
        <v>662</v>
      </c>
      <c r="E2102" s="42" t="s">
        <v>762</v>
      </c>
      <c r="F2102" s="45">
        <v>-3689658.32736296</v>
      </c>
      <c r="G2102" s="42" t="s">
        <v>763</v>
      </c>
      <c r="H2102" s="42" t="s">
        <v>80</v>
      </c>
      <c r="I2102" s="42" t="s">
        <v>764</v>
      </c>
    </row>
    <row r="2103" spans="1:9">
      <c r="A2103" s="42" t="s">
        <v>897</v>
      </c>
      <c r="B2103" s="42" t="s">
        <v>941</v>
      </c>
      <c r="C2103" s="42" t="s">
        <v>977</v>
      </c>
      <c r="D2103" s="42" t="s">
        <v>662</v>
      </c>
      <c r="E2103" s="42" t="s">
        <v>762</v>
      </c>
      <c r="F2103" s="45">
        <v>-6048620.208791737</v>
      </c>
      <c r="G2103" s="42" t="s">
        <v>763</v>
      </c>
      <c r="H2103" s="42" t="s">
        <v>88</v>
      </c>
      <c r="I2103" s="42" t="s">
        <v>893</v>
      </c>
    </row>
    <row r="2104" spans="1:9">
      <c r="A2104" s="42" t="s">
        <v>897</v>
      </c>
      <c r="B2104" s="42" t="s">
        <v>978</v>
      </c>
      <c r="C2104" s="42" t="s">
        <v>979</v>
      </c>
      <c r="D2104" s="42" t="s">
        <v>662</v>
      </c>
      <c r="E2104" s="42" t="s">
        <v>762</v>
      </c>
      <c r="F2104" s="45">
        <v>-3689658.32736296</v>
      </c>
      <c r="G2104" s="42" t="s">
        <v>763</v>
      </c>
      <c r="H2104" s="42" t="s">
        <v>88</v>
      </c>
      <c r="I2104" s="42" t="s">
        <v>809</v>
      </c>
    </row>
    <row r="2105" spans="1:9">
      <c r="A2105" s="42" t="s">
        <v>897</v>
      </c>
      <c r="B2105" s="42" t="s">
        <v>393</v>
      </c>
      <c r="C2105" s="42" t="s">
        <v>953</v>
      </c>
      <c r="D2105" s="42" t="s">
        <v>662</v>
      </c>
      <c r="E2105" s="42" t="s">
        <v>762</v>
      </c>
      <c r="F2105" s="45">
        <v>100709526.4763824</v>
      </c>
      <c r="G2105" s="42" t="s">
        <v>763</v>
      </c>
      <c r="H2105" s="42" t="s">
        <v>88</v>
      </c>
      <c r="I2105" s="42" t="s">
        <v>817</v>
      </c>
    </row>
    <row r="2106" spans="1:9">
      <c r="A2106" s="42" t="s">
        <v>897</v>
      </c>
      <c r="B2106" s="42" t="s">
        <v>344</v>
      </c>
      <c r="C2106" s="42" t="s">
        <v>980</v>
      </c>
      <c r="D2106" s="42" t="s">
        <v>662</v>
      </c>
      <c r="E2106" s="42" t="s">
        <v>762</v>
      </c>
      <c r="F2106" s="45">
        <v>-21472601.74121067</v>
      </c>
      <c r="G2106" s="42" t="s">
        <v>763</v>
      </c>
      <c r="H2106" s="42" t="s">
        <v>88</v>
      </c>
      <c r="I2106" s="42" t="s">
        <v>893</v>
      </c>
    </row>
    <row r="2107" spans="1:9">
      <c r="A2107" s="42" t="s">
        <v>897</v>
      </c>
      <c r="B2107" s="42" t="s">
        <v>954</v>
      </c>
      <c r="C2107" s="42" t="s">
        <v>955</v>
      </c>
      <c r="D2107" s="42" t="s">
        <v>662</v>
      </c>
      <c r="E2107" s="42" t="s">
        <v>762</v>
      </c>
      <c r="F2107" s="45">
        <v>1738252475.60257</v>
      </c>
      <c r="G2107" s="42" t="s">
        <v>763</v>
      </c>
      <c r="H2107" s="42" t="s">
        <v>80</v>
      </c>
      <c r="I2107" s="42" t="s">
        <v>764</v>
      </c>
    </row>
    <row r="2108" spans="1:9">
      <c r="A2108" s="42" t="s">
        <v>897</v>
      </c>
      <c r="B2108" s="42" t="s">
        <v>346</v>
      </c>
      <c r="C2108" s="42" t="s">
        <v>956</v>
      </c>
      <c r="D2108" s="42" t="s">
        <v>662</v>
      </c>
      <c r="E2108" s="42" t="s">
        <v>762</v>
      </c>
      <c r="F2108" s="45">
        <v>1087602399.742842</v>
      </c>
      <c r="G2108" s="42" t="s">
        <v>763</v>
      </c>
      <c r="H2108" s="42" t="s">
        <v>88</v>
      </c>
      <c r="I2108" s="42" t="s">
        <v>893</v>
      </c>
    </row>
    <row r="2109" spans="1:9">
      <c r="A2109" s="42" t="s">
        <v>897</v>
      </c>
      <c r="B2109" s="42" t="s">
        <v>347</v>
      </c>
      <c r="C2109" s="42" t="s">
        <v>981</v>
      </c>
      <c r="D2109" s="42" t="s">
        <v>662</v>
      </c>
      <c r="E2109" s="42" t="s">
        <v>762</v>
      </c>
      <c r="F2109" s="45">
        <v>676094421.2223815</v>
      </c>
      <c r="G2109" s="42" t="s">
        <v>763</v>
      </c>
      <c r="H2109" s="42" t="s">
        <v>88</v>
      </c>
      <c r="I2109" s="42" t="s">
        <v>893</v>
      </c>
    </row>
    <row r="2110" spans="1:9">
      <c r="A2110" s="42" t="s">
        <v>897</v>
      </c>
      <c r="B2110" s="42" t="s">
        <v>957</v>
      </c>
      <c r="C2110" s="42" t="s">
        <v>958</v>
      </c>
      <c r="D2110" s="42" t="s">
        <v>662</v>
      </c>
      <c r="E2110" s="42" t="s">
        <v>762</v>
      </c>
      <c r="F2110" s="45">
        <v>364066450.3671747</v>
      </c>
      <c r="G2110" s="42" t="s">
        <v>763</v>
      </c>
      <c r="H2110" s="42" t="s">
        <v>80</v>
      </c>
      <c r="I2110" s="42" t="s">
        <v>764</v>
      </c>
    </row>
    <row r="2111" spans="1:9">
      <c r="A2111" s="42" t="s">
        <v>897</v>
      </c>
      <c r="B2111" s="42" t="s">
        <v>348</v>
      </c>
      <c r="C2111" s="42" t="s">
        <v>982</v>
      </c>
      <c r="D2111" s="42" t="s">
        <v>662</v>
      </c>
      <c r="E2111" s="42" t="s">
        <v>762</v>
      </c>
      <c r="F2111" s="45">
        <v>1498565986.93232</v>
      </c>
      <c r="G2111" s="42" t="s">
        <v>763</v>
      </c>
      <c r="H2111" s="42" t="s">
        <v>88</v>
      </c>
      <c r="I2111" s="42" t="s">
        <v>893</v>
      </c>
    </row>
    <row r="2112" spans="1:9">
      <c r="A2112" s="42" t="s">
        <v>897</v>
      </c>
      <c r="B2112" s="42" t="s">
        <v>959</v>
      </c>
      <c r="C2112" s="42" t="s">
        <v>960</v>
      </c>
      <c r="D2112" s="42" t="s">
        <v>662</v>
      </c>
      <c r="E2112" s="42" t="s">
        <v>762</v>
      </c>
      <c r="F2112" s="45">
        <v>-297168710.8579381</v>
      </c>
      <c r="G2112" s="42" t="s">
        <v>763</v>
      </c>
      <c r="H2112" s="42" t="s">
        <v>80</v>
      </c>
      <c r="I2112" s="42" t="s">
        <v>764</v>
      </c>
    </row>
    <row r="2113" spans="1:9">
      <c r="A2113" s="42" t="s">
        <v>897</v>
      </c>
      <c r="B2113" s="42" t="s">
        <v>983</v>
      </c>
      <c r="C2113" s="42" t="s">
        <v>984</v>
      </c>
      <c r="D2113" s="42" t="s">
        <v>662</v>
      </c>
      <c r="E2113" s="42" t="s">
        <v>762</v>
      </c>
      <c r="F2113" s="45">
        <v>1149237.83967043</v>
      </c>
      <c r="G2113" s="42" t="s">
        <v>763</v>
      </c>
      <c r="H2113" s="42" t="s">
        <v>80</v>
      </c>
      <c r="I2113" s="42" t="s">
        <v>764</v>
      </c>
    </row>
    <row r="2114" spans="1:9">
      <c r="A2114" s="42" t="s">
        <v>897</v>
      </c>
      <c r="B2114" s="42" t="s">
        <v>346</v>
      </c>
      <c r="C2114" s="42" t="s">
        <v>961</v>
      </c>
      <c r="D2114" s="42" t="s">
        <v>662</v>
      </c>
      <c r="E2114" s="42" t="s">
        <v>762</v>
      </c>
      <c r="F2114" s="45">
        <v>1087602399.742842</v>
      </c>
      <c r="G2114" s="42" t="s">
        <v>763</v>
      </c>
      <c r="H2114" s="42" t="s">
        <v>88</v>
      </c>
      <c r="I2114" s="42" t="s">
        <v>893</v>
      </c>
    </row>
    <row r="2115" spans="1:9">
      <c r="A2115" s="42" t="s">
        <v>897</v>
      </c>
      <c r="B2115" s="42" t="s">
        <v>348</v>
      </c>
      <c r="C2115" s="42" t="s">
        <v>982</v>
      </c>
      <c r="D2115" s="42" t="s">
        <v>815</v>
      </c>
      <c r="E2115" s="42" t="s">
        <v>808</v>
      </c>
      <c r="F2115" s="45">
        <v>1498565986.93232</v>
      </c>
      <c r="G2115" s="42" t="s">
        <v>985</v>
      </c>
      <c r="H2115" s="42" t="s">
        <v>88</v>
      </c>
      <c r="I2115" s="42" t="s">
        <v>893</v>
      </c>
    </row>
    <row r="2116" spans="1:9">
      <c r="A2116" s="42" t="s">
        <v>897</v>
      </c>
      <c r="B2116" s="42" t="s">
        <v>349</v>
      </c>
      <c r="C2116" s="42" t="s">
        <v>898</v>
      </c>
      <c r="D2116" s="42" t="s">
        <v>816</v>
      </c>
      <c r="E2116" s="42" t="s">
        <v>762</v>
      </c>
      <c r="F2116" s="45">
        <v>1378710796.411581</v>
      </c>
      <c r="G2116" s="42" t="s">
        <v>763</v>
      </c>
      <c r="H2116" s="42" t="s">
        <v>98</v>
      </c>
      <c r="I2116" s="42" t="s">
        <v>865</v>
      </c>
    </row>
    <row r="2117" spans="1:9">
      <c r="A2117" s="42" t="s">
        <v>897</v>
      </c>
      <c r="B2117" s="42" t="s">
        <v>351</v>
      </c>
      <c r="C2117" s="42" t="s">
        <v>899</v>
      </c>
      <c r="D2117" s="42" t="s">
        <v>816</v>
      </c>
      <c r="E2117" s="42" t="s">
        <v>762</v>
      </c>
      <c r="F2117" s="45">
        <v>-172812038.1245309</v>
      </c>
      <c r="G2117" s="42" t="s">
        <v>763</v>
      </c>
      <c r="H2117" s="42" t="s">
        <v>80</v>
      </c>
      <c r="I2117" s="42" t="s">
        <v>860</v>
      </c>
    </row>
    <row r="2118" spans="1:9">
      <c r="A2118" s="42" t="s">
        <v>897</v>
      </c>
      <c r="B2118" s="42" t="s">
        <v>201</v>
      </c>
      <c r="C2118" s="42" t="s">
        <v>966</v>
      </c>
      <c r="D2118" s="42" t="s">
        <v>816</v>
      </c>
      <c r="E2118" s="42" t="s">
        <v>762</v>
      </c>
      <c r="F2118" s="45">
        <v>-172812038.1245309</v>
      </c>
      <c r="G2118" s="42" t="s">
        <v>763</v>
      </c>
      <c r="H2118" s="42" t="s">
        <v>98</v>
      </c>
      <c r="I2118" s="42" t="s">
        <v>893</v>
      </c>
    </row>
    <row r="2119" spans="1:9">
      <c r="A2119" s="42" t="s">
        <v>897</v>
      </c>
      <c r="B2119" s="42" t="s">
        <v>314</v>
      </c>
      <c r="C2119" s="42" t="s">
        <v>900</v>
      </c>
      <c r="D2119" s="42" t="s">
        <v>816</v>
      </c>
      <c r="E2119" s="42" t="s">
        <v>762</v>
      </c>
      <c r="F2119" s="45">
        <v>3127294351.421171</v>
      </c>
      <c r="G2119" s="42" t="s">
        <v>763</v>
      </c>
      <c r="H2119" s="42" t="s">
        <v>98</v>
      </c>
      <c r="I2119" s="42" t="s">
        <v>893</v>
      </c>
    </row>
    <row r="2120" spans="1:9">
      <c r="A2120" s="42" t="s">
        <v>897</v>
      </c>
      <c r="B2120" s="42" t="s">
        <v>315</v>
      </c>
      <c r="C2120" s="42" t="s">
        <v>901</v>
      </c>
      <c r="D2120" s="42" t="s">
        <v>816</v>
      </c>
      <c r="E2120" s="42" t="s">
        <v>762</v>
      </c>
      <c r="F2120" s="45">
        <v>62460891.64699412</v>
      </c>
      <c r="G2120" s="42" t="s">
        <v>763</v>
      </c>
      <c r="H2120" s="42" t="s">
        <v>98</v>
      </c>
      <c r="I2120" s="42" t="s">
        <v>893</v>
      </c>
    </row>
    <row r="2121" spans="1:9">
      <c r="A2121" s="42" t="s">
        <v>897</v>
      </c>
      <c r="B2121" s="42" t="s">
        <v>902</v>
      </c>
      <c r="C2121" s="42" t="s">
        <v>903</v>
      </c>
      <c r="D2121" s="42" t="s">
        <v>816</v>
      </c>
      <c r="E2121" s="42" t="s">
        <v>762</v>
      </c>
      <c r="F2121" s="45">
        <v>432155088.5193115</v>
      </c>
      <c r="G2121" s="42" t="s">
        <v>763</v>
      </c>
      <c r="H2121" s="42" t="s">
        <v>80</v>
      </c>
      <c r="I2121" s="42" t="s">
        <v>764</v>
      </c>
    </row>
    <row r="2122" spans="1:9">
      <c r="A2122" s="42" t="s">
        <v>897</v>
      </c>
      <c r="B2122" s="42" t="s">
        <v>317</v>
      </c>
      <c r="C2122" s="42" t="s">
        <v>967</v>
      </c>
      <c r="D2122" s="42" t="s">
        <v>816</v>
      </c>
      <c r="E2122" s="42" t="s">
        <v>762</v>
      </c>
      <c r="F2122" s="45">
        <v>432155088.5193115</v>
      </c>
      <c r="G2122" s="42" t="s">
        <v>763</v>
      </c>
      <c r="H2122" s="42" t="s">
        <v>98</v>
      </c>
      <c r="I2122" s="42" t="s">
        <v>893</v>
      </c>
    </row>
    <row r="2123" spans="1:9">
      <c r="A2123" s="42" t="s">
        <v>897</v>
      </c>
      <c r="B2123" s="42" t="s">
        <v>318</v>
      </c>
      <c r="C2123" s="42" t="s">
        <v>904</v>
      </c>
      <c r="D2123" s="42" t="s">
        <v>816</v>
      </c>
      <c r="E2123" s="42" t="s">
        <v>762</v>
      </c>
      <c r="F2123" s="45">
        <v>1840542843.740871</v>
      </c>
      <c r="G2123" s="42" t="s">
        <v>763</v>
      </c>
      <c r="H2123" s="42" t="s">
        <v>98</v>
      </c>
      <c r="I2123" s="42" t="s">
        <v>893</v>
      </c>
    </row>
    <row r="2124" spans="1:9">
      <c r="A2124" s="42" t="s">
        <v>897</v>
      </c>
      <c r="B2124" s="42" t="s">
        <v>905</v>
      </c>
      <c r="C2124" s="42" t="s">
        <v>906</v>
      </c>
      <c r="D2124" s="42" t="s">
        <v>816</v>
      </c>
      <c r="E2124" s="42" t="s">
        <v>762</v>
      </c>
      <c r="F2124" s="45">
        <v>-103565800.9012481</v>
      </c>
      <c r="G2124" s="42" t="s">
        <v>763</v>
      </c>
      <c r="H2124" s="42" t="s">
        <v>80</v>
      </c>
      <c r="I2124" s="42" t="s">
        <v>764</v>
      </c>
    </row>
    <row r="2125" spans="1:9">
      <c r="A2125" s="42" t="s">
        <v>897</v>
      </c>
      <c r="B2125" s="42" t="s">
        <v>319</v>
      </c>
      <c r="C2125" s="42" t="s">
        <v>907</v>
      </c>
      <c r="D2125" s="42" t="s">
        <v>816</v>
      </c>
      <c r="E2125" s="42" t="s">
        <v>762</v>
      </c>
      <c r="F2125" s="45">
        <v>-122207645.0634728</v>
      </c>
      <c r="G2125" s="42" t="s">
        <v>763</v>
      </c>
      <c r="H2125" s="42" t="s">
        <v>98</v>
      </c>
      <c r="I2125" s="42" t="s">
        <v>893</v>
      </c>
    </row>
    <row r="2126" spans="1:9">
      <c r="A2126" s="42" t="s">
        <v>897</v>
      </c>
      <c r="B2126" s="42" t="s">
        <v>354</v>
      </c>
      <c r="C2126" s="42" t="s">
        <v>968</v>
      </c>
      <c r="D2126" s="42" t="s">
        <v>816</v>
      </c>
      <c r="E2126" s="42" t="s">
        <v>762</v>
      </c>
      <c r="F2126" s="45">
        <v>-103565800.9012481</v>
      </c>
      <c r="G2126" s="42" t="s">
        <v>763</v>
      </c>
      <c r="H2126" s="42" t="s">
        <v>88</v>
      </c>
      <c r="I2126" s="42" t="s">
        <v>809</v>
      </c>
    </row>
    <row r="2127" spans="1:9">
      <c r="A2127" s="42" t="s">
        <v>897</v>
      </c>
      <c r="B2127" s="42" t="s">
        <v>355</v>
      </c>
      <c r="C2127" s="42" t="s">
        <v>986</v>
      </c>
      <c r="D2127" s="42" t="s">
        <v>816</v>
      </c>
      <c r="E2127" s="42" t="s">
        <v>762</v>
      </c>
      <c r="F2127" s="45">
        <v>-103565800.9012481</v>
      </c>
      <c r="G2127" s="42" t="s">
        <v>763</v>
      </c>
      <c r="H2127" s="42" t="s">
        <v>98</v>
      </c>
      <c r="I2127" s="42" t="s">
        <v>817</v>
      </c>
    </row>
    <row r="2128" spans="1:9">
      <c r="A2128" s="42" t="s">
        <v>897</v>
      </c>
      <c r="B2128" s="42" t="s">
        <v>357</v>
      </c>
      <c r="C2128" s="42" t="s">
        <v>908</v>
      </c>
      <c r="D2128" s="42" t="s">
        <v>816</v>
      </c>
      <c r="E2128" s="42" t="s">
        <v>762</v>
      </c>
      <c r="F2128" s="45">
        <v>-1021765906.753659</v>
      </c>
      <c r="G2128" s="42" t="s">
        <v>763</v>
      </c>
      <c r="H2128" s="42" t="s">
        <v>98</v>
      </c>
      <c r="I2128" s="42" t="s">
        <v>864</v>
      </c>
    </row>
    <row r="2129" spans="1:9">
      <c r="A2129" s="42" t="s">
        <v>897</v>
      </c>
      <c r="B2129" s="42" t="s">
        <v>251</v>
      </c>
      <c r="C2129" s="42" t="s">
        <v>909</v>
      </c>
      <c r="D2129" s="42" t="s">
        <v>816</v>
      </c>
      <c r="E2129" s="42" t="s">
        <v>762</v>
      </c>
      <c r="F2129" s="45">
        <v>10999402.30261532</v>
      </c>
      <c r="G2129" s="42" t="s">
        <v>763</v>
      </c>
      <c r="H2129" s="42" t="s">
        <v>98</v>
      </c>
      <c r="I2129" s="42" t="s">
        <v>893</v>
      </c>
    </row>
    <row r="2130" spans="1:9">
      <c r="A2130" s="42" t="s">
        <v>897</v>
      </c>
      <c r="B2130" s="42" t="s">
        <v>359</v>
      </c>
      <c r="C2130" s="42" t="s">
        <v>969</v>
      </c>
      <c r="D2130" s="42" t="s">
        <v>816</v>
      </c>
      <c r="E2130" s="42" t="s">
        <v>762</v>
      </c>
      <c r="F2130" s="45">
        <v>-14892047.92269671</v>
      </c>
      <c r="G2130" s="42" t="s">
        <v>763</v>
      </c>
      <c r="H2130" s="42" t="s">
        <v>98</v>
      </c>
      <c r="I2130" s="42" t="s">
        <v>853</v>
      </c>
    </row>
    <row r="2131" spans="1:9">
      <c r="A2131" s="42" t="s">
        <v>897</v>
      </c>
      <c r="B2131" s="42" t="s">
        <v>987</v>
      </c>
      <c r="C2131" s="42" t="s">
        <v>988</v>
      </c>
      <c r="D2131" s="42" t="s">
        <v>816</v>
      </c>
      <c r="E2131" s="42" t="s">
        <v>762</v>
      </c>
      <c r="F2131" s="45">
        <v>-427833894.7575698</v>
      </c>
      <c r="G2131" s="42" t="s">
        <v>763</v>
      </c>
      <c r="H2131" s="42" t="s">
        <v>98</v>
      </c>
      <c r="I2131" s="42" t="s">
        <v>817</v>
      </c>
    </row>
    <row r="2132" spans="1:9">
      <c r="A2132" s="42" t="s">
        <v>897</v>
      </c>
      <c r="B2132" s="42" t="s">
        <v>293</v>
      </c>
      <c r="C2132" s="42" t="s">
        <v>912</v>
      </c>
      <c r="D2132" s="42" t="s">
        <v>816</v>
      </c>
      <c r="E2132" s="42" t="s">
        <v>762</v>
      </c>
      <c r="F2132" s="45">
        <v>-925378287.2252212</v>
      </c>
      <c r="G2132" s="42" t="s">
        <v>763</v>
      </c>
      <c r="H2132" s="42" t="s">
        <v>98</v>
      </c>
      <c r="I2132" s="42" t="s">
        <v>893</v>
      </c>
    </row>
    <row r="2133" spans="1:9">
      <c r="A2133" s="42" t="s">
        <v>897</v>
      </c>
      <c r="B2133" s="42" t="s">
        <v>369</v>
      </c>
      <c r="C2133" s="42" t="s">
        <v>970</v>
      </c>
      <c r="D2133" s="42" t="s">
        <v>816</v>
      </c>
      <c r="E2133" s="42" t="s">
        <v>762</v>
      </c>
      <c r="F2133" s="45">
        <v>-94709139.30693449</v>
      </c>
      <c r="G2133" s="42" t="s">
        <v>763</v>
      </c>
      <c r="H2133" s="42" t="s">
        <v>98</v>
      </c>
      <c r="I2133" s="42" t="s">
        <v>886</v>
      </c>
    </row>
    <row r="2134" spans="1:9">
      <c r="A2134" s="42" t="s">
        <v>897</v>
      </c>
      <c r="B2134" s="42" t="s">
        <v>292</v>
      </c>
      <c r="C2134" s="42" t="s">
        <v>913</v>
      </c>
      <c r="D2134" s="42" t="s">
        <v>816</v>
      </c>
      <c r="E2134" s="42" t="s">
        <v>762</v>
      </c>
      <c r="F2134" s="45">
        <v>-352587983.5510423</v>
      </c>
      <c r="G2134" s="42" t="s">
        <v>763</v>
      </c>
      <c r="H2134" s="42" t="s">
        <v>98</v>
      </c>
      <c r="I2134" s="42" t="s">
        <v>893</v>
      </c>
    </row>
    <row r="2135" spans="1:9">
      <c r="A2135" s="42" t="s">
        <v>897</v>
      </c>
      <c r="B2135" s="42" t="s">
        <v>241</v>
      </c>
      <c r="C2135" s="42" t="s">
        <v>914</v>
      </c>
      <c r="D2135" s="42" t="s">
        <v>816</v>
      </c>
      <c r="E2135" s="42" t="s">
        <v>762</v>
      </c>
      <c r="F2135" s="45">
        <v>33962440.22658172</v>
      </c>
      <c r="G2135" s="42" t="s">
        <v>763</v>
      </c>
      <c r="H2135" s="42" t="s">
        <v>98</v>
      </c>
      <c r="I2135" s="42" t="s">
        <v>893</v>
      </c>
    </row>
    <row r="2136" spans="1:9">
      <c r="A2136" s="42" t="s">
        <v>897</v>
      </c>
      <c r="B2136" s="42" t="s">
        <v>310</v>
      </c>
      <c r="C2136" s="42" t="s">
        <v>915</v>
      </c>
      <c r="D2136" s="42" t="s">
        <v>816</v>
      </c>
      <c r="E2136" s="42" t="s">
        <v>762</v>
      </c>
      <c r="F2136" s="45">
        <v>670285005.9019055</v>
      </c>
      <c r="G2136" s="42" t="s">
        <v>763</v>
      </c>
      <c r="H2136" s="42" t="s">
        <v>98</v>
      </c>
      <c r="I2136" s="42" t="s">
        <v>893</v>
      </c>
    </row>
    <row r="2137" spans="1:9">
      <c r="A2137" s="42" t="s">
        <v>897</v>
      </c>
      <c r="B2137" s="42" t="s">
        <v>305</v>
      </c>
      <c r="C2137" s="42" t="s">
        <v>916</v>
      </c>
      <c r="D2137" s="42" t="s">
        <v>816</v>
      </c>
      <c r="E2137" s="42" t="s">
        <v>762</v>
      </c>
      <c r="F2137" s="45">
        <v>93387782.53681511</v>
      </c>
      <c r="G2137" s="42" t="s">
        <v>763</v>
      </c>
      <c r="H2137" s="42" t="s">
        <v>98</v>
      </c>
      <c r="I2137" s="42" t="s">
        <v>893</v>
      </c>
    </row>
    <row r="2138" spans="1:9">
      <c r="A2138" s="42" t="s">
        <v>897</v>
      </c>
      <c r="B2138" s="42" t="s">
        <v>306</v>
      </c>
      <c r="C2138" s="42" t="s">
        <v>917</v>
      </c>
      <c r="D2138" s="42" t="s">
        <v>816</v>
      </c>
      <c r="E2138" s="42" t="s">
        <v>762</v>
      </c>
      <c r="F2138" s="45">
        <v>67996305.14344014</v>
      </c>
      <c r="G2138" s="42" t="s">
        <v>763</v>
      </c>
      <c r="H2138" s="42" t="s">
        <v>98</v>
      </c>
      <c r="I2138" s="42" t="s">
        <v>893</v>
      </c>
    </row>
    <row r="2139" spans="1:9">
      <c r="A2139" s="42" t="s">
        <v>897</v>
      </c>
      <c r="B2139" s="42" t="s">
        <v>309</v>
      </c>
      <c r="C2139" s="42" t="s">
        <v>918</v>
      </c>
      <c r="D2139" s="42" t="s">
        <v>816</v>
      </c>
      <c r="E2139" s="42" t="s">
        <v>762</v>
      </c>
      <c r="F2139" s="45">
        <v>-42069142.57298975</v>
      </c>
      <c r="G2139" s="42" t="s">
        <v>763</v>
      </c>
      <c r="H2139" s="42" t="s">
        <v>98</v>
      </c>
      <c r="I2139" s="42" t="s">
        <v>893</v>
      </c>
    </row>
    <row r="2140" spans="1:9">
      <c r="A2140" s="42" t="s">
        <v>897</v>
      </c>
      <c r="B2140" s="42" t="s">
        <v>325</v>
      </c>
      <c r="C2140" s="42" t="s">
        <v>919</v>
      </c>
      <c r="D2140" s="42" t="s">
        <v>816</v>
      </c>
      <c r="E2140" s="42" t="s">
        <v>762</v>
      </c>
      <c r="F2140" s="45">
        <v>-94709139.30693449</v>
      </c>
      <c r="G2140" s="42" t="s">
        <v>763</v>
      </c>
      <c r="H2140" s="42" t="s">
        <v>80</v>
      </c>
      <c r="I2140" s="42" t="s">
        <v>893</v>
      </c>
    </row>
    <row r="2141" spans="1:9">
      <c r="A2141" s="42" t="s">
        <v>897</v>
      </c>
      <c r="B2141" s="42" t="s">
        <v>242</v>
      </c>
      <c r="C2141" s="42" t="s">
        <v>920</v>
      </c>
      <c r="D2141" s="42" t="s">
        <v>816</v>
      </c>
      <c r="E2141" s="42" t="s">
        <v>762</v>
      </c>
      <c r="F2141" s="45">
        <v>-9928031.948464474</v>
      </c>
      <c r="G2141" s="42" t="s">
        <v>763</v>
      </c>
      <c r="H2141" s="42" t="s">
        <v>98</v>
      </c>
      <c r="I2141" s="42" t="s">
        <v>893</v>
      </c>
    </row>
    <row r="2142" spans="1:9">
      <c r="A2142" s="42" t="s">
        <v>897</v>
      </c>
      <c r="B2142" s="42" t="s">
        <v>302</v>
      </c>
      <c r="C2142" s="42" t="s">
        <v>921</v>
      </c>
      <c r="D2142" s="42" t="s">
        <v>816</v>
      </c>
      <c r="E2142" s="42" t="s">
        <v>762</v>
      </c>
      <c r="F2142" s="45">
        <v>77817200.05648953</v>
      </c>
      <c r="G2142" s="42" t="s">
        <v>763</v>
      </c>
      <c r="H2142" s="42" t="s">
        <v>98</v>
      </c>
      <c r="I2142" s="42" t="s">
        <v>893</v>
      </c>
    </row>
    <row r="2143" spans="1:9">
      <c r="A2143" s="42" t="s">
        <v>897</v>
      </c>
      <c r="B2143" s="42" t="s">
        <v>326</v>
      </c>
      <c r="C2143" s="42" t="s">
        <v>922</v>
      </c>
      <c r="D2143" s="42" t="s">
        <v>816</v>
      </c>
      <c r="E2143" s="42" t="s">
        <v>762</v>
      </c>
      <c r="F2143" s="45">
        <v>20820297.21566471</v>
      </c>
      <c r="G2143" s="42" t="s">
        <v>763</v>
      </c>
      <c r="H2143" s="42" t="s">
        <v>98</v>
      </c>
      <c r="I2143" s="42" t="s">
        <v>893</v>
      </c>
    </row>
    <row r="2144" spans="1:9">
      <c r="A2144" s="42" t="s">
        <v>897</v>
      </c>
      <c r="B2144" s="42" t="s">
        <v>371</v>
      </c>
      <c r="C2144" s="42" t="s">
        <v>923</v>
      </c>
      <c r="D2144" s="42" t="s">
        <v>816</v>
      </c>
      <c r="E2144" s="42" t="s">
        <v>762</v>
      </c>
      <c r="F2144" s="45">
        <v>17713323.18862727</v>
      </c>
      <c r="G2144" s="42" t="s">
        <v>763</v>
      </c>
      <c r="H2144" s="42" t="s">
        <v>98</v>
      </c>
      <c r="I2144" s="42" t="s">
        <v>866</v>
      </c>
    </row>
    <row r="2145" spans="1:9">
      <c r="A2145" s="42" t="s">
        <v>897</v>
      </c>
      <c r="B2145" s="42" t="s">
        <v>328</v>
      </c>
      <c r="C2145" s="42" t="s">
        <v>924</v>
      </c>
      <c r="D2145" s="42" t="s">
        <v>816</v>
      </c>
      <c r="E2145" s="42" t="s">
        <v>762</v>
      </c>
      <c r="F2145" s="45">
        <v>-80281351.87103647</v>
      </c>
      <c r="G2145" s="42" t="s">
        <v>763</v>
      </c>
      <c r="H2145" s="42" t="s">
        <v>98</v>
      </c>
      <c r="I2145" s="42" t="s">
        <v>893</v>
      </c>
    </row>
    <row r="2146" spans="1:9">
      <c r="A2146" s="42" t="s">
        <v>897</v>
      </c>
      <c r="B2146" s="42" t="s">
        <v>329</v>
      </c>
      <c r="C2146" s="42" t="s">
        <v>925</v>
      </c>
      <c r="D2146" s="42" t="s">
        <v>816</v>
      </c>
      <c r="E2146" s="42" t="s">
        <v>762</v>
      </c>
      <c r="F2146" s="45">
        <v>4466114458.313203</v>
      </c>
      <c r="G2146" s="42" t="s">
        <v>763</v>
      </c>
      <c r="H2146" s="42" t="s">
        <v>98</v>
      </c>
      <c r="I2146" s="42" t="s">
        <v>893</v>
      </c>
    </row>
    <row r="2147" spans="1:9">
      <c r="A2147" s="42" t="s">
        <v>897</v>
      </c>
      <c r="B2147" s="42" t="s">
        <v>372</v>
      </c>
      <c r="C2147" s="42" t="s">
        <v>926</v>
      </c>
      <c r="D2147" s="42" t="s">
        <v>816</v>
      </c>
      <c r="E2147" s="42" t="s">
        <v>762</v>
      </c>
      <c r="F2147" s="45">
        <v>281377567.3451496</v>
      </c>
      <c r="G2147" s="42" t="s">
        <v>763</v>
      </c>
      <c r="H2147" s="42" t="s">
        <v>98</v>
      </c>
      <c r="I2147" s="42" t="s">
        <v>896</v>
      </c>
    </row>
    <row r="2148" spans="1:9">
      <c r="A2148" s="42" t="s">
        <v>897</v>
      </c>
      <c r="B2148" s="42" t="s">
        <v>330</v>
      </c>
      <c r="C2148" s="42" t="s">
        <v>927</v>
      </c>
      <c r="D2148" s="42" t="s">
        <v>816</v>
      </c>
      <c r="E2148" s="42" t="s">
        <v>762</v>
      </c>
      <c r="F2148" s="45">
        <v>-3153150089.301345</v>
      </c>
      <c r="G2148" s="42" t="s">
        <v>763</v>
      </c>
      <c r="H2148" s="42" t="s">
        <v>98</v>
      </c>
      <c r="I2148" s="42" t="s">
        <v>893</v>
      </c>
    </row>
    <row r="2149" spans="1:9">
      <c r="A2149" s="42" t="s">
        <v>897</v>
      </c>
      <c r="B2149" s="42" t="s">
        <v>332</v>
      </c>
      <c r="C2149" s="42" t="s">
        <v>932</v>
      </c>
      <c r="D2149" s="42" t="s">
        <v>816</v>
      </c>
      <c r="E2149" s="42" t="s">
        <v>762</v>
      </c>
      <c r="F2149" s="45">
        <v>-9999456.638741197</v>
      </c>
      <c r="G2149" s="42" t="s">
        <v>763</v>
      </c>
      <c r="H2149" s="42" t="s">
        <v>98</v>
      </c>
      <c r="I2149" s="42" t="s">
        <v>893</v>
      </c>
    </row>
    <row r="2150" spans="1:9">
      <c r="A2150" s="42" t="s">
        <v>897</v>
      </c>
      <c r="B2150" s="42" t="s">
        <v>989</v>
      </c>
      <c r="C2150" s="42" t="s">
        <v>990</v>
      </c>
      <c r="D2150" s="42" t="s">
        <v>816</v>
      </c>
      <c r="E2150" s="42" t="s">
        <v>762</v>
      </c>
      <c r="F2150" s="45">
        <v>-82388380.23419979</v>
      </c>
      <c r="G2150" s="42" t="s">
        <v>763</v>
      </c>
      <c r="H2150" s="42" t="s">
        <v>98</v>
      </c>
      <c r="I2150" s="42" t="s">
        <v>817</v>
      </c>
    </row>
    <row r="2151" spans="1:9">
      <c r="A2151" s="42" t="s">
        <v>897</v>
      </c>
      <c r="B2151" s="42" t="s">
        <v>334</v>
      </c>
      <c r="C2151" s="42" t="s">
        <v>933</v>
      </c>
      <c r="D2151" s="42" t="s">
        <v>816</v>
      </c>
      <c r="E2151" s="42" t="s">
        <v>762</v>
      </c>
      <c r="F2151" s="45">
        <v>26784258.85377106</v>
      </c>
      <c r="G2151" s="42" t="s">
        <v>763</v>
      </c>
      <c r="H2151" s="42" t="s">
        <v>98</v>
      </c>
      <c r="I2151" s="42" t="s">
        <v>893</v>
      </c>
    </row>
    <row r="2152" spans="1:9">
      <c r="A2152" s="42" t="s">
        <v>897</v>
      </c>
      <c r="B2152" s="42" t="s">
        <v>934</v>
      </c>
      <c r="C2152" s="42" t="s">
        <v>971</v>
      </c>
      <c r="D2152" s="42" t="s">
        <v>816</v>
      </c>
      <c r="E2152" s="42" t="s">
        <v>762</v>
      </c>
      <c r="F2152" s="45">
        <v>-1990391843.941435</v>
      </c>
      <c r="G2152" s="42" t="s">
        <v>763</v>
      </c>
      <c r="H2152" s="42" t="s">
        <v>88</v>
      </c>
      <c r="I2152" s="42" t="s">
        <v>809</v>
      </c>
    </row>
    <row r="2153" spans="1:9">
      <c r="A2153" s="42" t="s">
        <v>897</v>
      </c>
      <c r="B2153" s="42" t="s">
        <v>934</v>
      </c>
      <c r="C2153" s="42" t="s">
        <v>935</v>
      </c>
      <c r="D2153" s="42" t="s">
        <v>816</v>
      </c>
      <c r="E2153" s="42" t="s">
        <v>762</v>
      </c>
      <c r="F2153" s="45">
        <v>-1990391843.941435</v>
      </c>
      <c r="G2153" s="42" t="s">
        <v>763</v>
      </c>
      <c r="H2153" s="42" t="s">
        <v>80</v>
      </c>
      <c r="I2153" s="42" t="s">
        <v>764</v>
      </c>
    </row>
    <row r="2154" spans="1:9">
      <c r="A2154" s="42" t="s">
        <v>897</v>
      </c>
      <c r="B2154" s="42" t="s">
        <v>936</v>
      </c>
      <c r="C2154" s="42" t="s">
        <v>937</v>
      </c>
      <c r="D2154" s="42" t="s">
        <v>816</v>
      </c>
      <c r="E2154" s="42" t="s">
        <v>762</v>
      </c>
      <c r="F2154" s="45">
        <v>-938341868.5104463</v>
      </c>
      <c r="G2154" s="42" t="s">
        <v>763</v>
      </c>
      <c r="H2154" s="42" t="s">
        <v>80</v>
      </c>
      <c r="I2154" s="42" t="s">
        <v>764</v>
      </c>
    </row>
    <row r="2155" spans="1:9">
      <c r="A2155" s="42" t="s">
        <v>897</v>
      </c>
      <c r="B2155" s="42" t="s">
        <v>336</v>
      </c>
      <c r="C2155" s="42" t="s">
        <v>938</v>
      </c>
      <c r="D2155" s="42" t="s">
        <v>816</v>
      </c>
      <c r="E2155" s="42" t="s">
        <v>762</v>
      </c>
      <c r="F2155" s="45">
        <v>-2937376099.975365</v>
      </c>
      <c r="G2155" s="42" t="s">
        <v>763</v>
      </c>
      <c r="H2155" s="42" t="s">
        <v>98</v>
      </c>
      <c r="I2155" s="42" t="s">
        <v>893</v>
      </c>
    </row>
    <row r="2156" spans="1:9">
      <c r="A2156" s="42" t="s">
        <v>897</v>
      </c>
      <c r="B2156" s="42" t="s">
        <v>939</v>
      </c>
      <c r="C2156" s="42" t="s">
        <v>940</v>
      </c>
      <c r="D2156" s="42" t="s">
        <v>816</v>
      </c>
      <c r="E2156" s="42" t="s">
        <v>762</v>
      </c>
      <c r="F2156" s="45">
        <v>1416815868.674213</v>
      </c>
      <c r="G2156" s="42" t="s">
        <v>763</v>
      </c>
      <c r="H2156" s="42" t="s">
        <v>80</v>
      </c>
      <c r="I2156" s="42" t="s">
        <v>764</v>
      </c>
    </row>
    <row r="2157" spans="1:9">
      <c r="A2157" s="42" t="s">
        <v>897</v>
      </c>
      <c r="B2157" s="42" t="s">
        <v>941</v>
      </c>
      <c r="C2157" s="42" t="s">
        <v>942</v>
      </c>
      <c r="D2157" s="42" t="s">
        <v>816</v>
      </c>
      <c r="E2157" s="42" t="s">
        <v>762</v>
      </c>
      <c r="F2157" s="45">
        <v>-4285481.416603371</v>
      </c>
      <c r="G2157" s="42" t="s">
        <v>763</v>
      </c>
      <c r="H2157" s="42" t="s">
        <v>80</v>
      </c>
      <c r="I2157" s="42" t="s">
        <v>764</v>
      </c>
    </row>
    <row r="2158" spans="1:9">
      <c r="A2158" s="42" t="s">
        <v>897</v>
      </c>
      <c r="B2158" s="42" t="s">
        <v>943</v>
      </c>
      <c r="C2158" s="42" t="s">
        <v>944</v>
      </c>
      <c r="D2158" s="42" t="s">
        <v>816</v>
      </c>
      <c r="E2158" s="42" t="s">
        <v>762</v>
      </c>
      <c r="F2158" s="45">
        <v>-42854814.16603371</v>
      </c>
      <c r="G2158" s="42" t="s">
        <v>763</v>
      </c>
      <c r="H2158" s="42" t="s">
        <v>80</v>
      </c>
      <c r="I2158" s="42" t="s">
        <v>764</v>
      </c>
    </row>
    <row r="2159" spans="1:9">
      <c r="A2159" s="42" t="s">
        <v>897</v>
      </c>
      <c r="B2159" s="42" t="s">
        <v>945</v>
      </c>
      <c r="C2159" s="42" t="s">
        <v>946</v>
      </c>
      <c r="D2159" s="42" t="s">
        <v>816</v>
      </c>
      <c r="E2159" s="42" t="s">
        <v>762</v>
      </c>
      <c r="F2159" s="45">
        <v>1026301374.58623</v>
      </c>
      <c r="G2159" s="42" t="s">
        <v>763</v>
      </c>
      <c r="H2159" s="42" t="s">
        <v>80</v>
      </c>
      <c r="I2159" s="42" t="s">
        <v>845</v>
      </c>
    </row>
    <row r="2160" spans="1:9">
      <c r="A2160" s="42" t="s">
        <v>897</v>
      </c>
      <c r="B2160" s="42" t="s">
        <v>949</v>
      </c>
      <c r="C2160" s="42" t="s">
        <v>950</v>
      </c>
      <c r="D2160" s="42" t="s">
        <v>816</v>
      </c>
      <c r="E2160" s="42" t="s">
        <v>762</v>
      </c>
      <c r="F2160" s="45">
        <v>-1559058139.360306</v>
      </c>
      <c r="G2160" s="42" t="s">
        <v>763</v>
      </c>
      <c r="H2160" s="42" t="s">
        <v>80</v>
      </c>
      <c r="I2160" s="42" t="s">
        <v>764</v>
      </c>
    </row>
    <row r="2161" spans="1:9">
      <c r="A2161" s="42" t="s">
        <v>897</v>
      </c>
      <c r="B2161" s="42" t="s">
        <v>337</v>
      </c>
      <c r="C2161" s="42" t="s">
        <v>991</v>
      </c>
      <c r="D2161" s="42" t="s">
        <v>816</v>
      </c>
      <c r="E2161" s="42" t="s">
        <v>762</v>
      </c>
      <c r="F2161" s="45">
        <v>-1990391843.941435</v>
      </c>
      <c r="G2161" s="42" t="s">
        <v>763</v>
      </c>
      <c r="H2161" s="42" t="s">
        <v>98</v>
      </c>
      <c r="I2161" s="42" t="s">
        <v>893</v>
      </c>
    </row>
    <row r="2162" spans="1:9">
      <c r="A2162" s="42" t="s">
        <v>897</v>
      </c>
      <c r="B2162" s="42" t="s">
        <v>338</v>
      </c>
      <c r="C2162" s="42" t="s">
        <v>972</v>
      </c>
      <c r="D2162" s="42" t="s">
        <v>816</v>
      </c>
      <c r="E2162" s="42" t="s">
        <v>762</v>
      </c>
      <c r="F2162" s="45">
        <v>-938341868.5104463</v>
      </c>
      <c r="G2162" s="42" t="s">
        <v>763</v>
      </c>
      <c r="H2162" s="42" t="s">
        <v>98</v>
      </c>
      <c r="I2162" s="42" t="s">
        <v>893</v>
      </c>
    </row>
    <row r="2163" spans="1:9">
      <c r="A2163" s="42" t="s">
        <v>897</v>
      </c>
      <c r="B2163" s="42" t="s">
        <v>939</v>
      </c>
      <c r="C2163" s="42" t="s">
        <v>973</v>
      </c>
      <c r="D2163" s="42" t="s">
        <v>816</v>
      </c>
      <c r="E2163" s="42" t="s">
        <v>762</v>
      </c>
      <c r="F2163" s="45">
        <v>1416815868.674213</v>
      </c>
      <c r="G2163" s="42" t="s">
        <v>763</v>
      </c>
      <c r="H2163" s="42" t="s">
        <v>98</v>
      </c>
      <c r="I2163" s="42" t="s">
        <v>893</v>
      </c>
    </row>
    <row r="2164" spans="1:9">
      <c r="A2164" s="42" t="s">
        <v>897</v>
      </c>
      <c r="B2164" s="42" t="s">
        <v>943</v>
      </c>
      <c r="C2164" s="42" t="s">
        <v>974</v>
      </c>
      <c r="D2164" s="42" t="s">
        <v>816</v>
      </c>
      <c r="E2164" s="42" t="s">
        <v>762</v>
      </c>
      <c r="F2164" s="45">
        <v>-42854814.16603371</v>
      </c>
      <c r="G2164" s="42" t="s">
        <v>763</v>
      </c>
      <c r="H2164" s="42" t="s">
        <v>98</v>
      </c>
      <c r="I2164" s="42" t="s">
        <v>822</v>
      </c>
    </row>
    <row r="2165" spans="1:9">
      <c r="A2165" s="42" t="s">
        <v>897</v>
      </c>
      <c r="B2165" s="42" t="s">
        <v>941</v>
      </c>
      <c r="C2165" s="42" t="s">
        <v>977</v>
      </c>
      <c r="D2165" s="42" t="s">
        <v>816</v>
      </c>
      <c r="E2165" s="42" t="s">
        <v>762</v>
      </c>
      <c r="F2165" s="45">
        <v>-4285481.416603371</v>
      </c>
      <c r="G2165" s="42" t="s">
        <v>763</v>
      </c>
      <c r="H2165" s="42" t="s">
        <v>98</v>
      </c>
      <c r="I2165" s="42" t="s">
        <v>893</v>
      </c>
    </row>
    <row r="2166" spans="1:9">
      <c r="A2166" s="42" t="s">
        <v>897</v>
      </c>
      <c r="B2166" s="42" t="s">
        <v>393</v>
      </c>
      <c r="C2166" s="42" t="s">
        <v>953</v>
      </c>
      <c r="D2166" s="42" t="s">
        <v>816</v>
      </c>
      <c r="E2166" s="42" t="s">
        <v>762</v>
      </c>
      <c r="F2166" s="45">
        <v>647786228.4647378</v>
      </c>
      <c r="G2166" s="42" t="s">
        <v>763</v>
      </c>
      <c r="H2166" s="42" t="s">
        <v>98</v>
      </c>
      <c r="I2166" s="42" t="s">
        <v>817</v>
      </c>
    </row>
    <row r="2167" spans="1:9">
      <c r="A2167" s="42" t="s">
        <v>897</v>
      </c>
      <c r="B2167" s="42" t="s">
        <v>394</v>
      </c>
      <c r="C2167" s="42" t="s">
        <v>992</v>
      </c>
      <c r="D2167" s="42" t="s">
        <v>816</v>
      </c>
      <c r="E2167" s="42" t="s">
        <v>762</v>
      </c>
      <c r="F2167" s="45">
        <v>617466447.442269</v>
      </c>
      <c r="G2167" s="42" t="s">
        <v>763</v>
      </c>
      <c r="H2167" s="42" t="s">
        <v>98</v>
      </c>
      <c r="I2167" s="42" t="s">
        <v>891</v>
      </c>
    </row>
    <row r="2168" spans="1:9">
      <c r="A2168" s="42" t="s">
        <v>897</v>
      </c>
      <c r="B2168" s="42" t="s">
        <v>344</v>
      </c>
      <c r="C2168" s="42" t="s">
        <v>980</v>
      </c>
      <c r="D2168" s="42" t="s">
        <v>816</v>
      </c>
      <c r="E2168" s="42" t="s">
        <v>762</v>
      </c>
      <c r="F2168" s="45">
        <v>-1559058139.360306</v>
      </c>
      <c r="G2168" s="42" t="s">
        <v>763</v>
      </c>
      <c r="H2168" s="42" t="s">
        <v>98</v>
      </c>
      <c r="I2168" s="42" t="s">
        <v>893</v>
      </c>
    </row>
    <row r="2169" spans="1:9">
      <c r="A2169" s="42" t="s">
        <v>897</v>
      </c>
      <c r="B2169" s="42" t="s">
        <v>954</v>
      </c>
      <c r="C2169" s="42" t="s">
        <v>955</v>
      </c>
      <c r="D2169" s="42" t="s">
        <v>816</v>
      </c>
      <c r="E2169" s="42" t="s">
        <v>762</v>
      </c>
      <c r="F2169" s="45">
        <v>1643767822.0285</v>
      </c>
      <c r="G2169" s="42" t="s">
        <v>763</v>
      </c>
      <c r="H2169" s="42" t="s">
        <v>80</v>
      </c>
      <c r="I2169" s="42" t="s">
        <v>764</v>
      </c>
    </row>
    <row r="2170" spans="1:9">
      <c r="A2170" s="42" t="s">
        <v>897</v>
      </c>
      <c r="B2170" s="42" t="s">
        <v>394</v>
      </c>
      <c r="C2170" s="42" t="s">
        <v>993</v>
      </c>
      <c r="D2170" s="42" t="s">
        <v>816</v>
      </c>
      <c r="E2170" s="42" t="s">
        <v>762</v>
      </c>
      <c r="F2170" s="45">
        <v>617466447.442269</v>
      </c>
      <c r="G2170" s="42" t="s">
        <v>763</v>
      </c>
      <c r="H2170" s="42" t="s">
        <v>98</v>
      </c>
      <c r="I2170" s="42" t="s">
        <v>891</v>
      </c>
    </row>
    <row r="2171" spans="1:9">
      <c r="A2171" s="42" t="s">
        <v>897</v>
      </c>
      <c r="B2171" s="42" t="s">
        <v>346</v>
      </c>
      <c r="C2171" s="42" t="s">
        <v>956</v>
      </c>
      <c r="D2171" s="42" t="s">
        <v>816</v>
      </c>
      <c r="E2171" s="42" t="s">
        <v>762</v>
      </c>
      <c r="F2171" s="45">
        <v>617466447.442269</v>
      </c>
      <c r="G2171" s="42" t="s">
        <v>763</v>
      </c>
      <c r="H2171" s="42" t="s">
        <v>88</v>
      </c>
      <c r="I2171" s="42" t="s">
        <v>893</v>
      </c>
    </row>
    <row r="2172" spans="1:9">
      <c r="A2172" s="42" t="s">
        <v>897</v>
      </c>
      <c r="B2172" s="42" t="s">
        <v>347</v>
      </c>
      <c r="C2172" s="42" t="s">
        <v>981</v>
      </c>
      <c r="D2172" s="42" t="s">
        <v>816</v>
      </c>
      <c r="E2172" s="42" t="s">
        <v>762</v>
      </c>
      <c r="F2172" s="45">
        <v>1498565986.93232</v>
      </c>
      <c r="G2172" s="42" t="s">
        <v>763</v>
      </c>
      <c r="H2172" s="42" t="s">
        <v>98</v>
      </c>
      <c r="I2172" s="42" t="s">
        <v>893</v>
      </c>
    </row>
    <row r="2173" spans="1:9">
      <c r="A2173" s="42" t="s">
        <v>897</v>
      </c>
      <c r="B2173" s="42" t="s">
        <v>957</v>
      </c>
      <c r="C2173" s="42" t="s">
        <v>958</v>
      </c>
      <c r="D2173" s="42" t="s">
        <v>816</v>
      </c>
      <c r="E2173" s="42" t="s">
        <v>762</v>
      </c>
      <c r="F2173" s="45">
        <v>412870422.1445964</v>
      </c>
      <c r="G2173" s="42" t="s">
        <v>763</v>
      </c>
      <c r="H2173" s="42" t="s">
        <v>80</v>
      </c>
      <c r="I2173" s="42" t="s">
        <v>764</v>
      </c>
    </row>
    <row r="2174" spans="1:9">
      <c r="A2174" s="42" t="s">
        <v>897</v>
      </c>
      <c r="B2174" s="42" t="s">
        <v>348</v>
      </c>
      <c r="C2174" s="42" t="s">
        <v>982</v>
      </c>
      <c r="D2174" s="42" t="s">
        <v>816</v>
      </c>
      <c r="E2174" s="42" t="s">
        <v>762</v>
      </c>
      <c r="F2174" s="45">
        <v>1221193327.038086</v>
      </c>
      <c r="G2174" s="42" t="s">
        <v>763</v>
      </c>
      <c r="H2174" s="42" t="s">
        <v>98</v>
      </c>
      <c r="I2174" s="42" t="s">
        <v>893</v>
      </c>
    </row>
    <row r="2175" spans="1:9">
      <c r="A2175" s="42" t="s">
        <v>897</v>
      </c>
      <c r="B2175" s="42" t="s">
        <v>959</v>
      </c>
      <c r="C2175" s="42" t="s">
        <v>960</v>
      </c>
      <c r="D2175" s="42" t="s">
        <v>816</v>
      </c>
      <c r="E2175" s="42" t="s">
        <v>762</v>
      </c>
      <c r="F2175" s="45">
        <v>-418191561.5702122</v>
      </c>
      <c r="G2175" s="42" t="s">
        <v>763</v>
      </c>
      <c r="H2175" s="42" t="s">
        <v>80</v>
      </c>
      <c r="I2175" s="42" t="s">
        <v>764</v>
      </c>
    </row>
    <row r="2176" spans="1:9">
      <c r="A2176" s="42" t="s">
        <v>897</v>
      </c>
      <c r="B2176" s="42" t="s">
        <v>346</v>
      </c>
      <c r="C2176" s="42" t="s">
        <v>961</v>
      </c>
      <c r="D2176" s="42" t="s">
        <v>816</v>
      </c>
      <c r="E2176" s="42" t="s">
        <v>762</v>
      </c>
      <c r="F2176" s="45">
        <v>617466447.442269</v>
      </c>
      <c r="G2176" s="42" t="s">
        <v>763</v>
      </c>
      <c r="H2176" s="42" t="s">
        <v>88</v>
      </c>
      <c r="I2176" s="42" t="s">
        <v>893</v>
      </c>
    </row>
    <row r="2177" spans="1:9">
      <c r="A2177" s="42" t="s">
        <v>897</v>
      </c>
      <c r="B2177" s="42" t="s">
        <v>313</v>
      </c>
      <c r="C2177" s="42" t="s">
        <v>994</v>
      </c>
      <c r="D2177" s="42" t="s">
        <v>995</v>
      </c>
      <c r="E2177" s="42" t="s">
        <v>808</v>
      </c>
      <c r="F2177" s="45">
        <v>304621742.8450698</v>
      </c>
      <c r="G2177" s="42" t="s">
        <v>763</v>
      </c>
      <c r="H2177" s="42" t="s">
        <v>82</v>
      </c>
      <c r="I2177" s="42" t="s">
        <v>893</v>
      </c>
    </row>
    <row r="2178" spans="1:9">
      <c r="A2178" s="42" t="s">
        <v>897</v>
      </c>
      <c r="B2178" s="42" t="s">
        <v>351</v>
      </c>
      <c r="C2178" s="42" t="s">
        <v>899</v>
      </c>
      <c r="D2178" s="42" t="s">
        <v>995</v>
      </c>
      <c r="E2178" s="42" t="s">
        <v>808</v>
      </c>
      <c r="F2178" s="45">
        <v>-10890252.75122702</v>
      </c>
      <c r="G2178" s="42" t="s">
        <v>763</v>
      </c>
      <c r="H2178" s="42" t="s">
        <v>82</v>
      </c>
      <c r="I2178" s="42" t="s">
        <v>860</v>
      </c>
    </row>
    <row r="2179" spans="1:9">
      <c r="A2179" s="42" t="s">
        <v>897</v>
      </c>
      <c r="B2179" s="42" t="s">
        <v>314</v>
      </c>
      <c r="C2179" s="42" t="s">
        <v>900</v>
      </c>
      <c r="D2179" s="42" t="s">
        <v>995</v>
      </c>
      <c r="E2179" s="42" t="s">
        <v>808</v>
      </c>
      <c r="F2179" s="45">
        <v>952337336.3853384</v>
      </c>
      <c r="G2179" s="42" t="s">
        <v>763</v>
      </c>
      <c r="H2179" s="42" t="s">
        <v>82</v>
      </c>
      <c r="I2179" s="42" t="s">
        <v>893</v>
      </c>
    </row>
    <row r="2180" spans="1:9">
      <c r="A2180" s="42" t="s">
        <v>897</v>
      </c>
      <c r="B2180" s="42" t="s">
        <v>315</v>
      </c>
      <c r="C2180" s="42" t="s">
        <v>901</v>
      </c>
      <c r="D2180" s="42" t="s">
        <v>995</v>
      </c>
      <c r="E2180" s="42" t="s">
        <v>808</v>
      </c>
      <c r="F2180" s="45">
        <v>12569590.79230408</v>
      </c>
      <c r="G2180" s="42" t="s">
        <v>763</v>
      </c>
      <c r="H2180" s="42" t="s">
        <v>82</v>
      </c>
      <c r="I2180" s="42" t="s">
        <v>893</v>
      </c>
    </row>
    <row r="2181" spans="1:9">
      <c r="A2181" s="42" t="s">
        <v>897</v>
      </c>
      <c r="B2181" s="42" t="s">
        <v>317</v>
      </c>
      <c r="C2181" s="42" t="s">
        <v>967</v>
      </c>
      <c r="D2181" s="42" t="s">
        <v>995</v>
      </c>
      <c r="E2181" s="42" t="s">
        <v>808</v>
      </c>
      <c r="F2181" s="45">
        <v>74603320.24905984</v>
      </c>
      <c r="G2181" s="42" t="s">
        <v>763</v>
      </c>
      <c r="H2181" s="42" t="s">
        <v>82</v>
      </c>
      <c r="I2181" s="42" t="s">
        <v>893</v>
      </c>
    </row>
    <row r="2182" spans="1:9">
      <c r="A2182" s="42" t="s">
        <v>897</v>
      </c>
      <c r="B2182" s="42" t="s">
        <v>318</v>
      </c>
      <c r="C2182" s="42" t="s">
        <v>904</v>
      </c>
      <c r="D2182" s="42" t="s">
        <v>995</v>
      </c>
      <c r="E2182" s="42" t="s">
        <v>808</v>
      </c>
      <c r="F2182" s="45">
        <v>595401669.1091408</v>
      </c>
      <c r="G2182" s="42" t="s">
        <v>763</v>
      </c>
      <c r="H2182" s="42" t="s">
        <v>82</v>
      </c>
      <c r="I2182" s="42" t="s">
        <v>893</v>
      </c>
    </row>
    <row r="2183" spans="1:9">
      <c r="A2183" s="42" t="s">
        <v>897</v>
      </c>
      <c r="B2183" s="42" t="s">
        <v>319</v>
      </c>
      <c r="C2183" s="42" t="s">
        <v>907</v>
      </c>
      <c r="D2183" s="42" t="s">
        <v>995</v>
      </c>
      <c r="E2183" s="42" t="s">
        <v>808</v>
      </c>
      <c r="F2183" s="45">
        <v>81066227.25562915</v>
      </c>
      <c r="G2183" s="42" t="s">
        <v>763</v>
      </c>
      <c r="H2183" s="42" t="s">
        <v>82</v>
      </c>
      <c r="I2183" s="42" t="s">
        <v>893</v>
      </c>
    </row>
    <row r="2184" spans="1:9">
      <c r="A2184" s="42" t="s">
        <v>897</v>
      </c>
      <c r="B2184" s="42" t="s">
        <v>357</v>
      </c>
      <c r="C2184" s="42" t="s">
        <v>908</v>
      </c>
      <c r="D2184" s="42" t="s">
        <v>995</v>
      </c>
      <c r="E2184" s="42" t="s">
        <v>808</v>
      </c>
      <c r="F2184" s="45">
        <v>2493562.5458417</v>
      </c>
      <c r="G2184" s="42" t="s">
        <v>763</v>
      </c>
      <c r="H2184" s="42" t="s">
        <v>82</v>
      </c>
      <c r="I2184" s="42" t="s">
        <v>864</v>
      </c>
    </row>
    <row r="2185" spans="1:9">
      <c r="A2185" s="42" t="s">
        <v>897</v>
      </c>
      <c r="B2185" s="42" t="s">
        <v>358</v>
      </c>
      <c r="C2185" s="42" t="s">
        <v>996</v>
      </c>
      <c r="D2185" s="42" t="s">
        <v>995</v>
      </c>
      <c r="E2185" s="42" t="s">
        <v>808</v>
      </c>
      <c r="F2185" s="45">
        <v>2697118.67203286</v>
      </c>
      <c r="G2185" s="42" t="s">
        <v>763</v>
      </c>
      <c r="H2185" s="42" t="s">
        <v>82</v>
      </c>
      <c r="I2185" s="42" t="s">
        <v>860</v>
      </c>
    </row>
    <row r="2186" spans="1:9">
      <c r="A2186" s="42" t="s">
        <v>897</v>
      </c>
      <c r="B2186" s="42" t="s">
        <v>987</v>
      </c>
      <c r="C2186" s="42" t="s">
        <v>988</v>
      </c>
      <c r="D2186" s="42" t="s">
        <v>995</v>
      </c>
      <c r="E2186" s="42" t="s">
        <v>808</v>
      </c>
      <c r="F2186" s="45">
        <v>-609650597.9425218</v>
      </c>
      <c r="G2186" s="42" t="s">
        <v>763</v>
      </c>
      <c r="H2186" s="42" t="s">
        <v>82</v>
      </c>
      <c r="I2186" s="42" t="s">
        <v>817</v>
      </c>
    </row>
    <row r="2187" spans="1:9">
      <c r="A2187" s="42" t="s">
        <v>897</v>
      </c>
      <c r="B2187" s="42" t="s">
        <v>293</v>
      </c>
      <c r="C2187" s="42" t="s">
        <v>912</v>
      </c>
      <c r="D2187" s="42" t="s">
        <v>995</v>
      </c>
      <c r="E2187" s="42" t="s">
        <v>808</v>
      </c>
      <c r="F2187" s="45">
        <v>-215260603.4471509</v>
      </c>
      <c r="G2187" s="42" t="s">
        <v>763</v>
      </c>
      <c r="H2187" s="42" t="s">
        <v>82</v>
      </c>
      <c r="I2187" s="42" t="s">
        <v>893</v>
      </c>
    </row>
    <row r="2188" spans="1:9">
      <c r="A2188" s="42" t="s">
        <v>897</v>
      </c>
      <c r="B2188" s="42" t="s">
        <v>369</v>
      </c>
      <c r="C2188" s="42" t="s">
        <v>970</v>
      </c>
      <c r="D2188" s="42" t="s">
        <v>995</v>
      </c>
      <c r="E2188" s="42" t="s">
        <v>808</v>
      </c>
      <c r="F2188" s="45">
        <v>-19490499.0828035</v>
      </c>
      <c r="G2188" s="42" t="s">
        <v>763</v>
      </c>
      <c r="H2188" s="42" t="s">
        <v>82</v>
      </c>
      <c r="I2188" s="42" t="s">
        <v>886</v>
      </c>
    </row>
    <row r="2189" spans="1:9">
      <c r="A2189" s="42" t="s">
        <v>897</v>
      </c>
      <c r="B2189" s="42" t="s">
        <v>292</v>
      </c>
      <c r="C2189" s="42" t="s">
        <v>913</v>
      </c>
      <c r="D2189" s="42" t="s">
        <v>995</v>
      </c>
      <c r="E2189" s="42" t="s">
        <v>808</v>
      </c>
      <c r="F2189" s="45">
        <v>-246048467.5335637</v>
      </c>
      <c r="G2189" s="42" t="s">
        <v>763</v>
      </c>
      <c r="H2189" s="42" t="s">
        <v>82</v>
      </c>
      <c r="I2189" s="42" t="s">
        <v>893</v>
      </c>
    </row>
    <row r="2190" spans="1:9">
      <c r="A2190" s="42" t="s">
        <v>897</v>
      </c>
      <c r="B2190" s="42" t="s">
        <v>241</v>
      </c>
      <c r="C2190" s="42" t="s">
        <v>914</v>
      </c>
      <c r="D2190" s="42" t="s">
        <v>995</v>
      </c>
      <c r="E2190" s="42" t="s">
        <v>808</v>
      </c>
      <c r="F2190" s="45">
        <v>2544451.57738949</v>
      </c>
      <c r="G2190" s="42" t="s">
        <v>763</v>
      </c>
      <c r="H2190" s="42" t="s">
        <v>82</v>
      </c>
      <c r="I2190" s="42" t="s">
        <v>893</v>
      </c>
    </row>
    <row r="2191" spans="1:9">
      <c r="A2191" s="42" t="s">
        <v>897</v>
      </c>
      <c r="B2191" s="42" t="s">
        <v>310</v>
      </c>
      <c r="C2191" s="42" t="s">
        <v>915</v>
      </c>
      <c r="D2191" s="42" t="s">
        <v>995</v>
      </c>
      <c r="E2191" s="42" t="s">
        <v>808</v>
      </c>
      <c r="F2191" s="45">
        <v>164931351.2463868</v>
      </c>
      <c r="G2191" s="42" t="s">
        <v>763</v>
      </c>
      <c r="H2191" s="42" t="s">
        <v>82</v>
      </c>
      <c r="I2191" s="42" t="s">
        <v>893</v>
      </c>
    </row>
    <row r="2192" spans="1:9">
      <c r="A2192" s="42" t="s">
        <v>897</v>
      </c>
      <c r="B2192" s="42" t="s">
        <v>305</v>
      </c>
      <c r="C2192" s="42" t="s">
        <v>916</v>
      </c>
      <c r="D2192" s="42" t="s">
        <v>995</v>
      </c>
      <c r="E2192" s="42" t="s">
        <v>808</v>
      </c>
      <c r="F2192" s="45">
        <v>111345201.0265641</v>
      </c>
      <c r="G2192" s="42" t="s">
        <v>763</v>
      </c>
      <c r="H2192" s="42" t="s">
        <v>82</v>
      </c>
      <c r="I2192" s="42" t="s">
        <v>893</v>
      </c>
    </row>
    <row r="2193" spans="1:9">
      <c r="A2193" s="42" t="s">
        <v>897</v>
      </c>
      <c r="B2193" s="42" t="s">
        <v>306</v>
      </c>
      <c r="C2193" s="42" t="s">
        <v>917</v>
      </c>
      <c r="D2193" s="42" t="s">
        <v>995</v>
      </c>
      <c r="E2193" s="42" t="s">
        <v>808</v>
      </c>
      <c r="F2193" s="45">
        <v>-43917234.22574259</v>
      </c>
      <c r="G2193" s="42" t="s">
        <v>763</v>
      </c>
      <c r="H2193" s="42" t="s">
        <v>82</v>
      </c>
      <c r="I2193" s="42" t="s">
        <v>893</v>
      </c>
    </row>
    <row r="2194" spans="1:9">
      <c r="A2194" s="42" t="s">
        <v>897</v>
      </c>
      <c r="B2194" s="42" t="s">
        <v>309</v>
      </c>
      <c r="C2194" s="42" t="s">
        <v>918</v>
      </c>
      <c r="D2194" s="42" t="s">
        <v>995</v>
      </c>
      <c r="E2194" s="42" t="s">
        <v>808</v>
      </c>
      <c r="F2194" s="45">
        <v>-98215830.88723432</v>
      </c>
      <c r="G2194" s="42" t="s">
        <v>763</v>
      </c>
      <c r="H2194" s="42" t="s">
        <v>82</v>
      </c>
      <c r="I2194" s="42" t="s">
        <v>893</v>
      </c>
    </row>
    <row r="2195" spans="1:9">
      <c r="A2195" s="42" t="s">
        <v>897</v>
      </c>
      <c r="B2195" s="42" t="s">
        <v>242</v>
      </c>
      <c r="C2195" s="42" t="s">
        <v>920</v>
      </c>
      <c r="D2195" s="42" t="s">
        <v>995</v>
      </c>
      <c r="E2195" s="42" t="s">
        <v>808</v>
      </c>
      <c r="F2195" s="45">
        <v>-5699571.533352458</v>
      </c>
      <c r="G2195" s="42" t="s">
        <v>763</v>
      </c>
      <c r="H2195" s="42" t="s">
        <v>82</v>
      </c>
      <c r="I2195" s="42" t="s">
        <v>893</v>
      </c>
    </row>
    <row r="2196" spans="1:9">
      <c r="A2196" s="42" t="s">
        <v>897</v>
      </c>
      <c r="B2196" s="42" t="s">
        <v>302</v>
      </c>
      <c r="C2196" s="42" t="s">
        <v>921</v>
      </c>
      <c r="D2196" s="42" t="s">
        <v>995</v>
      </c>
      <c r="E2196" s="42" t="s">
        <v>808</v>
      </c>
      <c r="F2196" s="45">
        <v>44324346.47812492</v>
      </c>
      <c r="G2196" s="42" t="s">
        <v>763</v>
      </c>
      <c r="H2196" s="42" t="s">
        <v>82</v>
      </c>
      <c r="I2196" s="42" t="s">
        <v>893</v>
      </c>
    </row>
    <row r="2197" spans="1:9">
      <c r="A2197" s="42" t="s">
        <v>897</v>
      </c>
      <c r="B2197" s="42" t="s">
        <v>326</v>
      </c>
      <c r="C2197" s="42" t="s">
        <v>922</v>
      </c>
      <c r="D2197" s="42" t="s">
        <v>995</v>
      </c>
      <c r="E2197" s="42" t="s">
        <v>808</v>
      </c>
      <c r="F2197" s="45">
        <v>5292459.280970139</v>
      </c>
      <c r="G2197" s="42" t="s">
        <v>763</v>
      </c>
      <c r="H2197" s="42" t="s">
        <v>82</v>
      </c>
      <c r="I2197" s="42" t="s">
        <v>893</v>
      </c>
    </row>
    <row r="2198" spans="1:9">
      <c r="A2198" s="42" t="s">
        <v>897</v>
      </c>
      <c r="B2198" s="42" t="s">
        <v>328</v>
      </c>
      <c r="C2198" s="42" t="s">
        <v>924</v>
      </c>
      <c r="D2198" s="42" t="s">
        <v>995</v>
      </c>
      <c r="E2198" s="42" t="s">
        <v>808</v>
      </c>
      <c r="F2198" s="45">
        <v>-14706930.11731125</v>
      </c>
      <c r="G2198" s="42" t="s">
        <v>763</v>
      </c>
      <c r="H2198" s="42" t="s">
        <v>82</v>
      </c>
      <c r="I2198" s="42" t="s">
        <v>893</v>
      </c>
    </row>
    <row r="2199" spans="1:9">
      <c r="A2199" s="42" t="s">
        <v>897</v>
      </c>
      <c r="B2199" s="42" t="s">
        <v>329</v>
      </c>
      <c r="C2199" s="42" t="s">
        <v>925</v>
      </c>
      <c r="D2199" s="42" t="s">
        <v>995</v>
      </c>
      <c r="E2199" s="42" t="s">
        <v>808</v>
      </c>
      <c r="F2199" s="45">
        <v>1090348389.942944</v>
      </c>
      <c r="G2199" s="42" t="s">
        <v>763</v>
      </c>
      <c r="H2199" s="42" t="s">
        <v>82</v>
      </c>
      <c r="I2199" s="42" t="s">
        <v>893</v>
      </c>
    </row>
    <row r="2200" spans="1:9">
      <c r="A2200" s="42" t="s">
        <v>897</v>
      </c>
      <c r="B2200" s="42" t="s">
        <v>372</v>
      </c>
      <c r="C2200" s="42" t="s">
        <v>926</v>
      </c>
      <c r="D2200" s="42" t="s">
        <v>995</v>
      </c>
      <c r="E2200" s="42" t="s">
        <v>808</v>
      </c>
      <c r="F2200" s="45">
        <v>252053373.2562029</v>
      </c>
      <c r="G2200" s="42" t="s">
        <v>763</v>
      </c>
      <c r="H2200" s="42" t="s">
        <v>82</v>
      </c>
      <c r="I2200" s="42" t="s">
        <v>896</v>
      </c>
    </row>
    <row r="2201" spans="1:9">
      <c r="A2201" s="42" t="s">
        <v>897</v>
      </c>
      <c r="B2201" s="42" t="s">
        <v>330</v>
      </c>
      <c r="C2201" s="42" t="s">
        <v>927</v>
      </c>
      <c r="D2201" s="42" t="s">
        <v>995</v>
      </c>
      <c r="E2201" s="42" t="s">
        <v>808</v>
      </c>
      <c r="F2201" s="45">
        <v>-803741364.2657921</v>
      </c>
      <c r="G2201" s="42" t="s">
        <v>763</v>
      </c>
      <c r="H2201" s="42" t="s">
        <v>82</v>
      </c>
      <c r="I2201" s="42" t="s">
        <v>893</v>
      </c>
    </row>
    <row r="2202" spans="1:9">
      <c r="A2202" s="42" t="s">
        <v>897</v>
      </c>
      <c r="B2202" s="42" t="s">
        <v>332</v>
      </c>
      <c r="C2202" s="42" t="s">
        <v>932</v>
      </c>
      <c r="D2202" s="42" t="s">
        <v>995</v>
      </c>
      <c r="E2202" s="42" t="s">
        <v>808</v>
      </c>
      <c r="F2202" s="45">
        <v>-14248928.83338114</v>
      </c>
      <c r="G2202" s="42" t="s">
        <v>763</v>
      </c>
      <c r="H2202" s="42" t="s">
        <v>82</v>
      </c>
      <c r="I2202" s="42" t="s">
        <v>893</v>
      </c>
    </row>
    <row r="2203" spans="1:9">
      <c r="A2203" s="42" t="s">
        <v>897</v>
      </c>
      <c r="B2203" s="42" t="s">
        <v>336</v>
      </c>
      <c r="C2203" s="42" t="s">
        <v>938</v>
      </c>
      <c r="D2203" s="42" t="s">
        <v>995</v>
      </c>
      <c r="E2203" s="42" t="s">
        <v>808</v>
      </c>
      <c r="F2203" s="45">
        <v>-565936919.8429704</v>
      </c>
      <c r="G2203" s="42" t="s">
        <v>763</v>
      </c>
      <c r="H2203" s="42" t="s">
        <v>82</v>
      </c>
      <c r="I2203" s="42" t="s">
        <v>893</v>
      </c>
    </row>
    <row r="2204" spans="1:9">
      <c r="A2204" s="42" t="s">
        <v>897</v>
      </c>
      <c r="B2204" s="42" t="s">
        <v>945</v>
      </c>
      <c r="C2204" s="42" t="s">
        <v>946</v>
      </c>
      <c r="D2204" s="42" t="s">
        <v>995</v>
      </c>
      <c r="E2204" s="42" t="s">
        <v>808</v>
      </c>
      <c r="F2204" s="45">
        <v>1462448988.620383</v>
      </c>
      <c r="G2204" s="42" t="s">
        <v>763</v>
      </c>
      <c r="H2204" s="42" t="s">
        <v>82</v>
      </c>
      <c r="I2204" s="42" t="s">
        <v>845</v>
      </c>
    </row>
    <row r="2205" spans="1:9">
      <c r="A2205" s="42" t="s">
        <v>897</v>
      </c>
      <c r="B2205" s="42" t="s">
        <v>936</v>
      </c>
      <c r="C2205" s="42" t="s">
        <v>997</v>
      </c>
      <c r="D2205" s="42" t="s">
        <v>995</v>
      </c>
      <c r="E2205" s="42" t="s">
        <v>808</v>
      </c>
      <c r="F2205" s="45">
        <v>-274749881.3265172</v>
      </c>
      <c r="G2205" s="42" t="s">
        <v>763</v>
      </c>
      <c r="H2205" s="42" t="s">
        <v>82</v>
      </c>
      <c r="I2205" s="42" t="s">
        <v>861</v>
      </c>
    </row>
    <row r="2206" spans="1:9">
      <c r="A2206" s="42" t="s">
        <v>897</v>
      </c>
      <c r="B2206" s="42" t="s">
        <v>389</v>
      </c>
      <c r="C2206" s="42" t="s">
        <v>998</v>
      </c>
      <c r="D2206" s="42" t="s">
        <v>995</v>
      </c>
      <c r="E2206" s="42" t="s">
        <v>808</v>
      </c>
      <c r="F2206" s="45">
        <v>32365424.06439432</v>
      </c>
      <c r="G2206" s="42" t="s">
        <v>763</v>
      </c>
      <c r="H2206" s="42" t="s">
        <v>82</v>
      </c>
      <c r="I2206" s="42" t="s">
        <v>865</v>
      </c>
    </row>
    <row r="2207" spans="1:9">
      <c r="A2207" s="42" t="s">
        <v>897</v>
      </c>
      <c r="B2207" s="42" t="s">
        <v>337</v>
      </c>
      <c r="C2207" s="42" t="s">
        <v>991</v>
      </c>
      <c r="D2207" s="42" t="s">
        <v>995</v>
      </c>
      <c r="E2207" s="42" t="s">
        <v>808</v>
      </c>
      <c r="F2207" s="45">
        <v>-480138012.6533968</v>
      </c>
      <c r="G2207" s="42" t="s">
        <v>763</v>
      </c>
      <c r="H2207" s="42" t="s">
        <v>82</v>
      </c>
      <c r="I2207" s="42" t="s">
        <v>893</v>
      </c>
    </row>
    <row r="2208" spans="1:9">
      <c r="A2208" s="42" t="s">
        <v>897</v>
      </c>
      <c r="B2208" s="42" t="s">
        <v>939</v>
      </c>
      <c r="C2208" s="42" t="s">
        <v>973</v>
      </c>
      <c r="D2208" s="42" t="s">
        <v>995</v>
      </c>
      <c r="E2208" s="42" t="s">
        <v>808</v>
      </c>
      <c r="F2208" s="45">
        <v>441004347.3931464</v>
      </c>
      <c r="G2208" s="42" t="s">
        <v>763</v>
      </c>
      <c r="H2208" s="42" t="s">
        <v>82</v>
      </c>
      <c r="I2208" s="42" t="s">
        <v>893</v>
      </c>
    </row>
    <row r="2209" spans="1:9">
      <c r="A2209" s="42" t="s">
        <v>897</v>
      </c>
      <c r="B2209" s="42" t="s">
        <v>344</v>
      </c>
      <c r="C2209" s="42" t="s">
        <v>980</v>
      </c>
      <c r="D2209" s="42" t="s">
        <v>995</v>
      </c>
      <c r="E2209" s="42" t="s">
        <v>808</v>
      </c>
      <c r="F2209" s="45">
        <v>-313883546.5867675</v>
      </c>
      <c r="G2209" s="42" t="s">
        <v>763</v>
      </c>
      <c r="H2209" s="42" t="s">
        <v>82</v>
      </c>
      <c r="I2209" s="42" t="s">
        <v>893</v>
      </c>
    </row>
    <row r="2210" spans="1:9">
      <c r="A2210" s="42" t="s">
        <v>897</v>
      </c>
      <c r="B2210" s="42" t="s">
        <v>395</v>
      </c>
      <c r="C2210" s="42" t="s">
        <v>999</v>
      </c>
      <c r="D2210" s="42" t="s">
        <v>995</v>
      </c>
      <c r="E2210" s="42" t="s">
        <v>808</v>
      </c>
      <c r="F2210" s="45">
        <v>1705342336.197984</v>
      </c>
      <c r="G2210" s="42" t="s">
        <v>763</v>
      </c>
      <c r="H2210" s="42" t="s">
        <v>82</v>
      </c>
      <c r="I2210" s="42" t="s">
        <v>860</v>
      </c>
    </row>
    <row r="2211" spans="1:9">
      <c r="A2211" s="42" t="s">
        <v>897</v>
      </c>
      <c r="B2211" s="42" t="s">
        <v>346</v>
      </c>
      <c r="C2211" s="42" t="s">
        <v>956</v>
      </c>
      <c r="D2211" s="42" t="s">
        <v>995</v>
      </c>
      <c r="E2211" s="42" t="s">
        <v>808</v>
      </c>
      <c r="F2211" s="45">
        <v>242893347.5776007</v>
      </c>
      <c r="G2211" s="42" t="s">
        <v>763</v>
      </c>
      <c r="H2211" s="42" t="s">
        <v>82</v>
      </c>
      <c r="I2211" s="42" t="s">
        <v>893</v>
      </c>
    </row>
    <row r="2212" spans="1:9">
      <c r="A2212" s="42" t="s">
        <v>897</v>
      </c>
      <c r="B2212" s="42" t="s">
        <v>346</v>
      </c>
      <c r="C2212" s="42" t="s">
        <v>961</v>
      </c>
      <c r="D2212" s="42" t="s">
        <v>995</v>
      </c>
      <c r="E2212" s="42" t="s">
        <v>808</v>
      </c>
      <c r="F2212" s="45">
        <v>242893347.5776007</v>
      </c>
      <c r="G2212" s="42" t="s">
        <v>763</v>
      </c>
      <c r="H2212" s="42" t="s">
        <v>82</v>
      </c>
      <c r="I2212" s="42" t="s">
        <v>893</v>
      </c>
    </row>
    <row r="2213" spans="1:9">
      <c r="A2213" s="42" t="s">
        <v>897</v>
      </c>
      <c r="B2213" s="42" t="s">
        <v>313</v>
      </c>
      <c r="C2213" s="42" t="s">
        <v>994</v>
      </c>
      <c r="D2213" s="42" t="s">
        <v>1000</v>
      </c>
      <c r="E2213" s="42" t="s">
        <v>808</v>
      </c>
      <c r="F2213" s="45">
        <v>64562792.87935171</v>
      </c>
      <c r="G2213" s="42" t="s">
        <v>1001</v>
      </c>
      <c r="H2213" s="42" t="s">
        <v>1002</v>
      </c>
      <c r="I2213" s="42" t="s">
        <v>893</v>
      </c>
    </row>
    <row r="2214" spans="1:9">
      <c r="A2214" s="42" t="s">
        <v>897</v>
      </c>
      <c r="B2214" s="42" t="s">
        <v>351</v>
      </c>
      <c r="C2214" s="42" t="s">
        <v>899</v>
      </c>
      <c r="D2214" s="42" t="s">
        <v>1000</v>
      </c>
      <c r="E2214" s="42" t="s">
        <v>808</v>
      </c>
      <c r="F2214" s="45">
        <v>48764602.84455013</v>
      </c>
      <c r="G2214" s="42" t="s">
        <v>1001</v>
      </c>
      <c r="H2214" s="42" t="s">
        <v>1002</v>
      </c>
      <c r="I2214" s="42" t="s">
        <v>860</v>
      </c>
    </row>
    <row r="2215" spans="1:9">
      <c r="A2215" s="42" t="s">
        <v>897</v>
      </c>
      <c r="B2215" s="42" t="s">
        <v>314</v>
      </c>
      <c r="C2215" s="42" t="s">
        <v>900</v>
      </c>
      <c r="D2215" s="42" t="s">
        <v>1000</v>
      </c>
      <c r="E2215" s="42" t="s">
        <v>808</v>
      </c>
      <c r="F2215" s="45">
        <v>971396026.2862141</v>
      </c>
      <c r="G2215" s="42" t="s">
        <v>1001</v>
      </c>
      <c r="H2215" s="42" t="s">
        <v>1002</v>
      </c>
      <c r="I2215" s="42" t="s">
        <v>893</v>
      </c>
    </row>
    <row r="2216" spans="1:9">
      <c r="A2216" s="42" t="s">
        <v>897</v>
      </c>
      <c r="B2216" s="42" t="s">
        <v>315</v>
      </c>
      <c r="C2216" s="42" t="s">
        <v>901</v>
      </c>
      <c r="D2216" s="42" t="s">
        <v>1000</v>
      </c>
      <c r="E2216" s="42" t="s">
        <v>808</v>
      </c>
      <c r="F2216" s="45">
        <v>13443446.26267668</v>
      </c>
      <c r="G2216" s="42" t="s">
        <v>1001</v>
      </c>
      <c r="H2216" s="42" t="s">
        <v>1002</v>
      </c>
      <c r="I2216" s="42" t="s">
        <v>893</v>
      </c>
    </row>
    <row r="2217" spans="1:9">
      <c r="A2217" s="42" t="s">
        <v>897</v>
      </c>
      <c r="B2217" s="42" t="s">
        <v>317</v>
      </c>
      <c r="C2217" s="42" t="s">
        <v>967</v>
      </c>
      <c r="D2217" s="42" t="s">
        <v>1000</v>
      </c>
      <c r="E2217" s="42" t="s">
        <v>808</v>
      </c>
      <c r="F2217" s="45">
        <v>66275333.80453346</v>
      </c>
      <c r="G2217" s="42" t="s">
        <v>1001</v>
      </c>
      <c r="H2217" s="42" t="s">
        <v>1002</v>
      </c>
      <c r="I2217" s="42" t="s">
        <v>893</v>
      </c>
    </row>
    <row r="2218" spans="1:9">
      <c r="A2218" s="42" t="s">
        <v>897</v>
      </c>
      <c r="B2218" s="42" t="s">
        <v>318</v>
      </c>
      <c r="C2218" s="42" t="s">
        <v>904</v>
      </c>
      <c r="D2218" s="42" t="s">
        <v>1000</v>
      </c>
      <c r="E2218" s="42" t="s">
        <v>808</v>
      </c>
      <c r="F2218" s="45">
        <v>938729308.1383724</v>
      </c>
      <c r="G2218" s="42" t="s">
        <v>1001</v>
      </c>
      <c r="H2218" s="42" t="s">
        <v>1002</v>
      </c>
      <c r="I2218" s="42" t="s">
        <v>893</v>
      </c>
    </row>
    <row r="2219" spans="1:9">
      <c r="A2219" s="42" t="s">
        <v>897</v>
      </c>
      <c r="B2219" s="42" t="s">
        <v>319</v>
      </c>
      <c r="C2219" s="42" t="s">
        <v>907</v>
      </c>
      <c r="D2219" s="42" t="s">
        <v>1000</v>
      </c>
      <c r="E2219" s="42" t="s">
        <v>808</v>
      </c>
      <c r="F2219" s="45">
        <v>84299827.0420713</v>
      </c>
      <c r="G2219" s="42" t="s">
        <v>1001</v>
      </c>
      <c r="H2219" s="42" t="s">
        <v>1002</v>
      </c>
      <c r="I2219" s="42" t="s">
        <v>893</v>
      </c>
    </row>
    <row r="2220" spans="1:9">
      <c r="A2220" s="42" t="s">
        <v>897</v>
      </c>
      <c r="B2220" s="42" t="s">
        <v>357</v>
      </c>
      <c r="C2220" s="42" t="s">
        <v>908</v>
      </c>
      <c r="D2220" s="42" t="s">
        <v>1000</v>
      </c>
      <c r="E2220" s="42" t="s">
        <v>808</v>
      </c>
      <c r="F2220" s="45">
        <v>-955041260.4507285</v>
      </c>
      <c r="G2220" s="42" t="s">
        <v>1001</v>
      </c>
      <c r="H2220" s="42" t="s">
        <v>1002</v>
      </c>
      <c r="I2220" s="42" t="s">
        <v>864</v>
      </c>
    </row>
    <row r="2221" spans="1:9">
      <c r="A2221" s="42" t="s">
        <v>897</v>
      </c>
      <c r="B2221" s="42" t="s">
        <v>358</v>
      </c>
      <c r="C2221" s="42" t="s">
        <v>996</v>
      </c>
      <c r="D2221" s="42" t="s">
        <v>1000</v>
      </c>
      <c r="E2221" s="42" t="s">
        <v>808</v>
      </c>
      <c r="F2221" s="45">
        <v>3125387.188456681</v>
      </c>
      <c r="G2221" s="42" t="s">
        <v>1001</v>
      </c>
      <c r="H2221" s="42" t="s">
        <v>1002</v>
      </c>
      <c r="I2221" s="42" t="s">
        <v>860</v>
      </c>
    </row>
    <row r="2222" spans="1:9">
      <c r="A2222" s="42" t="s">
        <v>897</v>
      </c>
      <c r="B2222" s="42" t="s">
        <v>987</v>
      </c>
      <c r="C2222" s="42" t="s">
        <v>988</v>
      </c>
      <c r="D2222" s="42" t="s">
        <v>1000</v>
      </c>
      <c r="E2222" s="42" t="s">
        <v>808</v>
      </c>
      <c r="F2222" s="45">
        <v>0</v>
      </c>
      <c r="G2222" s="42" t="s">
        <v>1001</v>
      </c>
      <c r="H2222" s="42" t="s">
        <v>1002</v>
      </c>
      <c r="I2222" s="42" t="s">
        <v>817</v>
      </c>
    </row>
    <row r="2223" spans="1:9">
      <c r="A2223" s="42" t="s">
        <v>897</v>
      </c>
      <c r="B2223" s="42" t="s">
        <v>293</v>
      </c>
      <c r="C2223" s="42" t="s">
        <v>912</v>
      </c>
      <c r="D2223" s="42" t="s">
        <v>1000</v>
      </c>
      <c r="E2223" s="42" t="s">
        <v>808</v>
      </c>
      <c r="F2223" s="45">
        <v>-328679417.065506</v>
      </c>
      <c r="G2223" s="42" t="s">
        <v>1001</v>
      </c>
      <c r="H2223" s="42" t="s">
        <v>1002</v>
      </c>
      <c r="I2223" s="42" t="s">
        <v>893</v>
      </c>
    </row>
    <row r="2224" spans="1:9">
      <c r="A2224" s="42" t="s">
        <v>897</v>
      </c>
      <c r="B2224" s="42" t="s">
        <v>369</v>
      </c>
      <c r="C2224" s="42" t="s">
        <v>970</v>
      </c>
      <c r="D2224" s="42" t="s">
        <v>1000</v>
      </c>
      <c r="E2224" s="42" t="s">
        <v>808</v>
      </c>
      <c r="F2224" s="45">
        <v>-26501570.81718747</v>
      </c>
      <c r="G2224" s="42" t="s">
        <v>1001</v>
      </c>
      <c r="H2224" s="42" t="s">
        <v>1002</v>
      </c>
      <c r="I2224" s="42" t="s">
        <v>886</v>
      </c>
    </row>
    <row r="2225" spans="1:9">
      <c r="A2225" s="42" t="s">
        <v>897</v>
      </c>
      <c r="B2225" s="42" t="s">
        <v>292</v>
      </c>
      <c r="C2225" s="42" t="s">
        <v>913</v>
      </c>
      <c r="D2225" s="42" t="s">
        <v>1000</v>
      </c>
      <c r="E2225" s="42" t="s">
        <v>808</v>
      </c>
      <c r="F2225" s="45">
        <v>63749335.93989038</v>
      </c>
      <c r="G2225" s="42" t="s">
        <v>1001</v>
      </c>
      <c r="H2225" s="42" t="s">
        <v>1002</v>
      </c>
      <c r="I2225" s="42" t="s">
        <v>893</v>
      </c>
    </row>
    <row r="2226" spans="1:9">
      <c r="A2226" s="42" t="s">
        <v>897</v>
      </c>
      <c r="B2226" s="42" t="s">
        <v>241</v>
      </c>
      <c r="C2226" s="42" t="s">
        <v>914</v>
      </c>
      <c r="D2226" s="42" t="s">
        <v>1000</v>
      </c>
      <c r="E2226" s="42" t="s">
        <v>808</v>
      </c>
      <c r="F2226" s="45">
        <v>39474068.32543918</v>
      </c>
      <c r="G2226" s="42" t="s">
        <v>1001</v>
      </c>
      <c r="H2226" s="42" t="s">
        <v>1002</v>
      </c>
      <c r="I2226" s="42" t="s">
        <v>893</v>
      </c>
    </row>
    <row r="2227" spans="1:9">
      <c r="A2227" s="42" t="s">
        <v>897</v>
      </c>
      <c r="B2227" s="42" t="s">
        <v>310</v>
      </c>
      <c r="C2227" s="42" t="s">
        <v>915</v>
      </c>
      <c r="D2227" s="42" t="s">
        <v>1000</v>
      </c>
      <c r="E2227" s="42" t="s">
        <v>808</v>
      </c>
      <c r="F2227" s="45">
        <v>155370275.4371136</v>
      </c>
      <c r="G2227" s="42" t="s">
        <v>1001</v>
      </c>
      <c r="H2227" s="42" t="s">
        <v>1002</v>
      </c>
      <c r="I2227" s="42" t="s">
        <v>893</v>
      </c>
    </row>
    <row r="2228" spans="1:9">
      <c r="A2228" s="42" t="s">
        <v>897</v>
      </c>
      <c r="B2228" s="42" t="s">
        <v>305</v>
      </c>
      <c r="C2228" s="42" t="s">
        <v>916</v>
      </c>
      <c r="D2228" s="42" t="s">
        <v>1000</v>
      </c>
      <c r="E2228" s="42" t="s">
        <v>808</v>
      </c>
      <c r="F2228" s="45">
        <v>32238582.91654631</v>
      </c>
      <c r="G2228" s="42" t="s">
        <v>1001</v>
      </c>
      <c r="H2228" s="42" t="s">
        <v>1002</v>
      </c>
      <c r="I2228" s="42" t="s">
        <v>893</v>
      </c>
    </row>
    <row r="2229" spans="1:9">
      <c r="A2229" s="42" t="s">
        <v>897</v>
      </c>
      <c r="B2229" s="42" t="s">
        <v>306</v>
      </c>
      <c r="C2229" s="42" t="s">
        <v>917</v>
      </c>
      <c r="D2229" s="42" t="s">
        <v>1000</v>
      </c>
      <c r="E2229" s="42" t="s">
        <v>808</v>
      </c>
      <c r="F2229" s="45">
        <v>11859345.90688357</v>
      </c>
      <c r="G2229" s="42" t="s">
        <v>1001</v>
      </c>
      <c r="H2229" s="42" t="s">
        <v>1002</v>
      </c>
      <c r="I2229" s="42" t="s">
        <v>893</v>
      </c>
    </row>
    <row r="2230" spans="1:9">
      <c r="A2230" s="42" t="s">
        <v>897</v>
      </c>
      <c r="B2230" s="42" t="s">
        <v>309</v>
      </c>
      <c r="C2230" s="42" t="s">
        <v>918</v>
      </c>
      <c r="D2230" s="42" t="s">
        <v>1000</v>
      </c>
      <c r="E2230" s="42" t="s">
        <v>808</v>
      </c>
      <c r="F2230" s="45">
        <v>19565780.07020141</v>
      </c>
      <c r="G2230" s="42" t="s">
        <v>1001</v>
      </c>
      <c r="H2230" s="42" t="s">
        <v>1002</v>
      </c>
      <c r="I2230" s="42" t="s">
        <v>893</v>
      </c>
    </row>
    <row r="2231" spans="1:9">
      <c r="A2231" s="42" t="s">
        <v>897</v>
      </c>
      <c r="B2231" s="42" t="s">
        <v>242</v>
      </c>
      <c r="C2231" s="42" t="s">
        <v>920</v>
      </c>
      <c r="D2231" s="42" t="s">
        <v>1000</v>
      </c>
      <c r="E2231" s="42" t="s">
        <v>808</v>
      </c>
      <c r="F2231" s="45">
        <v>-1798167.97144083</v>
      </c>
      <c r="G2231" s="42" t="s">
        <v>1001</v>
      </c>
      <c r="H2231" s="42" t="s">
        <v>1002</v>
      </c>
      <c r="I2231" s="42" t="s">
        <v>893</v>
      </c>
    </row>
    <row r="2232" spans="1:9">
      <c r="A2232" s="42" t="s">
        <v>897</v>
      </c>
      <c r="B2232" s="42" t="s">
        <v>302</v>
      </c>
      <c r="C2232" s="42" t="s">
        <v>921</v>
      </c>
      <c r="D2232" s="42" t="s">
        <v>1000</v>
      </c>
      <c r="E2232" s="42" t="s">
        <v>808</v>
      </c>
      <c r="F2232" s="45">
        <v>3425081.850363486</v>
      </c>
      <c r="G2232" s="42" t="s">
        <v>1001</v>
      </c>
      <c r="H2232" s="42" t="s">
        <v>1002</v>
      </c>
      <c r="I2232" s="42" t="s">
        <v>893</v>
      </c>
    </row>
    <row r="2233" spans="1:9">
      <c r="A2233" s="42" t="s">
        <v>897</v>
      </c>
      <c r="B2233" s="42" t="s">
        <v>326</v>
      </c>
      <c r="C2233" s="42" t="s">
        <v>922</v>
      </c>
      <c r="D2233" s="42" t="s">
        <v>1000</v>
      </c>
      <c r="E2233" s="42" t="s">
        <v>808</v>
      </c>
      <c r="F2233" s="45">
        <v>941897.5088499585</v>
      </c>
      <c r="G2233" s="42" t="s">
        <v>1001</v>
      </c>
      <c r="H2233" s="42" t="s">
        <v>1002</v>
      </c>
      <c r="I2233" s="42" t="s">
        <v>893</v>
      </c>
    </row>
    <row r="2234" spans="1:9">
      <c r="A2234" s="42" t="s">
        <v>897</v>
      </c>
      <c r="B2234" s="42" t="s">
        <v>328</v>
      </c>
      <c r="C2234" s="42" t="s">
        <v>924</v>
      </c>
      <c r="D2234" s="42" t="s">
        <v>1000</v>
      </c>
      <c r="E2234" s="42" t="s">
        <v>808</v>
      </c>
      <c r="F2234" s="45">
        <v>-23119302.48995353</v>
      </c>
      <c r="G2234" s="42" t="s">
        <v>1001</v>
      </c>
      <c r="H2234" s="42" t="s">
        <v>1002</v>
      </c>
      <c r="I2234" s="42" t="s">
        <v>893</v>
      </c>
    </row>
    <row r="2235" spans="1:9">
      <c r="A2235" s="42" t="s">
        <v>897</v>
      </c>
      <c r="B2235" s="42" t="s">
        <v>329</v>
      </c>
      <c r="C2235" s="42" t="s">
        <v>925</v>
      </c>
      <c r="D2235" s="42" t="s">
        <v>1000</v>
      </c>
      <c r="E2235" s="42" t="s">
        <v>808</v>
      </c>
      <c r="F2235" s="45">
        <v>1182081373.606698</v>
      </c>
      <c r="G2235" s="42" t="s">
        <v>1001</v>
      </c>
      <c r="H2235" s="42" t="s">
        <v>1002</v>
      </c>
      <c r="I2235" s="42" t="s">
        <v>893</v>
      </c>
    </row>
    <row r="2236" spans="1:9">
      <c r="A2236" s="42" t="s">
        <v>897</v>
      </c>
      <c r="B2236" s="42" t="s">
        <v>372</v>
      </c>
      <c r="C2236" s="42" t="s">
        <v>926</v>
      </c>
      <c r="D2236" s="42" t="s">
        <v>1000</v>
      </c>
      <c r="E2236" s="42" t="s">
        <v>808</v>
      </c>
      <c r="F2236" s="45">
        <v>19351712.45455369</v>
      </c>
      <c r="G2236" s="42" t="s">
        <v>1001</v>
      </c>
      <c r="H2236" s="42" t="s">
        <v>1002</v>
      </c>
      <c r="I2236" s="42" t="s">
        <v>896</v>
      </c>
    </row>
    <row r="2237" spans="1:9">
      <c r="A2237" s="42" t="s">
        <v>897</v>
      </c>
      <c r="B2237" s="42" t="s">
        <v>330</v>
      </c>
      <c r="C2237" s="42" t="s">
        <v>927</v>
      </c>
      <c r="D2237" s="42" t="s">
        <v>1000</v>
      </c>
      <c r="E2237" s="42" t="s">
        <v>808</v>
      </c>
      <c r="F2237" s="45">
        <v>-775138836.2603863</v>
      </c>
      <c r="G2237" s="42" t="s">
        <v>1001</v>
      </c>
      <c r="H2237" s="42" t="s">
        <v>1002</v>
      </c>
      <c r="I2237" s="42" t="s">
        <v>893</v>
      </c>
    </row>
    <row r="2238" spans="1:9">
      <c r="A2238" s="42" t="s">
        <v>897</v>
      </c>
      <c r="B2238" s="42" t="s">
        <v>332</v>
      </c>
      <c r="C2238" s="42" t="s">
        <v>932</v>
      </c>
      <c r="D2238" s="42" t="s">
        <v>1000</v>
      </c>
      <c r="E2238" s="42" t="s">
        <v>808</v>
      </c>
      <c r="F2238" s="45">
        <v>-171254.0925181743</v>
      </c>
      <c r="G2238" s="42" t="s">
        <v>1001</v>
      </c>
      <c r="H2238" s="42" t="s">
        <v>1002</v>
      </c>
      <c r="I2238" s="42" t="s">
        <v>893</v>
      </c>
    </row>
    <row r="2239" spans="1:9">
      <c r="A2239" s="42" t="s">
        <v>897</v>
      </c>
      <c r="B2239" s="42" t="s">
        <v>336</v>
      </c>
      <c r="C2239" s="42" t="s">
        <v>938</v>
      </c>
      <c r="D2239" s="42" t="s">
        <v>1000</v>
      </c>
      <c r="E2239" s="42" t="s">
        <v>808</v>
      </c>
      <c r="F2239" s="45">
        <v>-743414015.6213946</v>
      </c>
      <c r="G2239" s="42" t="s">
        <v>1001</v>
      </c>
      <c r="H2239" s="42" t="s">
        <v>1002</v>
      </c>
      <c r="I2239" s="42" t="s">
        <v>893</v>
      </c>
    </row>
    <row r="2240" spans="1:9">
      <c r="A2240" s="42" t="s">
        <v>897</v>
      </c>
      <c r="B2240" s="42" t="s">
        <v>936</v>
      </c>
      <c r="C2240" s="42" t="s">
        <v>997</v>
      </c>
      <c r="D2240" s="42" t="s">
        <v>1000</v>
      </c>
      <c r="E2240" s="42" t="s">
        <v>808</v>
      </c>
      <c r="F2240" s="45">
        <v>-212526328.8150543</v>
      </c>
      <c r="G2240" s="42" t="s">
        <v>1001</v>
      </c>
      <c r="H2240" s="42" t="s">
        <v>1002</v>
      </c>
      <c r="I2240" s="42" t="s">
        <v>861</v>
      </c>
    </row>
    <row r="2241" spans="1:9">
      <c r="A2241" s="42" t="s">
        <v>897</v>
      </c>
      <c r="B2241" s="42" t="s">
        <v>389</v>
      </c>
      <c r="C2241" s="42" t="s">
        <v>998</v>
      </c>
      <c r="D2241" s="42" t="s">
        <v>1000</v>
      </c>
      <c r="E2241" s="42" t="s">
        <v>808</v>
      </c>
      <c r="F2241" s="45">
        <v>222202185.0423312</v>
      </c>
      <c r="G2241" s="42" t="s">
        <v>1001</v>
      </c>
      <c r="H2241" s="42" t="s">
        <v>1002</v>
      </c>
      <c r="I2241" s="42" t="s">
        <v>865</v>
      </c>
    </row>
    <row r="2242" spans="1:9">
      <c r="A2242" s="42" t="s">
        <v>897</v>
      </c>
      <c r="B2242" s="42" t="s">
        <v>337</v>
      </c>
      <c r="C2242" s="42" t="s">
        <v>991</v>
      </c>
      <c r="D2242" s="42" t="s">
        <v>1000</v>
      </c>
      <c r="E2242" s="42" t="s">
        <v>808</v>
      </c>
      <c r="F2242" s="45">
        <v>-218049273.2987654</v>
      </c>
      <c r="G2242" s="42" t="s">
        <v>1001</v>
      </c>
      <c r="H2242" s="42" t="s">
        <v>1002</v>
      </c>
      <c r="I2242" s="42" t="s">
        <v>893</v>
      </c>
    </row>
    <row r="2243" spans="1:9">
      <c r="A2243" s="42" t="s">
        <v>897</v>
      </c>
      <c r="B2243" s="42" t="s">
        <v>939</v>
      </c>
      <c r="C2243" s="42" t="s">
        <v>973</v>
      </c>
      <c r="D2243" s="42" t="s">
        <v>1000</v>
      </c>
      <c r="E2243" s="42" t="s">
        <v>808</v>
      </c>
      <c r="F2243" s="45">
        <v>320287966.5321155</v>
      </c>
      <c r="G2243" s="42" t="s">
        <v>1001</v>
      </c>
      <c r="H2243" s="42" t="s">
        <v>1002</v>
      </c>
      <c r="I2243" s="42" t="s">
        <v>893</v>
      </c>
    </row>
    <row r="2244" spans="1:9">
      <c r="A2244" s="42" t="s">
        <v>897</v>
      </c>
      <c r="B2244" s="42" t="s">
        <v>344</v>
      </c>
      <c r="C2244" s="42" t="s">
        <v>980</v>
      </c>
      <c r="D2244" s="42" t="s">
        <v>1000</v>
      </c>
      <c r="E2244" s="42" t="s">
        <v>808</v>
      </c>
      <c r="F2244" s="45">
        <v>-115425258.3572495</v>
      </c>
      <c r="G2244" s="42" t="s">
        <v>1001</v>
      </c>
      <c r="H2244" s="42" t="s">
        <v>1002</v>
      </c>
      <c r="I2244" s="42" t="s">
        <v>893</v>
      </c>
    </row>
    <row r="2245" spans="1:9">
      <c r="A2245" s="42" t="s">
        <v>897</v>
      </c>
      <c r="B2245" s="42" t="s">
        <v>395</v>
      </c>
      <c r="C2245" s="42" t="s">
        <v>999</v>
      </c>
      <c r="D2245" s="42" t="s">
        <v>1000</v>
      </c>
      <c r="E2245" s="42" t="s">
        <v>808</v>
      </c>
      <c r="F2245" s="45">
        <v>545444284.6703851</v>
      </c>
      <c r="G2245" s="42" t="s">
        <v>1001</v>
      </c>
      <c r="H2245" s="42" t="s">
        <v>1002</v>
      </c>
      <c r="I2245" s="42" t="s">
        <v>860</v>
      </c>
    </row>
    <row r="2246" spans="1:9">
      <c r="A2246" s="42" t="s">
        <v>897</v>
      </c>
      <c r="B2246" s="42" t="s">
        <v>346</v>
      </c>
      <c r="C2246" s="42" t="s">
        <v>956</v>
      </c>
      <c r="D2246" s="42" t="s">
        <v>1000</v>
      </c>
      <c r="E2246" s="42" t="s">
        <v>808</v>
      </c>
      <c r="F2246" s="45">
        <v>545444284.6703851</v>
      </c>
      <c r="G2246" s="42" t="s">
        <v>1001</v>
      </c>
      <c r="H2246" s="42" t="s">
        <v>1002</v>
      </c>
      <c r="I2246" s="42" t="s">
        <v>893</v>
      </c>
    </row>
    <row r="2247" spans="1:9">
      <c r="A2247" s="42" t="s">
        <v>897</v>
      </c>
      <c r="B2247" s="42" t="s">
        <v>346</v>
      </c>
      <c r="C2247" s="42" t="s">
        <v>961</v>
      </c>
      <c r="D2247" s="42" t="s">
        <v>1000</v>
      </c>
      <c r="E2247" s="42" t="s">
        <v>808</v>
      </c>
      <c r="F2247" s="45">
        <v>545444284.6703851</v>
      </c>
      <c r="G2247" s="42" t="s">
        <v>1001</v>
      </c>
      <c r="H2247" s="42" t="s">
        <v>1002</v>
      </c>
      <c r="I2247" s="42" t="s">
        <v>893</v>
      </c>
    </row>
    <row r="2248" spans="1:9">
      <c r="A2248" s="42" t="s">
        <v>897</v>
      </c>
      <c r="B2248" s="42" t="s">
        <v>348</v>
      </c>
      <c r="C2248" s="42" t="s">
        <v>982</v>
      </c>
      <c r="D2248" s="42" t="s">
        <v>820</v>
      </c>
      <c r="E2248" s="42" t="s">
        <v>808</v>
      </c>
      <c r="F2248" s="45">
        <v>1221193327.038086</v>
      </c>
      <c r="G2248" s="42" t="s">
        <v>985</v>
      </c>
      <c r="H2248" s="42" t="s">
        <v>98</v>
      </c>
      <c r="I2248" s="42" t="s">
        <v>893</v>
      </c>
    </row>
    <row r="2249" spans="1:9">
      <c r="A2249" s="42" t="s">
        <v>897</v>
      </c>
      <c r="B2249" s="42" t="s">
        <v>349</v>
      </c>
      <c r="C2249" s="42" t="s">
        <v>898</v>
      </c>
      <c r="D2249" s="42" t="s">
        <v>695</v>
      </c>
      <c r="E2249" s="42" t="s">
        <v>762</v>
      </c>
      <c r="F2249" s="45">
        <v>-693428618.2153938</v>
      </c>
      <c r="G2249" s="42" t="s">
        <v>763</v>
      </c>
      <c r="H2249" s="42" t="s">
        <v>98</v>
      </c>
      <c r="I2249" s="42" t="s">
        <v>865</v>
      </c>
    </row>
    <row r="2250" spans="1:9">
      <c r="A2250" s="42" t="s">
        <v>897</v>
      </c>
      <c r="B2250" s="42" t="s">
        <v>350</v>
      </c>
      <c r="C2250" s="42" t="s">
        <v>1003</v>
      </c>
      <c r="D2250" s="42" t="s">
        <v>695</v>
      </c>
      <c r="E2250" s="42" t="s">
        <v>762</v>
      </c>
      <c r="F2250" s="45">
        <v>-693428618.2153938</v>
      </c>
      <c r="G2250" s="42" t="s">
        <v>763</v>
      </c>
      <c r="H2250" s="42" t="s">
        <v>108</v>
      </c>
      <c r="I2250" s="42" t="s">
        <v>854</v>
      </c>
    </row>
    <row r="2251" spans="1:9">
      <c r="A2251" s="42" t="s">
        <v>897</v>
      </c>
      <c r="B2251" s="42" t="s">
        <v>201</v>
      </c>
      <c r="C2251" s="42" t="s">
        <v>966</v>
      </c>
      <c r="D2251" s="42" t="s">
        <v>695</v>
      </c>
      <c r="E2251" s="42" t="s">
        <v>762</v>
      </c>
      <c r="F2251" s="45">
        <v>-165530400.2498654</v>
      </c>
      <c r="G2251" s="42" t="s">
        <v>763</v>
      </c>
      <c r="H2251" s="42" t="s">
        <v>108</v>
      </c>
      <c r="I2251" s="42" t="s">
        <v>893</v>
      </c>
    </row>
    <row r="2252" spans="1:9">
      <c r="A2252" s="42" t="s">
        <v>897</v>
      </c>
      <c r="B2252" s="42" t="s">
        <v>314</v>
      </c>
      <c r="C2252" s="42" t="s">
        <v>900</v>
      </c>
      <c r="D2252" s="42" t="s">
        <v>695</v>
      </c>
      <c r="E2252" s="42" t="s">
        <v>762</v>
      </c>
      <c r="F2252" s="45">
        <v>3030859966.623226</v>
      </c>
      <c r="G2252" s="42" t="s">
        <v>763</v>
      </c>
      <c r="H2252" s="42" t="s">
        <v>108</v>
      </c>
      <c r="I2252" s="42" t="s">
        <v>893</v>
      </c>
    </row>
    <row r="2253" spans="1:9">
      <c r="A2253" s="42" t="s">
        <v>897</v>
      </c>
      <c r="B2253" s="42" t="s">
        <v>315</v>
      </c>
      <c r="C2253" s="42" t="s">
        <v>901</v>
      </c>
      <c r="D2253" s="42" t="s">
        <v>695</v>
      </c>
      <c r="E2253" s="42" t="s">
        <v>762</v>
      </c>
      <c r="F2253" s="45">
        <v>49318419.95396341</v>
      </c>
      <c r="G2253" s="42" t="s">
        <v>763</v>
      </c>
      <c r="H2253" s="42" t="s">
        <v>108</v>
      </c>
      <c r="I2253" s="42" t="s">
        <v>893</v>
      </c>
    </row>
    <row r="2254" spans="1:9">
      <c r="A2254" s="42" t="s">
        <v>897</v>
      </c>
      <c r="B2254" s="42" t="s">
        <v>316</v>
      </c>
      <c r="C2254" s="42" t="s">
        <v>1004</v>
      </c>
      <c r="D2254" s="42" t="s">
        <v>695</v>
      </c>
      <c r="E2254" s="42" t="s">
        <v>762</v>
      </c>
      <c r="F2254" s="45">
        <v>218318144.6066561</v>
      </c>
      <c r="G2254" s="42" t="s">
        <v>763</v>
      </c>
      <c r="H2254" s="42" t="s">
        <v>108</v>
      </c>
      <c r="I2254" s="42" t="s">
        <v>893</v>
      </c>
    </row>
    <row r="2255" spans="1:9">
      <c r="A2255" s="42" t="s">
        <v>897</v>
      </c>
      <c r="B2255" s="42" t="s">
        <v>317</v>
      </c>
      <c r="C2255" s="42" t="s">
        <v>967</v>
      </c>
      <c r="D2255" s="42" t="s">
        <v>695</v>
      </c>
      <c r="E2255" s="42" t="s">
        <v>762</v>
      </c>
      <c r="F2255" s="45">
        <v>397289580.1177743</v>
      </c>
      <c r="G2255" s="42" t="s">
        <v>763</v>
      </c>
      <c r="H2255" s="42" t="s">
        <v>108</v>
      </c>
      <c r="I2255" s="42" t="s">
        <v>893</v>
      </c>
    </row>
    <row r="2256" spans="1:9">
      <c r="A2256" s="42" t="s">
        <v>897</v>
      </c>
      <c r="B2256" s="42" t="s">
        <v>318</v>
      </c>
      <c r="C2256" s="42" t="s">
        <v>904</v>
      </c>
      <c r="D2256" s="42" t="s">
        <v>695</v>
      </c>
      <c r="E2256" s="42" t="s">
        <v>762</v>
      </c>
      <c r="F2256" s="45">
        <v>547800090.8871361</v>
      </c>
      <c r="G2256" s="42" t="s">
        <v>763</v>
      </c>
      <c r="H2256" s="42" t="s">
        <v>108</v>
      </c>
      <c r="I2256" s="42" t="s">
        <v>893</v>
      </c>
    </row>
    <row r="2257" spans="1:9">
      <c r="A2257" s="42" t="s">
        <v>897</v>
      </c>
      <c r="B2257" s="42" t="s">
        <v>319</v>
      </c>
      <c r="C2257" s="42" t="s">
        <v>907</v>
      </c>
      <c r="D2257" s="42" t="s">
        <v>695</v>
      </c>
      <c r="E2257" s="42" t="s">
        <v>762</v>
      </c>
      <c r="F2257" s="45">
        <v>271936864.8683155</v>
      </c>
      <c r="G2257" s="42" t="s">
        <v>763</v>
      </c>
      <c r="H2257" s="42" t="s">
        <v>108</v>
      </c>
      <c r="I2257" s="42" t="s">
        <v>893</v>
      </c>
    </row>
    <row r="2258" spans="1:9">
      <c r="A2258" s="42" t="s">
        <v>897</v>
      </c>
      <c r="B2258" s="42" t="s">
        <v>353</v>
      </c>
      <c r="C2258" s="42" t="s">
        <v>1005</v>
      </c>
      <c r="D2258" s="42" t="s">
        <v>695</v>
      </c>
      <c r="E2258" s="42" t="s">
        <v>762</v>
      </c>
      <c r="F2258" s="45">
        <v>860662519.0702401</v>
      </c>
      <c r="G2258" s="42" t="s">
        <v>763</v>
      </c>
      <c r="H2258" s="42" t="s">
        <v>108</v>
      </c>
      <c r="I2258" s="42" t="s">
        <v>854</v>
      </c>
    </row>
    <row r="2259" spans="1:9">
      <c r="A2259" s="42" t="s">
        <v>897</v>
      </c>
      <c r="B2259" s="42" t="s">
        <v>354</v>
      </c>
      <c r="C2259" s="42" t="s">
        <v>968</v>
      </c>
      <c r="D2259" s="42" t="s">
        <v>695</v>
      </c>
      <c r="E2259" s="42" t="s">
        <v>762</v>
      </c>
      <c r="F2259" s="45">
        <v>860662519.0702401</v>
      </c>
      <c r="G2259" s="42" t="s">
        <v>763</v>
      </c>
      <c r="H2259" s="42" t="s">
        <v>88</v>
      </c>
      <c r="I2259" s="42" t="s">
        <v>809</v>
      </c>
    </row>
    <row r="2260" spans="1:9">
      <c r="A2260" s="42" t="s">
        <v>897</v>
      </c>
      <c r="B2260" s="42" t="s">
        <v>355</v>
      </c>
      <c r="C2260" s="42" t="s">
        <v>986</v>
      </c>
      <c r="D2260" s="42" t="s">
        <v>695</v>
      </c>
      <c r="E2260" s="42" t="s">
        <v>762</v>
      </c>
      <c r="F2260" s="45">
        <v>860662519.0702401</v>
      </c>
      <c r="G2260" s="42" t="s">
        <v>763</v>
      </c>
      <c r="H2260" s="42" t="s">
        <v>98</v>
      </c>
      <c r="I2260" s="42" t="s">
        <v>817</v>
      </c>
    </row>
    <row r="2261" spans="1:9">
      <c r="A2261" s="42" t="s">
        <v>897</v>
      </c>
      <c r="B2261" s="42" t="s">
        <v>357</v>
      </c>
      <c r="C2261" s="42" t="s">
        <v>908</v>
      </c>
      <c r="D2261" s="42" t="s">
        <v>695</v>
      </c>
      <c r="E2261" s="42" t="s">
        <v>762</v>
      </c>
      <c r="F2261" s="45">
        <v>-123379147.4753954</v>
      </c>
      <c r="G2261" s="42" t="s">
        <v>763</v>
      </c>
      <c r="H2261" s="42" t="s">
        <v>108</v>
      </c>
      <c r="I2261" s="42" t="s">
        <v>864</v>
      </c>
    </row>
    <row r="2262" spans="1:9">
      <c r="A2262" s="42" t="s">
        <v>897</v>
      </c>
      <c r="B2262" s="42" t="s">
        <v>251</v>
      </c>
      <c r="C2262" s="42" t="s">
        <v>909</v>
      </c>
      <c r="D2262" s="42" t="s">
        <v>695</v>
      </c>
      <c r="E2262" s="42" t="s">
        <v>762</v>
      </c>
      <c r="F2262" s="45">
        <v>10241778.02750799</v>
      </c>
      <c r="G2262" s="42" t="s">
        <v>763</v>
      </c>
      <c r="H2262" s="42" t="s">
        <v>108</v>
      </c>
      <c r="I2262" s="42" t="s">
        <v>893</v>
      </c>
    </row>
    <row r="2263" spans="1:9">
      <c r="A2263" s="42" t="s">
        <v>897</v>
      </c>
      <c r="B2263" s="42" t="s">
        <v>359</v>
      </c>
      <c r="C2263" s="42" t="s">
        <v>969</v>
      </c>
      <c r="D2263" s="42" t="s">
        <v>695</v>
      </c>
      <c r="E2263" s="42" t="s">
        <v>762</v>
      </c>
      <c r="F2263" s="45">
        <v>-10345650.01561659</v>
      </c>
      <c r="G2263" s="42" t="s">
        <v>763</v>
      </c>
      <c r="H2263" s="42" t="s">
        <v>98</v>
      </c>
      <c r="I2263" s="42" t="s">
        <v>853</v>
      </c>
    </row>
    <row r="2264" spans="1:9">
      <c r="A2264" s="42" t="s">
        <v>897</v>
      </c>
      <c r="B2264" s="42" t="s">
        <v>363</v>
      </c>
      <c r="C2264" s="42" t="s">
        <v>1006</v>
      </c>
      <c r="D2264" s="42" t="s">
        <v>695</v>
      </c>
      <c r="E2264" s="42" t="s">
        <v>762</v>
      </c>
      <c r="F2264" s="45">
        <v>-16162481.3496982</v>
      </c>
      <c r="G2264" s="42" t="s">
        <v>763</v>
      </c>
      <c r="H2264" s="42" t="s">
        <v>108</v>
      </c>
      <c r="I2264" s="42" t="s">
        <v>864</v>
      </c>
    </row>
    <row r="2265" spans="1:9">
      <c r="A2265" s="42" t="s">
        <v>897</v>
      </c>
      <c r="B2265" s="42" t="s">
        <v>366</v>
      </c>
      <c r="C2265" s="42" t="s">
        <v>1007</v>
      </c>
      <c r="D2265" s="42" t="s">
        <v>695</v>
      </c>
      <c r="E2265" s="42" t="s">
        <v>762</v>
      </c>
      <c r="F2265" s="45">
        <v>-16162481.3496982</v>
      </c>
      <c r="G2265" s="42" t="s">
        <v>763</v>
      </c>
      <c r="H2265" s="42" t="s">
        <v>88</v>
      </c>
      <c r="I2265" s="42" t="s">
        <v>809</v>
      </c>
    </row>
    <row r="2266" spans="1:9">
      <c r="A2266" s="42" t="s">
        <v>897</v>
      </c>
      <c r="B2266" s="42" t="s">
        <v>324</v>
      </c>
      <c r="C2266" s="42" t="s">
        <v>1008</v>
      </c>
      <c r="D2266" s="42" t="s">
        <v>695</v>
      </c>
      <c r="E2266" s="42" t="s">
        <v>762</v>
      </c>
      <c r="F2266" s="45">
        <v>-10345650.01561659</v>
      </c>
      <c r="G2266" s="42" t="s">
        <v>763</v>
      </c>
      <c r="H2266" s="42" t="s">
        <v>108</v>
      </c>
      <c r="I2266" s="42" t="s">
        <v>893</v>
      </c>
    </row>
    <row r="2267" spans="1:9">
      <c r="A2267" s="42" t="s">
        <v>897</v>
      </c>
      <c r="B2267" s="42" t="s">
        <v>293</v>
      </c>
      <c r="C2267" s="42" t="s">
        <v>912</v>
      </c>
      <c r="D2267" s="42" t="s">
        <v>695</v>
      </c>
      <c r="E2267" s="42" t="s">
        <v>762</v>
      </c>
      <c r="F2267" s="45">
        <v>-245823447.0578134</v>
      </c>
      <c r="G2267" s="42" t="s">
        <v>763</v>
      </c>
      <c r="H2267" s="42" t="s">
        <v>108</v>
      </c>
      <c r="I2267" s="42" t="s">
        <v>893</v>
      </c>
    </row>
    <row r="2268" spans="1:9">
      <c r="A2268" s="42" t="s">
        <v>897</v>
      </c>
      <c r="B2268" s="42" t="s">
        <v>369</v>
      </c>
      <c r="C2268" s="42" t="s">
        <v>970</v>
      </c>
      <c r="D2268" s="42" t="s">
        <v>695</v>
      </c>
      <c r="E2268" s="42" t="s">
        <v>762</v>
      </c>
      <c r="F2268" s="45">
        <v>-101005121.2368029</v>
      </c>
      <c r="G2268" s="42" t="s">
        <v>763</v>
      </c>
      <c r="H2268" s="42" t="s">
        <v>108</v>
      </c>
      <c r="I2268" s="42" t="s">
        <v>886</v>
      </c>
    </row>
    <row r="2269" spans="1:9">
      <c r="A2269" s="42" t="s">
        <v>897</v>
      </c>
      <c r="B2269" s="42" t="s">
        <v>292</v>
      </c>
      <c r="C2269" s="42" t="s">
        <v>913</v>
      </c>
      <c r="D2269" s="42" t="s">
        <v>695</v>
      </c>
      <c r="E2269" s="42" t="s">
        <v>762</v>
      </c>
      <c r="F2269" s="45">
        <v>-271646023.3016114</v>
      </c>
      <c r="G2269" s="42" t="s">
        <v>763</v>
      </c>
      <c r="H2269" s="42" t="s">
        <v>108</v>
      </c>
      <c r="I2269" s="42" t="s">
        <v>893</v>
      </c>
    </row>
    <row r="2270" spans="1:9">
      <c r="A2270" s="42" t="s">
        <v>897</v>
      </c>
      <c r="B2270" s="42" t="s">
        <v>241</v>
      </c>
      <c r="C2270" s="42" t="s">
        <v>914</v>
      </c>
      <c r="D2270" s="42" t="s">
        <v>695</v>
      </c>
      <c r="E2270" s="42" t="s">
        <v>762</v>
      </c>
      <c r="F2270" s="45">
        <v>139728598.4036891</v>
      </c>
      <c r="G2270" s="42" t="s">
        <v>763</v>
      </c>
      <c r="H2270" s="42" t="s">
        <v>108</v>
      </c>
      <c r="I2270" s="42" t="s">
        <v>893</v>
      </c>
    </row>
    <row r="2271" spans="1:9">
      <c r="A2271" s="42" t="s">
        <v>897</v>
      </c>
      <c r="B2271" s="42" t="s">
        <v>310</v>
      </c>
      <c r="C2271" s="42" t="s">
        <v>915</v>
      </c>
      <c r="D2271" s="42" t="s">
        <v>695</v>
      </c>
      <c r="E2271" s="42" t="s">
        <v>762</v>
      </c>
      <c r="F2271" s="45">
        <v>611494393.9953299</v>
      </c>
      <c r="G2271" s="42" t="s">
        <v>763</v>
      </c>
      <c r="H2271" s="42" t="s">
        <v>108</v>
      </c>
      <c r="I2271" s="42" t="s">
        <v>893</v>
      </c>
    </row>
    <row r="2272" spans="1:9">
      <c r="A2272" s="42" t="s">
        <v>897</v>
      </c>
      <c r="B2272" s="42" t="s">
        <v>305</v>
      </c>
      <c r="C2272" s="42" t="s">
        <v>916</v>
      </c>
      <c r="D2272" s="42" t="s">
        <v>695</v>
      </c>
      <c r="E2272" s="42" t="s">
        <v>762</v>
      </c>
      <c r="F2272" s="45">
        <v>-23786685.27686946</v>
      </c>
      <c r="G2272" s="42" t="s">
        <v>763</v>
      </c>
      <c r="H2272" s="42" t="s">
        <v>108</v>
      </c>
      <c r="I2272" s="42" t="s">
        <v>893</v>
      </c>
    </row>
    <row r="2273" spans="1:9">
      <c r="A2273" s="42" t="s">
        <v>897</v>
      </c>
      <c r="B2273" s="42" t="s">
        <v>306</v>
      </c>
      <c r="C2273" s="42" t="s">
        <v>917</v>
      </c>
      <c r="D2273" s="42" t="s">
        <v>695</v>
      </c>
      <c r="E2273" s="42" t="s">
        <v>762</v>
      </c>
      <c r="F2273" s="45">
        <v>94191118.81687872</v>
      </c>
      <c r="G2273" s="42" t="s">
        <v>763</v>
      </c>
      <c r="H2273" s="42" t="s">
        <v>108</v>
      </c>
      <c r="I2273" s="42" t="s">
        <v>893</v>
      </c>
    </row>
    <row r="2274" spans="1:9">
      <c r="A2274" s="42" t="s">
        <v>897</v>
      </c>
      <c r="B2274" s="42" t="s">
        <v>309</v>
      </c>
      <c r="C2274" s="42" t="s">
        <v>918</v>
      </c>
      <c r="D2274" s="42" t="s">
        <v>695</v>
      </c>
      <c r="E2274" s="42" t="s">
        <v>762</v>
      </c>
      <c r="F2274" s="45">
        <v>16681841.29024121</v>
      </c>
      <c r="G2274" s="42" t="s">
        <v>763</v>
      </c>
      <c r="H2274" s="42" t="s">
        <v>108</v>
      </c>
      <c r="I2274" s="42" t="s">
        <v>893</v>
      </c>
    </row>
    <row r="2275" spans="1:9">
      <c r="A2275" s="42" t="s">
        <v>897</v>
      </c>
      <c r="B2275" s="42" t="s">
        <v>242</v>
      </c>
      <c r="C2275" s="42" t="s">
        <v>920</v>
      </c>
      <c r="D2275" s="42" t="s">
        <v>695</v>
      </c>
      <c r="E2275" s="42" t="s">
        <v>762</v>
      </c>
      <c r="F2275" s="45">
        <v>9244606.941665424</v>
      </c>
      <c r="G2275" s="42" t="s">
        <v>763</v>
      </c>
      <c r="H2275" s="42" t="s">
        <v>108</v>
      </c>
      <c r="I2275" s="42" t="s">
        <v>893</v>
      </c>
    </row>
    <row r="2276" spans="1:9">
      <c r="A2276" s="42" t="s">
        <v>897</v>
      </c>
      <c r="B2276" s="42" t="s">
        <v>302</v>
      </c>
      <c r="C2276" s="42" t="s">
        <v>921</v>
      </c>
      <c r="D2276" s="42" t="s">
        <v>695</v>
      </c>
      <c r="E2276" s="42" t="s">
        <v>762</v>
      </c>
      <c r="F2276" s="45">
        <v>16120932.55445476</v>
      </c>
      <c r="G2276" s="42" t="s">
        <v>763</v>
      </c>
      <c r="H2276" s="42" t="s">
        <v>108</v>
      </c>
      <c r="I2276" s="42" t="s">
        <v>893</v>
      </c>
    </row>
    <row r="2277" spans="1:9">
      <c r="A2277" s="42" t="s">
        <v>897</v>
      </c>
      <c r="B2277" s="42" t="s">
        <v>326</v>
      </c>
      <c r="C2277" s="42" t="s">
        <v>922</v>
      </c>
      <c r="D2277" s="42" t="s">
        <v>695</v>
      </c>
      <c r="E2277" s="42" t="s">
        <v>762</v>
      </c>
      <c r="F2277" s="45">
        <v>16848036.47121496</v>
      </c>
      <c r="G2277" s="42" t="s">
        <v>763</v>
      </c>
      <c r="H2277" s="42" t="s">
        <v>108</v>
      </c>
      <c r="I2277" s="42" t="s">
        <v>893</v>
      </c>
    </row>
    <row r="2278" spans="1:9">
      <c r="A2278" s="42" t="s">
        <v>897</v>
      </c>
      <c r="B2278" s="42" t="s">
        <v>371</v>
      </c>
      <c r="C2278" s="42" t="s">
        <v>923</v>
      </c>
      <c r="D2278" s="42" t="s">
        <v>695</v>
      </c>
      <c r="E2278" s="42" t="s">
        <v>762</v>
      </c>
      <c r="F2278" s="45">
        <v>15746993.3972638</v>
      </c>
      <c r="G2278" s="42" t="s">
        <v>763</v>
      </c>
      <c r="H2278" s="42" t="s">
        <v>98</v>
      </c>
      <c r="I2278" s="42" t="s">
        <v>866</v>
      </c>
    </row>
    <row r="2279" spans="1:9">
      <c r="A2279" s="42" t="s">
        <v>897</v>
      </c>
      <c r="B2279" s="42" t="s">
        <v>327</v>
      </c>
      <c r="C2279" s="42" t="s">
        <v>1009</v>
      </c>
      <c r="D2279" s="42" t="s">
        <v>695</v>
      </c>
      <c r="E2279" s="42" t="s">
        <v>762</v>
      </c>
      <c r="F2279" s="45">
        <v>15746993.3972638</v>
      </c>
      <c r="G2279" s="42" t="s">
        <v>763</v>
      </c>
      <c r="H2279" s="42" t="s">
        <v>108</v>
      </c>
      <c r="I2279" s="42" t="s">
        <v>893</v>
      </c>
    </row>
    <row r="2280" spans="1:9">
      <c r="A2280" s="42" t="s">
        <v>897</v>
      </c>
      <c r="B2280" s="42" t="s">
        <v>328</v>
      </c>
      <c r="C2280" s="42" t="s">
        <v>924</v>
      </c>
      <c r="D2280" s="42" t="s">
        <v>695</v>
      </c>
      <c r="E2280" s="42" t="s">
        <v>762</v>
      </c>
      <c r="F2280" s="45">
        <v>-144485935.459063</v>
      </c>
      <c r="G2280" s="42" t="s">
        <v>763</v>
      </c>
      <c r="H2280" s="42" t="s">
        <v>108</v>
      </c>
      <c r="I2280" s="42" t="s">
        <v>893</v>
      </c>
    </row>
    <row r="2281" spans="1:9">
      <c r="A2281" s="42" t="s">
        <v>897</v>
      </c>
      <c r="B2281" s="42" t="s">
        <v>329</v>
      </c>
      <c r="C2281" s="42" t="s">
        <v>925</v>
      </c>
      <c r="D2281" s="42" t="s">
        <v>695</v>
      </c>
      <c r="E2281" s="42" t="s">
        <v>762</v>
      </c>
      <c r="F2281" s="45">
        <v>4510890376.387427</v>
      </c>
      <c r="G2281" s="42" t="s">
        <v>763</v>
      </c>
      <c r="H2281" s="42" t="s">
        <v>108</v>
      </c>
      <c r="I2281" s="42" t="s">
        <v>893</v>
      </c>
    </row>
    <row r="2282" spans="1:9">
      <c r="A2282" s="42" t="s">
        <v>897</v>
      </c>
      <c r="B2282" s="42" t="s">
        <v>372</v>
      </c>
      <c r="C2282" s="42" t="s">
        <v>926</v>
      </c>
      <c r="D2282" s="42" t="s">
        <v>695</v>
      </c>
      <c r="E2282" s="42" t="s">
        <v>762</v>
      </c>
      <c r="F2282" s="45">
        <v>19881098.52398609</v>
      </c>
      <c r="G2282" s="42" t="s">
        <v>763</v>
      </c>
      <c r="H2282" s="42" t="s">
        <v>108</v>
      </c>
      <c r="I2282" s="42" t="s">
        <v>896</v>
      </c>
    </row>
    <row r="2283" spans="1:9">
      <c r="A2283" s="42" t="s">
        <v>897</v>
      </c>
      <c r="B2283" s="42" t="s">
        <v>376</v>
      </c>
      <c r="C2283" s="42" t="s">
        <v>1010</v>
      </c>
      <c r="D2283" s="42" t="s">
        <v>695</v>
      </c>
      <c r="E2283" s="42" t="s">
        <v>762</v>
      </c>
      <c r="F2283" s="45">
        <v>7935819.891497062</v>
      </c>
      <c r="G2283" s="42" t="s">
        <v>763</v>
      </c>
      <c r="H2283" s="42" t="s">
        <v>98</v>
      </c>
      <c r="I2283" s="42" t="s">
        <v>865</v>
      </c>
    </row>
    <row r="2284" spans="1:9">
      <c r="A2284" s="42" t="s">
        <v>897</v>
      </c>
      <c r="B2284" s="42" t="s">
        <v>330</v>
      </c>
      <c r="C2284" s="42" t="s">
        <v>927</v>
      </c>
      <c r="D2284" s="42" t="s">
        <v>695</v>
      </c>
      <c r="E2284" s="42" t="s">
        <v>762</v>
      </c>
      <c r="F2284" s="45">
        <v>-3354130368.014812</v>
      </c>
      <c r="G2284" s="42" t="s">
        <v>763</v>
      </c>
      <c r="H2284" s="42" t="s">
        <v>108</v>
      </c>
      <c r="I2284" s="42" t="s">
        <v>893</v>
      </c>
    </row>
    <row r="2285" spans="1:9">
      <c r="A2285" s="42" t="s">
        <v>897</v>
      </c>
      <c r="B2285" s="42" t="s">
        <v>380</v>
      </c>
      <c r="C2285" s="42" t="s">
        <v>1011</v>
      </c>
      <c r="D2285" s="42" t="s">
        <v>695</v>
      </c>
      <c r="E2285" s="42" t="s">
        <v>762</v>
      </c>
      <c r="F2285" s="45">
        <v>7935819.891497062</v>
      </c>
      <c r="G2285" s="42" t="s">
        <v>763</v>
      </c>
      <c r="H2285" s="42" t="s">
        <v>88</v>
      </c>
      <c r="I2285" s="42" t="s">
        <v>809</v>
      </c>
    </row>
    <row r="2286" spans="1:9">
      <c r="A2286" s="42" t="s">
        <v>897</v>
      </c>
      <c r="B2286" s="42" t="s">
        <v>332</v>
      </c>
      <c r="C2286" s="42" t="s">
        <v>932</v>
      </c>
      <c r="D2286" s="42" t="s">
        <v>695</v>
      </c>
      <c r="E2286" s="42" t="s">
        <v>762</v>
      </c>
      <c r="F2286" s="45">
        <v>-100257242.922421</v>
      </c>
      <c r="G2286" s="42" t="s">
        <v>763</v>
      </c>
      <c r="H2286" s="42" t="s">
        <v>108</v>
      </c>
      <c r="I2286" s="42" t="s">
        <v>893</v>
      </c>
    </row>
    <row r="2287" spans="1:9">
      <c r="A2287" s="42" t="s">
        <v>897</v>
      </c>
      <c r="B2287" s="42" t="s">
        <v>384</v>
      </c>
      <c r="C2287" s="42" t="s">
        <v>1012</v>
      </c>
      <c r="D2287" s="42" t="s">
        <v>695</v>
      </c>
      <c r="E2287" s="42" t="s">
        <v>762</v>
      </c>
      <c r="F2287" s="45">
        <v>7935819.891497062</v>
      </c>
      <c r="G2287" s="42" t="s">
        <v>763</v>
      </c>
      <c r="H2287" s="42" t="s">
        <v>108</v>
      </c>
      <c r="I2287" s="42" t="s">
        <v>822</v>
      </c>
    </row>
    <row r="2288" spans="1:9">
      <c r="A2288" s="42" t="s">
        <v>897</v>
      </c>
      <c r="B2288" s="42" t="s">
        <v>334</v>
      </c>
      <c r="C2288" s="42" t="s">
        <v>933</v>
      </c>
      <c r="D2288" s="42" t="s">
        <v>695</v>
      </c>
      <c r="E2288" s="42" t="s">
        <v>762</v>
      </c>
      <c r="F2288" s="45">
        <v>22083184.67188842</v>
      </c>
      <c r="G2288" s="42" t="s">
        <v>763</v>
      </c>
      <c r="H2288" s="42" t="s">
        <v>108</v>
      </c>
      <c r="I2288" s="42" t="s">
        <v>893</v>
      </c>
    </row>
    <row r="2289" spans="1:9">
      <c r="A2289" s="42" t="s">
        <v>897</v>
      </c>
      <c r="B2289" s="42" t="s">
        <v>934</v>
      </c>
      <c r="C2289" s="42" t="s">
        <v>971</v>
      </c>
      <c r="D2289" s="42" t="s">
        <v>695</v>
      </c>
      <c r="E2289" s="42" t="s">
        <v>762</v>
      </c>
      <c r="F2289" s="45">
        <v>-1941492104.135469</v>
      </c>
      <c r="G2289" s="42" t="s">
        <v>763</v>
      </c>
      <c r="H2289" s="42" t="s">
        <v>88</v>
      </c>
      <c r="I2289" s="42" t="s">
        <v>809</v>
      </c>
    </row>
    <row r="2290" spans="1:9">
      <c r="A2290" s="42" t="s">
        <v>897</v>
      </c>
      <c r="B2290" s="42" t="s">
        <v>336</v>
      </c>
      <c r="C2290" s="42" t="s">
        <v>938</v>
      </c>
      <c r="D2290" s="42" t="s">
        <v>695</v>
      </c>
      <c r="E2290" s="42" t="s">
        <v>762</v>
      </c>
      <c r="F2290" s="45">
        <v>-3404487507.849861</v>
      </c>
      <c r="G2290" s="42" t="s">
        <v>763</v>
      </c>
      <c r="H2290" s="42" t="s">
        <v>108</v>
      </c>
      <c r="I2290" s="42" t="s">
        <v>893</v>
      </c>
    </row>
    <row r="2291" spans="1:9">
      <c r="A2291" s="42" t="s">
        <v>897</v>
      </c>
      <c r="B2291" s="42" t="s">
        <v>386</v>
      </c>
      <c r="C2291" s="42" t="s">
        <v>1013</v>
      </c>
      <c r="D2291" s="42" t="s">
        <v>695</v>
      </c>
      <c r="E2291" s="42" t="s">
        <v>762</v>
      </c>
      <c r="F2291" s="45">
        <v>-12111473.81346279</v>
      </c>
      <c r="G2291" s="42" t="s">
        <v>763</v>
      </c>
      <c r="H2291" s="42" t="s">
        <v>88</v>
      </c>
      <c r="I2291" s="42" t="s">
        <v>809</v>
      </c>
    </row>
    <row r="2292" spans="1:9">
      <c r="A2292" s="42" t="s">
        <v>897</v>
      </c>
      <c r="B2292" s="42" t="s">
        <v>337</v>
      </c>
      <c r="C2292" s="42" t="s">
        <v>991</v>
      </c>
      <c r="D2292" s="42" t="s">
        <v>695</v>
      </c>
      <c r="E2292" s="42" t="s">
        <v>762</v>
      </c>
      <c r="F2292" s="45">
        <v>-1941492104.135469</v>
      </c>
      <c r="G2292" s="42" t="s">
        <v>763</v>
      </c>
      <c r="H2292" s="42" t="s">
        <v>108</v>
      </c>
      <c r="I2292" s="42" t="s">
        <v>893</v>
      </c>
    </row>
    <row r="2293" spans="1:9">
      <c r="A2293" s="42" t="s">
        <v>897</v>
      </c>
      <c r="B2293" s="42" t="s">
        <v>338</v>
      </c>
      <c r="C2293" s="42" t="s">
        <v>972</v>
      </c>
      <c r="D2293" s="42" t="s">
        <v>695</v>
      </c>
      <c r="E2293" s="42" t="s">
        <v>762</v>
      </c>
      <c r="F2293" s="45">
        <v>-864339587.4492847</v>
      </c>
      <c r="G2293" s="42" t="s">
        <v>763</v>
      </c>
      <c r="H2293" s="42" t="s">
        <v>108</v>
      </c>
      <c r="I2293" s="42" t="s">
        <v>893</v>
      </c>
    </row>
    <row r="2294" spans="1:9">
      <c r="A2294" s="42" t="s">
        <v>897</v>
      </c>
      <c r="B2294" s="42" t="s">
        <v>939</v>
      </c>
      <c r="C2294" s="42" t="s">
        <v>973</v>
      </c>
      <c r="D2294" s="42" t="s">
        <v>695</v>
      </c>
      <c r="E2294" s="42" t="s">
        <v>762</v>
      </c>
      <c r="F2294" s="45">
        <v>2022408382.872069</v>
      </c>
      <c r="G2294" s="42" t="s">
        <v>763</v>
      </c>
      <c r="H2294" s="42" t="s">
        <v>108</v>
      </c>
      <c r="I2294" s="42" t="s">
        <v>893</v>
      </c>
    </row>
    <row r="2295" spans="1:9">
      <c r="A2295" s="42" t="s">
        <v>897</v>
      </c>
      <c r="B2295" s="42" t="s">
        <v>943</v>
      </c>
      <c r="C2295" s="42" t="s">
        <v>974</v>
      </c>
      <c r="D2295" s="42" t="s">
        <v>695</v>
      </c>
      <c r="E2295" s="42" t="s">
        <v>762</v>
      </c>
      <c r="F2295" s="45">
        <v>-47781114.52995612</v>
      </c>
      <c r="G2295" s="42" t="s">
        <v>763</v>
      </c>
      <c r="H2295" s="42" t="s">
        <v>108</v>
      </c>
      <c r="I2295" s="42" t="s">
        <v>822</v>
      </c>
    </row>
    <row r="2296" spans="1:9">
      <c r="A2296" s="42" t="s">
        <v>897</v>
      </c>
      <c r="B2296" s="42" t="s">
        <v>941</v>
      </c>
      <c r="C2296" s="42" t="s">
        <v>977</v>
      </c>
      <c r="D2296" s="42" t="s">
        <v>695</v>
      </c>
      <c r="E2296" s="42" t="s">
        <v>762</v>
      </c>
      <c r="F2296" s="45">
        <v>-5816831.334081615</v>
      </c>
      <c r="G2296" s="42" t="s">
        <v>763</v>
      </c>
      <c r="H2296" s="42" t="s">
        <v>108</v>
      </c>
      <c r="I2296" s="42" t="s">
        <v>893</v>
      </c>
    </row>
    <row r="2297" spans="1:9">
      <c r="A2297" s="42" t="s">
        <v>897</v>
      </c>
      <c r="B2297" s="42" t="s">
        <v>342</v>
      </c>
      <c r="C2297" s="42" t="s">
        <v>1014</v>
      </c>
      <c r="D2297" s="42" t="s">
        <v>695</v>
      </c>
      <c r="E2297" s="42" t="s">
        <v>762</v>
      </c>
      <c r="F2297" s="45">
        <v>-315937039.0311186</v>
      </c>
      <c r="G2297" s="42" t="s">
        <v>763</v>
      </c>
      <c r="H2297" s="42" t="s">
        <v>108</v>
      </c>
      <c r="I2297" s="42" t="s">
        <v>893</v>
      </c>
    </row>
    <row r="2298" spans="1:9">
      <c r="A2298" s="42" t="s">
        <v>897</v>
      </c>
      <c r="B2298" s="42" t="s">
        <v>392</v>
      </c>
      <c r="C2298" s="42" t="s">
        <v>1015</v>
      </c>
      <c r="D2298" s="42" t="s">
        <v>695</v>
      </c>
      <c r="E2298" s="42" t="s">
        <v>762</v>
      </c>
      <c r="F2298" s="45">
        <v>475650607.9469024</v>
      </c>
      <c r="G2298" s="42" t="s">
        <v>763</v>
      </c>
      <c r="H2298" s="42" t="s">
        <v>108</v>
      </c>
      <c r="I2298" s="42" t="s">
        <v>864</v>
      </c>
    </row>
    <row r="2299" spans="1:9">
      <c r="A2299" s="42" t="s">
        <v>897</v>
      </c>
      <c r="B2299" s="42" t="s">
        <v>343</v>
      </c>
      <c r="C2299" s="42" t="s">
        <v>1016</v>
      </c>
      <c r="D2299" s="42" t="s">
        <v>695</v>
      </c>
      <c r="E2299" s="42" t="s">
        <v>762</v>
      </c>
      <c r="F2299" s="45">
        <v>-12111473.81346279</v>
      </c>
      <c r="G2299" s="42" t="s">
        <v>763</v>
      </c>
      <c r="H2299" s="42" t="s">
        <v>108</v>
      </c>
      <c r="I2299" s="42" t="s">
        <v>893</v>
      </c>
    </row>
    <row r="2300" spans="1:9">
      <c r="A2300" s="42" t="s">
        <v>897</v>
      </c>
      <c r="B2300" s="42" t="s">
        <v>393</v>
      </c>
      <c r="C2300" s="42" t="s">
        <v>953</v>
      </c>
      <c r="D2300" s="42" t="s">
        <v>695</v>
      </c>
      <c r="E2300" s="42" t="s">
        <v>762</v>
      </c>
      <c r="F2300" s="45">
        <v>475650607.9469024</v>
      </c>
      <c r="G2300" s="42" t="s">
        <v>763</v>
      </c>
      <c r="H2300" s="42" t="s">
        <v>98</v>
      </c>
      <c r="I2300" s="42" t="s">
        <v>817</v>
      </c>
    </row>
    <row r="2301" spans="1:9">
      <c r="A2301" s="42" t="s">
        <v>897</v>
      </c>
      <c r="B2301" s="42" t="s">
        <v>394</v>
      </c>
      <c r="C2301" s="42" t="s">
        <v>992</v>
      </c>
      <c r="D2301" s="42" t="s">
        <v>695</v>
      </c>
      <c r="E2301" s="42" t="s">
        <v>762</v>
      </c>
      <c r="F2301" s="45">
        <v>416983709.0631649</v>
      </c>
      <c r="G2301" s="42" t="s">
        <v>763</v>
      </c>
      <c r="H2301" s="42" t="s">
        <v>98</v>
      </c>
      <c r="I2301" s="42" t="s">
        <v>891</v>
      </c>
    </row>
    <row r="2302" spans="1:9">
      <c r="A2302" s="42" t="s">
        <v>897</v>
      </c>
      <c r="B2302" s="42" t="s">
        <v>344</v>
      </c>
      <c r="C2302" s="42" t="s">
        <v>980</v>
      </c>
      <c r="D2302" s="42" t="s">
        <v>695</v>
      </c>
      <c r="E2302" s="42" t="s">
        <v>762</v>
      </c>
      <c r="F2302" s="45">
        <v>-1165069767.421304</v>
      </c>
      <c r="G2302" s="42" t="s">
        <v>763</v>
      </c>
      <c r="H2302" s="42" t="s">
        <v>108</v>
      </c>
      <c r="I2302" s="42" t="s">
        <v>893</v>
      </c>
    </row>
    <row r="2303" spans="1:9">
      <c r="A2303" s="42" t="s">
        <v>897</v>
      </c>
      <c r="B2303" s="42" t="s">
        <v>394</v>
      </c>
      <c r="C2303" s="42" t="s">
        <v>993</v>
      </c>
      <c r="D2303" s="42" t="s">
        <v>695</v>
      </c>
      <c r="E2303" s="42" t="s">
        <v>762</v>
      </c>
      <c r="F2303" s="45">
        <v>416983709.0631649</v>
      </c>
      <c r="G2303" s="42" t="s">
        <v>763</v>
      </c>
      <c r="H2303" s="42" t="s">
        <v>98</v>
      </c>
      <c r="I2303" s="42" t="s">
        <v>891</v>
      </c>
    </row>
    <row r="2304" spans="1:9">
      <c r="A2304" s="42" t="s">
        <v>897</v>
      </c>
      <c r="B2304" s="42" t="s">
        <v>346</v>
      </c>
      <c r="C2304" s="42" t="s">
        <v>956</v>
      </c>
      <c r="D2304" s="42" t="s">
        <v>695</v>
      </c>
      <c r="E2304" s="42" t="s">
        <v>762</v>
      </c>
      <c r="F2304" s="45">
        <v>416983709.0631649</v>
      </c>
      <c r="G2304" s="42" t="s">
        <v>763</v>
      </c>
      <c r="H2304" s="42" t="s">
        <v>108</v>
      </c>
      <c r="I2304" s="42" t="s">
        <v>893</v>
      </c>
    </row>
    <row r="2305" spans="1:9">
      <c r="A2305" s="42" t="s">
        <v>897</v>
      </c>
      <c r="B2305" s="42" t="s">
        <v>347</v>
      </c>
      <c r="C2305" s="42" t="s">
        <v>981</v>
      </c>
      <c r="D2305" s="42" t="s">
        <v>695</v>
      </c>
      <c r="E2305" s="42" t="s">
        <v>762</v>
      </c>
      <c r="F2305" s="45">
        <v>1221193327.038086</v>
      </c>
      <c r="G2305" s="42" t="s">
        <v>763</v>
      </c>
      <c r="H2305" s="42" t="s">
        <v>108</v>
      </c>
      <c r="I2305" s="42" t="s">
        <v>893</v>
      </c>
    </row>
    <row r="2306" spans="1:9">
      <c r="A2306" s="42" t="s">
        <v>897</v>
      </c>
      <c r="B2306" s="42" t="s">
        <v>348</v>
      </c>
      <c r="C2306" s="42" t="s">
        <v>982</v>
      </c>
      <c r="D2306" s="42" t="s">
        <v>695</v>
      </c>
      <c r="E2306" s="42" t="s">
        <v>762</v>
      </c>
      <c r="F2306" s="45">
        <v>1103771171.166236</v>
      </c>
      <c r="G2306" s="42" t="s">
        <v>763</v>
      </c>
      <c r="H2306" s="42" t="s">
        <v>108</v>
      </c>
      <c r="I2306" s="42" t="s">
        <v>893</v>
      </c>
    </row>
    <row r="2307" spans="1:9">
      <c r="A2307" s="42" t="s">
        <v>897</v>
      </c>
      <c r="B2307" s="42" t="s">
        <v>346</v>
      </c>
      <c r="C2307" s="42" t="s">
        <v>961</v>
      </c>
      <c r="D2307" s="42" t="s">
        <v>695</v>
      </c>
      <c r="E2307" s="42" t="s">
        <v>762</v>
      </c>
      <c r="F2307" s="45">
        <v>416983709.0631649</v>
      </c>
      <c r="G2307" s="42" t="s">
        <v>763</v>
      </c>
      <c r="H2307" s="42" t="s">
        <v>108</v>
      </c>
      <c r="I2307" s="42" t="s">
        <v>893</v>
      </c>
    </row>
    <row r="2308" spans="1:9">
      <c r="A2308" s="42" t="s">
        <v>897</v>
      </c>
      <c r="B2308" s="42" t="s">
        <v>313</v>
      </c>
      <c r="C2308" s="42" t="s">
        <v>994</v>
      </c>
      <c r="D2308" s="42" t="s">
        <v>844</v>
      </c>
      <c r="E2308" s="42" t="s">
        <v>808</v>
      </c>
      <c r="F2308" s="45">
        <v>-209200066.6118106</v>
      </c>
      <c r="G2308" s="42" t="s">
        <v>763</v>
      </c>
      <c r="H2308" s="42" t="s">
        <v>90</v>
      </c>
      <c r="I2308" s="42" t="s">
        <v>893</v>
      </c>
    </row>
    <row r="2309" spans="1:9">
      <c r="A2309" s="42" t="s">
        <v>897</v>
      </c>
      <c r="B2309" s="42" t="s">
        <v>351</v>
      </c>
      <c r="C2309" s="42" t="s">
        <v>899</v>
      </c>
      <c r="D2309" s="42" t="s">
        <v>844</v>
      </c>
      <c r="E2309" s="42" t="s">
        <v>808</v>
      </c>
      <c r="F2309" s="45">
        <v>-40002809.25399395</v>
      </c>
      <c r="G2309" s="42" t="s">
        <v>763</v>
      </c>
      <c r="H2309" s="42" t="s">
        <v>90</v>
      </c>
      <c r="I2309" s="42" t="s">
        <v>860</v>
      </c>
    </row>
    <row r="2310" spans="1:9">
      <c r="A2310" s="42" t="s">
        <v>897</v>
      </c>
      <c r="B2310" s="42" t="s">
        <v>314</v>
      </c>
      <c r="C2310" s="42" t="s">
        <v>900</v>
      </c>
      <c r="D2310" s="42" t="s">
        <v>844</v>
      </c>
      <c r="E2310" s="42" t="s">
        <v>808</v>
      </c>
      <c r="F2310" s="45">
        <v>719691336.7261207</v>
      </c>
      <c r="G2310" s="42" t="s">
        <v>763</v>
      </c>
      <c r="H2310" s="42" t="s">
        <v>90</v>
      </c>
      <c r="I2310" s="42" t="s">
        <v>893</v>
      </c>
    </row>
    <row r="2311" spans="1:9">
      <c r="A2311" s="42" t="s">
        <v>897</v>
      </c>
      <c r="B2311" s="42" t="s">
        <v>315</v>
      </c>
      <c r="C2311" s="42" t="s">
        <v>901</v>
      </c>
      <c r="D2311" s="42" t="s">
        <v>844</v>
      </c>
      <c r="E2311" s="42" t="s">
        <v>808</v>
      </c>
      <c r="F2311" s="45">
        <v>12393429.67907574</v>
      </c>
      <c r="G2311" s="42" t="s">
        <v>763</v>
      </c>
      <c r="H2311" s="42" t="s">
        <v>90</v>
      </c>
      <c r="I2311" s="42" t="s">
        <v>893</v>
      </c>
    </row>
    <row r="2312" spans="1:9">
      <c r="A2312" s="42" t="s">
        <v>897</v>
      </c>
      <c r="B2312" s="42" t="s">
        <v>316</v>
      </c>
      <c r="C2312" s="42" t="s">
        <v>1004</v>
      </c>
      <c r="D2312" s="42" t="s">
        <v>844</v>
      </c>
      <c r="E2312" s="42" t="s">
        <v>808</v>
      </c>
      <c r="F2312" s="45">
        <v>51831734.88971634</v>
      </c>
      <c r="G2312" s="42" t="s">
        <v>763</v>
      </c>
      <c r="H2312" s="42" t="s">
        <v>90</v>
      </c>
      <c r="I2312" s="42" t="s">
        <v>893</v>
      </c>
    </row>
    <row r="2313" spans="1:9">
      <c r="A2313" s="42" t="s">
        <v>897</v>
      </c>
      <c r="B2313" s="42" t="s">
        <v>317</v>
      </c>
      <c r="C2313" s="42" t="s">
        <v>967</v>
      </c>
      <c r="D2313" s="42" t="s">
        <v>844</v>
      </c>
      <c r="E2313" s="42" t="s">
        <v>808</v>
      </c>
      <c r="F2313" s="45">
        <v>110257903.3767877</v>
      </c>
      <c r="G2313" s="42" t="s">
        <v>763</v>
      </c>
      <c r="H2313" s="42" t="s">
        <v>90</v>
      </c>
      <c r="I2313" s="42" t="s">
        <v>893</v>
      </c>
    </row>
    <row r="2314" spans="1:9">
      <c r="A2314" s="42" t="s">
        <v>897</v>
      </c>
      <c r="B2314" s="42" t="s">
        <v>318</v>
      </c>
      <c r="C2314" s="42" t="s">
        <v>904</v>
      </c>
      <c r="D2314" s="42" t="s">
        <v>844</v>
      </c>
      <c r="E2314" s="42" t="s">
        <v>808</v>
      </c>
      <c r="F2314" s="45">
        <v>727850986.0800464</v>
      </c>
      <c r="G2314" s="42" t="s">
        <v>763</v>
      </c>
      <c r="H2314" s="42" t="s">
        <v>90</v>
      </c>
      <c r="I2314" s="42" t="s">
        <v>893</v>
      </c>
    </row>
    <row r="2315" spans="1:9">
      <c r="A2315" s="42" t="s">
        <v>897</v>
      </c>
      <c r="B2315" s="42" t="s">
        <v>319</v>
      </c>
      <c r="C2315" s="42" t="s">
        <v>907</v>
      </c>
      <c r="D2315" s="42" t="s">
        <v>844</v>
      </c>
      <c r="E2315" s="42" t="s">
        <v>808</v>
      </c>
      <c r="F2315" s="45">
        <v>82443249.60428643</v>
      </c>
      <c r="G2315" s="42" t="s">
        <v>763</v>
      </c>
      <c r="H2315" s="42" t="s">
        <v>90</v>
      </c>
      <c r="I2315" s="42" t="s">
        <v>893</v>
      </c>
    </row>
    <row r="2316" spans="1:9">
      <c r="A2316" s="42" t="s">
        <v>897</v>
      </c>
      <c r="B2316" s="42" t="s">
        <v>357</v>
      </c>
      <c r="C2316" s="42" t="s">
        <v>908</v>
      </c>
      <c r="D2316" s="42" t="s">
        <v>844</v>
      </c>
      <c r="E2316" s="42" t="s">
        <v>808</v>
      </c>
      <c r="F2316" s="45">
        <v>-216359004.2525189</v>
      </c>
      <c r="G2316" s="42" t="s">
        <v>763</v>
      </c>
      <c r="H2316" s="42" t="s">
        <v>90</v>
      </c>
      <c r="I2316" s="42" t="s">
        <v>864</v>
      </c>
    </row>
    <row r="2317" spans="1:9">
      <c r="A2317" s="42" t="s">
        <v>897</v>
      </c>
      <c r="B2317" s="42" t="s">
        <v>358</v>
      </c>
      <c r="C2317" s="42" t="s">
        <v>996</v>
      </c>
      <c r="D2317" s="42" t="s">
        <v>844</v>
      </c>
      <c r="E2317" s="42" t="s">
        <v>808</v>
      </c>
      <c r="F2317" s="45">
        <v>2642905.293881576</v>
      </c>
      <c r="G2317" s="42" t="s">
        <v>763</v>
      </c>
      <c r="H2317" s="42" t="s">
        <v>90</v>
      </c>
      <c r="I2317" s="42" t="s">
        <v>860</v>
      </c>
    </row>
    <row r="2318" spans="1:9">
      <c r="A2318" s="42" t="s">
        <v>897</v>
      </c>
      <c r="B2318" s="42" t="s">
        <v>293</v>
      </c>
      <c r="C2318" s="42" t="s">
        <v>912</v>
      </c>
      <c r="D2318" s="42" t="s">
        <v>844</v>
      </c>
      <c r="E2318" s="42" t="s">
        <v>808</v>
      </c>
      <c r="F2318" s="45">
        <v>-35461117.6324693</v>
      </c>
      <c r="G2318" s="42" t="s">
        <v>763</v>
      </c>
      <c r="H2318" s="42" t="s">
        <v>90</v>
      </c>
      <c r="I2318" s="42" t="s">
        <v>893</v>
      </c>
    </row>
    <row r="2319" spans="1:9">
      <c r="A2319" s="42" t="s">
        <v>897</v>
      </c>
      <c r="B2319" s="42" t="s">
        <v>369</v>
      </c>
      <c r="C2319" s="42" t="s">
        <v>970</v>
      </c>
      <c r="D2319" s="42" t="s">
        <v>844</v>
      </c>
      <c r="E2319" s="42" t="s">
        <v>808</v>
      </c>
      <c r="F2319" s="45">
        <v>-22118294.78957202</v>
      </c>
      <c r="G2319" s="42" t="s">
        <v>763</v>
      </c>
      <c r="H2319" s="42" t="s">
        <v>90</v>
      </c>
      <c r="I2319" s="42" t="s">
        <v>886</v>
      </c>
    </row>
    <row r="2320" spans="1:9">
      <c r="A2320" s="42" t="s">
        <v>897</v>
      </c>
      <c r="B2320" s="42" t="s">
        <v>292</v>
      </c>
      <c r="C2320" s="42" t="s">
        <v>913</v>
      </c>
      <c r="D2320" s="42" t="s">
        <v>844</v>
      </c>
      <c r="E2320" s="42" t="s">
        <v>808</v>
      </c>
      <c r="F2320" s="45">
        <v>-86677029.92943653</v>
      </c>
      <c r="G2320" s="42" t="s">
        <v>763</v>
      </c>
      <c r="H2320" s="42" t="s">
        <v>90</v>
      </c>
      <c r="I2320" s="42" t="s">
        <v>893</v>
      </c>
    </row>
    <row r="2321" spans="1:9">
      <c r="A2321" s="42" t="s">
        <v>897</v>
      </c>
      <c r="B2321" s="42" t="s">
        <v>241</v>
      </c>
      <c r="C2321" s="42" t="s">
        <v>914</v>
      </c>
      <c r="D2321" s="42" t="s">
        <v>844</v>
      </c>
      <c r="E2321" s="42" t="s">
        <v>808</v>
      </c>
      <c r="F2321" s="45">
        <v>-107717635.1816976</v>
      </c>
      <c r="G2321" s="42" t="s">
        <v>763</v>
      </c>
      <c r="H2321" s="42" t="s">
        <v>90</v>
      </c>
      <c r="I2321" s="42" t="s">
        <v>893</v>
      </c>
    </row>
    <row r="2322" spans="1:9">
      <c r="A2322" s="42" t="s">
        <v>897</v>
      </c>
      <c r="B2322" s="42" t="s">
        <v>310</v>
      </c>
      <c r="C2322" s="42" t="s">
        <v>915</v>
      </c>
      <c r="D2322" s="42" t="s">
        <v>844</v>
      </c>
      <c r="E2322" s="42" t="s">
        <v>808</v>
      </c>
      <c r="F2322" s="45">
        <v>141767492.7057835</v>
      </c>
      <c r="G2322" s="42" t="s">
        <v>763</v>
      </c>
      <c r="H2322" s="42" t="s">
        <v>90</v>
      </c>
      <c r="I2322" s="42" t="s">
        <v>893</v>
      </c>
    </row>
    <row r="2323" spans="1:9">
      <c r="A2323" s="42" t="s">
        <v>897</v>
      </c>
      <c r="B2323" s="42" t="s">
        <v>305</v>
      </c>
      <c r="C2323" s="42" t="s">
        <v>916</v>
      </c>
      <c r="D2323" s="42" t="s">
        <v>844</v>
      </c>
      <c r="E2323" s="42" t="s">
        <v>808</v>
      </c>
      <c r="F2323" s="45">
        <v>49907289.28737539</v>
      </c>
      <c r="G2323" s="42" t="s">
        <v>763</v>
      </c>
      <c r="H2323" s="42" t="s">
        <v>90</v>
      </c>
      <c r="I2323" s="42" t="s">
        <v>893</v>
      </c>
    </row>
    <row r="2324" spans="1:9">
      <c r="A2324" s="42" t="s">
        <v>897</v>
      </c>
      <c r="B2324" s="42" t="s">
        <v>306</v>
      </c>
      <c r="C2324" s="42" t="s">
        <v>917</v>
      </c>
      <c r="D2324" s="42" t="s">
        <v>844</v>
      </c>
      <c r="E2324" s="42" t="s">
        <v>808</v>
      </c>
      <c r="F2324" s="45">
        <v>-10853873.19720297</v>
      </c>
      <c r="G2324" s="42" t="s">
        <v>763</v>
      </c>
      <c r="H2324" s="42" t="s">
        <v>90</v>
      </c>
      <c r="I2324" s="42" t="s">
        <v>893</v>
      </c>
    </row>
    <row r="2325" spans="1:9">
      <c r="A2325" s="42" t="s">
        <v>897</v>
      </c>
      <c r="B2325" s="42" t="s">
        <v>309</v>
      </c>
      <c r="C2325" s="42" t="s">
        <v>918</v>
      </c>
      <c r="D2325" s="42" t="s">
        <v>844</v>
      </c>
      <c r="E2325" s="42" t="s">
        <v>808</v>
      </c>
      <c r="F2325" s="45">
        <v>5952951.729908016</v>
      </c>
      <c r="G2325" s="42" t="s">
        <v>763</v>
      </c>
      <c r="H2325" s="42" t="s">
        <v>90</v>
      </c>
      <c r="I2325" s="42" t="s">
        <v>893</v>
      </c>
    </row>
    <row r="2326" spans="1:9">
      <c r="A2326" s="42" t="s">
        <v>897</v>
      </c>
      <c r="B2326" s="42" t="s">
        <v>242</v>
      </c>
      <c r="C2326" s="42" t="s">
        <v>920</v>
      </c>
      <c r="D2326" s="42" t="s">
        <v>844</v>
      </c>
      <c r="E2326" s="42" t="s">
        <v>808</v>
      </c>
      <c r="F2326" s="45">
        <v>-3027794.414349766</v>
      </c>
      <c r="G2326" s="42" t="s">
        <v>763</v>
      </c>
      <c r="H2326" s="42" t="s">
        <v>90</v>
      </c>
      <c r="I2326" s="42" t="s">
        <v>893</v>
      </c>
    </row>
    <row r="2327" spans="1:9">
      <c r="A2327" s="42" t="s">
        <v>897</v>
      </c>
      <c r="B2327" s="42" t="s">
        <v>302</v>
      </c>
      <c r="C2327" s="42" t="s">
        <v>921</v>
      </c>
      <c r="D2327" s="42" t="s">
        <v>844</v>
      </c>
      <c r="E2327" s="42" t="s">
        <v>808</v>
      </c>
      <c r="F2327" s="45">
        <v>-72667065.94439439</v>
      </c>
      <c r="G2327" s="42" t="s">
        <v>763</v>
      </c>
      <c r="H2327" s="42" t="s">
        <v>90</v>
      </c>
      <c r="I2327" s="42" t="s">
        <v>893</v>
      </c>
    </row>
    <row r="2328" spans="1:9">
      <c r="A2328" s="42" t="s">
        <v>897</v>
      </c>
      <c r="B2328" s="42" t="s">
        <v>326</v>
      </c>
      <c r="C2328" s="42" t="s">
        <v>922</v>
      </c>
      <c r="D2328" s="42" t="s">
        <v>844</v>
      </c>
      <c r="E2328" s="42" t="s">
        <v>808</v>
      </c>
      <c r="F2328" s="45">
        <v>1282963.734893969</v>
      </c>
      <c r="G2328" s="42" t="s">
        <v>763</v>
      </c>
      <c r="H2328" s="42" t="s">
        <v>90</v>
      </c>
      <c r="I2328" s="42" t="s">
        <v>893</v>
      </c>
    </row>
    <row r="2329" spans="1:9">
      <c r="A2329" s="42" t="s">
        <v>897</v>
      </c>
      <c r="B2329" s="42" t="s">
        <v>370</v>
      </c>
      <c r="C2329" s="42" t="s">
        <v>1017</v>
      </c>
      <c r="D2329" s="42" t="s">
        <v>844</v>
      </c>
      <c r="E2329" s="42" t="s">
        <v>808</v>
      </c>
      <c r="F2329" s="45">
        <v>19449730.22099257</v>
      </c>
      <c r="G2329" s="42" t="s">
        <v>763</v>
      </c>
      <c r="H2329" s="42" t="s">
        <v>90</v>
      </c>
      <c r="I2329" s="42" t="s">
        <v>860</v>
      </c>
    </row>
    <row r="2330" spans="1:9">
      <c r="A2330" s="42" t="s">
        <v>897</v>
      </c>
      <c r="B2330" s="42" t="s">
        <v>328</v>
      </c>
      <c r="C2330" s="42" t="s">
        <v>924</v>
      </c>
      <c r="D2330" s="42" t="s">
        <v>844</v>
      </c>
      <c r="E2330" s="42" t="s">
        <v>808</v>
      </c>
      <c r="F2330" s="45">
        <v>-27275809.00384578</v>
      </c>
      <c r="G2330" s="42" t="s">
        <v>763</v>
      </c>
      <c r="H2330" s="42" t="s">
        <v>90</v>
      </c>
      <c r="I2330" s="42" t="s">
        <v>893</v>
      </c>
    </row>
    <row r="2331" spans="1:9">
      <c r="A2331" s="42" t="s">
        <v>897</v>
      </c>
      <c r="B2331" s="42" t="s">
        <v>329</v>
      </c>
      <c r="C2331" s="42" t="s">
        <v>925</v>
      </c>
      <c r="D2331" s="42" t="s">
        <v>844</v>
      </c>
      <c r="E2331" s="42" t="s">
        <v>808</v>
      </c>
      <c r="F2331" s="45">
        <v>1094111473.117577</v>
      </c>
      <c r="G2331" s="42" t="s">
        <v>763</v>
      </c>
      <c r="H2331" s="42" t="s">
        <v>90</v>
      </c>
      <c r="I2331" s="42" t="s">
        <v>893</v>
      </c>
    </row>
    <row r="2332" spans="1:9">
      <c r="A2332" s="42" t="s">
        <v>897</v>
      </c>
      <c r="B2332" s="42" t="s">
        <v>372</v>
      </c>
      <c r="C2332" s="42" t="s">
        <v>926</v>
      </c>
      <c r="D2332" s="42" t="s">
        <v>844</v>
      </c>
      <c r="E2332" s="42" t="s">
        <v>808</v>
      </c>
      <c r="F2332" s="45">
        <v>24555925.88587056</v>
      </c>
      <c r="G2332" s="42" t="s">
        <v>763</v>
      </c>
      <c r="H2332" s="42" t="s">
        <v>90</v>
      </c>
      <c r="I2332" s="42" t="s">
        <v>896</v>
      </c>
    </row>
    <row r="2333" spans="1:9">
      <c r="A2333" s="42" t="s">
        <v>897</v>
      </c>
      <c r="B2333" s="42" t="s">
        <v>330</v>
      </c>
      <c r="C2333" s="42" t="s">
        <v>927</v>
      </c>
      <c r="D2333" s="42" t="s">
        <v>844</v>
      </c>
      <c r="E2333" s="42" t="s">
        <v>808</v>
      </c>
      <c r="F2333" s="45">
        <v>-783377656.5262574</v>
      </c>
      <c r="G2333" s="42" t="s">
        <v>763</v>
      </c>
      <c r="H2333" s="42" t="s">
        <v>90</v>
      </c>
      <c r="I2333" s="42" t="s">
        <v>893</v>
      </c>
    </row>
    <row r="2334" spans="1:9">
      <c r="A2334" s="42" t="s">
        <v>897</v>
      </c>
      <c r="B2334" s="42" t="s">
        <v>1018</v>
      </c>
      <c r="C2334" s="42" t="s">
        <v>1019</v>
      </c>
      <c r="D2334" s="42" t="s">
        <v>844</v>
      </c>
      <c r="E2334" s="42" t="s">
        <v>808</v>
      </c>
      <c r="F2334" s="45">
        <v>-65559446.85308181</v>
      </c>
      <c r="G2334" s="42" t="s">
        <v>763</v>
      </c>
      <c r="H2334" s="42" t="s">
        <v>82</v>
      </c>
      <c r="I2334" s="42" t="s">
        <v>845</v>
      </c>
    </row>
    <row r="2335" spans="1:9">
      <c r="A2335" s="42" t="s">
        <v>897</v>
      </c>
      <c r="B2335" s="42" t="s">
        <v>336</v>
      </c>
      <c r="C2335" s="42" t="s">
        <v>938</v>
      </c>
      <c r="D2335" s="42" t="s">
        <v>844</v>
      </c>
      <c r="E2335" s="42" t="s">
        <v>808</v>
      </c>
      <c r="F2335" s="45">
        <v>-758821730.6403868</v>
      </c>
      <c r="G2335" s="42" t="s">
        <v>763</v>
      </c>
      <c r="H2335" s="42" t="s">
        <v>90</v>
      </c>
      <c r="I2335" s="42" t="s">
        <v>893</v>
      </c>
    </row>
    <row r="2336" spans="1:9">
      <c r="A2336" s="42" t="s">
        <v>897</v>
      </c>
      <c r="B2336" s="42" t="s">
        <v>945</v>
      </c>
      <c r="C2336" s="42" t="s">
        <v>946</v>
      </c>
      <c r="D2336" s="42" t="s">
        <v>844</v>
      </c>
      <c r="E2336" s="42" t="s">
        <v>808</v>
      </c>
      <c r="F2336" s="45">
        <v>1181045095.793992</v>
      </c>
      <c r="G2336" s="42" t="s">
        <v>763</v>
      </c>
      <c r="H2336" s="42" t="s">
        <v>82</v>
      </c>
      <c r="I2336" s="42" t="s">
        <v>845</v>
      </c>
    </row>
    <row r="2337" spans="1:9">
      <c r="A2337" s="42" t="s">
        <v>897</v>
      </c>
      <c r="B2337" s="42" t="s">
        <v>936</v>
      </c>
      <c r="C2337" s="42" t="s">
        <v>997</v>
      </c>
      <c r="D2337" s="42" t="s">
        <v>844</v>
      </c>
      <c r="E2337" s="42" t="s">
        <v>808</v>
      </c>
      <c r="F2337" s="45">
        <v>-221311244.2692096</v>
      </c>
      <c r="G2337" s="42" t="s">
        <v>763</v>
      </c>
      <c r="H2337" s="42" t="s">
        <v>82</v>
      </c>
      <c r="I2337" s="42" t="s">
        <v>861</v>
      </c>
    </row>
    <row r="2338" spans="1:9">
      <c r="A2338" s="42" t="s">
        <v>897</v>
      </c>
      <c r="B2338" s="42" t="s">
        <v>389</v>
      </c>
      <c r="C2338" s="42" t="s">
        <v>998</v>
      </c>
      <c r="D2338" s="42" t="s">
        <v>844</v>
      </c>
      <c r="E2338" s="42" t="s">
        <v>808</v>
      </c>
      <c r="F2338" s="45">
        <v>131811694.1230064</v>
      </c>
      <c r="G2338" s="42" t="s">
        <v>763</v>
      </c>
      <c r="H2338" s="42" t="s">
        <v>90</v>
      </c>
      <c r="I2338" s="42" t="s">
        <v>865</v>
      </c>
    </row>
    <row r="2339" spans="1:9">
      <c r="A2339" s="42" t="s">
        <v>897</v>
      </c>
      <c r="B2339" s="42" t="s">
        <v>337</v>
      </c>
      <c r="C2339" s="42" t="s">
        <v>991</v>
      </c>
      <c r="D2339" s="42" t="s">
        <v>844</v>
      </c>
      <c r="E2339" s="42" t="s">
        <v>808</v>
      </c>
      <c r="F2339" s="45">
        <v>-244635524.969582</v>
      </c>
      <c r="G2339" s="42" t="s">
        <v>763</v>
      </c>
      <c r="H2339" s="42" t="s">
        <v>90</v>
      </c>
      <c r="I2339" s="42" t="s">
        <v>893</v>
      </c>
    </row>
    <row r="2340" spans="1:9">
      <c r="A2340" s="42" t="s">
        <v>897</v>
      </c>
      <c r="B2340" s="42" t="s">
        <v>338</v>
      </c>
      <c r="C2340" s="42" t="s">
        <v>972</v>
      </c>
      <c r="D2340" s="42" t="s">
        <v>844</v>
      </c>
      <c r="E2340" s="42" t="s">
        <v>808</v>
      </c>
      <c r="F2340" s="45">
        <v>-221311244.2692096</v>
      </c>
      <c r="G2340" s="42" t="s">
        <v>763</v>
      </c>
      <c r="H2340" s="42" t="s">
        <v>90</v>
      </c>
      <c r="I2340" s="42" t="s">
        <v>893</v>
      </c>
    </row>
    <row r="2341" spans="1:9">
      <c r="A2341" s="42" t="s">
        <v>897</v>
      </c>
      <c r="B2341" s="42" t="s">
        <v>939</v>
      </c>
      <c r="C2341" s="42" t="s">
        <v>973</v>
      </c>
      <c r="D2341" s="42" t="s">
        <v>844</v>
      </c>
      <c r="E2341" s="42" t="s">
        <v>808</v>
      </c>
      <c r="F2341" s="45">
        <v>335648972.3229601</v>
      </c>
      <c r="G2341" s="42" t="s">
        <v>763</v>
      </c>
      <c r="H2341" s="42" t="s">
        <v>90</v>
      </c>
      <c r="I2341" s="42" t="s">
        <v>893</v>
      </c>
    </row>
    <row r="2342" spans="1:9">
      <c r="A2342" s="42" t="s">
        <v>897</v>
      </c>
      <c r="B2342" s="42" t="s">
        <v>342</v>
      </c>
      <c r="C2342" s="42" t="s">
        <v>1014</v>
      </c>
      <c r="D2342" s="42" t="s">
        <v>844</v>
      </c>
      <c r="E2342" s="42" t="s">
        <v>808</v>
      </c>
      <c r="F2342" s="45">
        <v>-65559446.85308181</v>
      </c>
      <c r="G2342" s="42" t="s">
        <v>763</v>
      </c>
      <c r="H2342" s="42" t="s">
        <v>90</v>
      </c>
      <c r="I2342" s="42" t="s">
        <v>893</v>
      </c>
    </row>
    <row r="2343" spans="1:9">
      <c r="A2343" s="42" t="s">
        <v>897</v>
      </c>
      <c r="B2343" s="42" t="s">
        <v>344</v>
      </c>
      <c r="C2343" s="42" t="s">
        <v>980</v>
      </c>
      <c r="D2343" s="42" t="s">
        <v>844</v>
      </c>
      <c r="E2343" s="42" t="s">
        <v>808</v>
      </c>
      <c r="F2343" s="45">
        <v>-195857243.7689133</v>
      </c>
      <c r="G2343" s="42" t="s">
        <v>763</v>
      </c>
      <c r="H2343" s="42" t="s">
        <v>90</v>
      </c>
      <c r="I2343" s="42" t="s">
        <v>893</v>
      </c>
    </row>
    <row r="2344" spans="1:9">
      <c r="A2344" s="42" t="s">
        <v>897</v>
      </c>
      <c r="B2344" s="42" t="s">
        <v>395</v>
      </c>
      <c r="C2344" s="42" t="s">
        <v>999</v>
      </c>
      <c r="D2344" s="42" t="s">
        <v>844</v>
      </c>
      <c r="E2344" s="42" t="s">
        <v>808</v>
      </c>
      <c r="F2344" s="45">
        <v>1452289288.625275</v>
      </c>
      <c r="G2344" s="42" t="s">
        <v>763</v>
      </c>
      <c r="H2344" s="42" t="s">
        <v>90</v>
      </c>
      <c r="I2344" s="42" t="s">
        <v>860</v>
      </c>
    </row>
    <row r="2345" spans="1:9">
      <c r="A2345" s="42" t="s">
        <v>897</v>
      </c>
      <c r="B2345" s="42" t="s">
        <v>346</v>
      </c>
      <c r="C2345" s="42" t="s">
        <v>956</v>
      </c>
      <c r="D2345" s="42" t="s">
        <v>844</v>
      </c>
      <c r="E2345" s="42" t="s">
        <v>808</v>
      </c>
      <c r="F2345" s="45">
        <v>271244192.8312829</v>
      </c>
      <c r="G2345" s="42" t="s">
        <v>763</v>
      </c>
      <c r="H2345" s="42" t="s">
        <v>90</v>
      </c>
      <c r="I2345" s="42" t="s">
        <v>893</v>
      </c>
    </row>
    <row r="2346" spans="1:9">
      <c r="A2346" s="42" t="s">
        <v>897</v>
      </c>
      <c r="B2346" s="42" t="s">
        <v>347</v>
      </c>
      <c r="C2346" s="42" t="s">
        <v>981</v>
      </c>
      <c r="D2346" s="42" t="s">
        <v>844</v>
      </c>
      <c r="E2346" s="42" t="s">
        <v>808</v>
      </c>
      <c r="F2346" s="45">
        <v>1221193327.038086</v>
      </c>
      <c r="G2346" s="42" t="s">
        <v>763</v>
      </c>
      <c r="H2346" s="42" t="s">
        <v>90</v>
      </c>
      <c r="I2346" s="42" t="s">
        <v>893</v>
      </c>
    </row>
    <row r="2347" spans="1:9">
      <c r="A2347" s="42" t="s">
        <v>897</v>
      </c>
      <c r="B2347" s="42" t="s">
        <v>346</v>
      </c>
      <c r="C2347" s="42" t="s">
        <v>961</v>
      </c>
      <c r="D2347" s="42" t="s">
        <v>844</v>
      </c>
      <c r="E2347" s="42" t="s">
        <v>808</v>
      </c>
      <c r="F2347" s="45">
        <v>271244192.8312829</v>
      </c>
      <c r="G2347" s="42" t="s">
        <v>763</v>
      </c>
      <c r="H2347" s="42" t="s">
        <v>90</v>
      </c>
      <c r="I2347" s="42" t="s">
        <v>893</v>
      </c>
    </row>
    <row r="2348" spans="1:9">
      <c r="A2348" s="42" t="s">
        <v>897</v>
      </c>
      <c r="B2348" s="42" t="s">
        <v>313</v>
      </c>
      <c r="C2348" s="42" t="s">
        <v>994</v>
      </c>
      <c r="D2348" s="42" t="s">
        <v>847</v>
      </c>
      <c r="E2348" s="42" t="s">
        <v>808</v>
      </c>
      <c r="F2348" s="45">
        <v>-53070238.93126435</v>
      </c>
      <c r="G2348" s="42" t="s">
        <v>1001</v>
      </c>
      <c r="H2348" s="42" t="s">
        <v>1002</v>
      </c>
      <c r="I2348" s="42" t="s">
        <v>893</v>
      </c>
    </row>
    <row r="2349" spans="1:9">
      <c r="A2349" s="42" t="s">
        <v>897</v>
      </c>
      <c r="B2349" s="42" t="s">
        <v>351</v>
      </c>
      <c r="C2349" s="42" t="s">
        <v>899</v>
      </c>
      <c r="D2349" s="42" t="s">
        <v>847</v>
      </c>
      <c r="E2349" s="42" t="s">
        <v>808</v>
      </c>
      <c r="F2349" s="45">
        <v>-44586298.71535101</v>
      </c>
      <c r="G2349" s="42" t="s">
        <v>1001</v>
      </c>
      <c r="H2349" s="42" t="s">
        <v>1020</v>
      </c>
      <c r="I2349" s="42" t="s">
        <v>860</v>
      </c>
    </row>
    <row r="2350" spans="1:9">
      <c r="A2350" s="42" t="s">
        <v>897</v>
      </c>
      <c r="B2350" s="42" t="s">
        <v>314</v>
      </c>
      <c r="C2350" s="42" t="s">
        <v>900</v>
      </c>
      <c r="D2350" s="42" t="s">
        <v>847</v>
      </c>
      <c r="E2350" s="42" t="s">
        <v>808</v>
      </c>
      <c r="F2350" s="45">
        <v>768731647.4671798</v>
      </c>
      <c r="G2350" s="42" t="s">
        <v>1001</v>
      </c>
      <c r="H2350" s="42" t="s">
        <v>1020</v>
      </c>
      <c r="I2350" s="42" t="s">
        <v>893</v>
      </c>
    </row>
    <row r="2351" spans="1:9">
      <c r="A2351" s="42" t="s">
        <v>897</v>
      </c>
      <c r="B2351" s="42" t="s">
        <v>315</v>
      </c>
      <c r="C2351" s="42" t="s">
        <v>901</v>
      </c>
      <c r="D2351" s="42" t="s">
        <v>847</v>
      </c>
      <c r="E2351" s="42" t="s">
        <v>808</v>
      </c>
      <c r="F2351" s="45">
        <v>12611878.86935504</v>
      </c>
      <c r="G2351" s="42" t="s">
        <v>1001</v>
      </c>
      <c r="H2351" s="42" t="s">
        <v>1020</v>
      </c>
      <c r="I2351" s="42" t="s">
        <v>893</v>
      </c>
    </row>
    <row r="2352" spans="1:9">
      <c r="A2352" s="42" t="s">
        <v>897</v>
      </c>
      <c r="B2352" s="42" t="s">
        <v>316</v>
      </c>
      <c r="C2352" s="42" t="s">
        <v>1004</v>
      </c>
      <c r="D2352" s="42" t="s">
        <v>847</v>
      </c>
      <c r="E2352" s="42" t="s">
        <v>808</v>
      </c>
      <c r="F2352" s="45">
        <v>53207076.67668231</v>
      </c>
      <c r="G2352" s="42" t="s">
        <v>1001</v>
      </c>
      <c r="H2352" s="42" t="s">
        <v>1020</v>
      </c>
      <c r="I2352" s="42" t="s">
        <v>893</v>
      </c>
    </row>
    <row r="2353" spans="1:9">
      <c r="A2353" s="42" t="s">
        <v>897</v>
      </c>
      <c r="B2353" s="42" t="s">
        <v>317</v>
      </c>
      <c r="C2353" s="42" t="s">
        <v>967</v>
      </c>
      <c r="D2353" s="42" t="s">
        <v>847</v>
      </c>
      <c r="E2353" s="42" t="s">
        <v>808</v>
      </c>
      <c r="F2353" s="45">
        <v>101875701.463669</v>
      </c>
      <c r="G2353" s="42" t="s">
        <v>1001</v>
      </c>
      <c r="H2353" s="42" t="s">
        <v>1020</v>
      </c>
      <c r="I2353" s="42" t="s">
        <v>893</v>
      </c>
    </row>
    <row r="2354" spans="1:9">
      <c r="A2354" s="42" t="s">
        <v>897</v>
      </c>
      <c r="B2354" s="42" t="s">
        <v>318</v>
      </c>
      <c r="C2354" s="42" t="s">
        <v>904</v>
      </c>
      <c r="D2354" s="42" t="s">
        <v>847</v>
      </c>
      <c r="E2354" s="42" t="s">
        <v>808</v>
      </c>
      <c r="F2354" s="45">
        <v>-68236422.38175459</v>
      </c>
      <c r="G2354" s="42" t="s">
        <v>1001</v>
      </c>
      <c r="H2354" s="42" t="s">
        <v>1020</v>
      </c>
      <c r="I2354" s="42" t="s">
        <v>893</v>
      </c>
    </row>
    <row r="2355" spans="1:9">
      <c r="A2355" s="42" t="s">
        <v>897</v>
      </c>
      <c r="B2355" s="42" t="s">
        <v>319</v>
      </c>
      <c r="C2355" s="42" t="s">
        <v>907</v>
      </c>
      <c r="D2355" s="42" t="s">
        <v>847</v>
      </c>
      <c r="E2355" s="42" t="s">
        <v>808</v>
      </c>
      <c r="F2355" s="45">
        <v>93300536.08414373</v>
      </c>
      <c r="G2355" s="42" t="s">
        <v>1001</v>
      </c>
      <c r="H2355" s="42" t="s">
        <v>1020</v>
      </c>
      <c r="I2355" s="42" t="s">
        <v>893</v>
      </c>
    </row>
    <row r="2356" spans="1:9">
      <c r="A2356" s="42" t="s">
        <v>897</v>
      </c>
      <c r="B2356" s="42" t="s">
        <v>357</v>
      </c>
      <c r="C2356" s="42" t="s">
        <v>908</v>
      </c>
      <c r="D2356" s="42" t="s">
        <v>847</v>
      </c>
      <c r="E2356" s="42" t="s">
        <v>808</v>
      </c>
      <c r="F2356" s="45">
        <v>233855706.9192886</v>
      </c>
      <c r="G2356" s="42" t="s">
        <v>1001</v>
      </c>
      <c r="H2356" s="42" t="s">
        <v>1020</v>
      </c>
      <c r="I2356" s="42" t="s">
        <v>864</v>
      </c>
    </row>
    <row r="2357" spans="1:9">
      <c r="A2357" s="42" t="s">
        <v>897</v>
      </c>
      <c r="B2357" s="42" t="s">
        <v>358</v>
      </c>
      <c r="C2357" s="42" t="s">
        <v>996</v>
      </c>
      <c r="D2357" s="42" t="s">
        <v>847</v>
      </c>
      <c r="E2357" s="42" t="s">
        <v>808</v>
      </c>
      <c r="F2357" s="45">
        <v>2599917.162941184</v>
      </c>
      <c r="G2357" s="42" t="s">
        <v>1001</v>
      </c>
      <c r="H2357" s="42" t="s">
        <v>1020</v>
      </c>
      <c r="I2357" s="42" t="s">
        <v>860</v>
      </c>
    </row>
    <row r="2358" spans="1:9">
      <c r="A2358" s="42" t="s">
        <v>897</v>
      </c>
      <c r="B2358" s="42" t="s">
        <v>293</v>
      </c>
      <c r="C2358" s="42" t="s">
        <v>912</v>
      </c>
      <c r="D2358" s="42" t="s">
        <v>847</v>
      </c>
      <c r="E2358" s="42" t="s">
        <v>808</v>
      </c>
      <c r="F2358" s="45">
        <v>-315981160.4609658</v>
      </c>
      <c r="G2358" s="42" t="s">
        <v>1001</v>
      </c>
      <c r="H2358" s="42" t="s">
        <v>1020</v>
      </c>
      <c r="I2358" s="42" t="s">
        <v>893</v>
      </c>
    </row>
    <row r="2359" spans="1:9">
      <c r="A2359" s="42" t="s">
        <v>897</v>
      </c>
      <c r="B2359" s="42" t="s">
        <v>369</v>
      </c>
      <c r="C2359" s="42" t="s">
        <v>970</v>
      </c>
      <c r="D2359" s="42" t="s">
        <v>847</v>
      </c>
      <c r="E2359" s="42" t="s">
        <v>808</v>
      </c>
      <c r="F2359" s="45">
        <v>-24653600.46613526</v>
      </c>
      <c r="G2359" s="42" t="s">
        <v>1001</v>
      </c>
      <c r="H2359" s="42" t="s">
        <v>1020</v>
      </c>
      <c r="I2359" s="42" t="s">
        <v>886</v>
      </c>
    </row>
    <row r="2360" spans="1:9">
      <c r="A2360" s="42" t="s">
        <v>897</v>
      </c>
      <c r="B2360" s="42" t="s">
        <v>292</v>
      </c>
      <c r="C2360" s="42" t="s">
        <v>913</v>
      </c>
      <c r="D2360" s="42" t="s">
        <v>847</v>
      </c>
      <c r="E2360" s="42" t="s">
        <v>808</v>
      </c>
      <c r="F2360" s="45">
        <v>11471564.3242054</v>
      </c>
      <c r="G2360" s="42" t="s">
        <v>1001</v>
      </c>
      <c r="H2360" s="42" t="s">
        <v>1020</v>
      </c>
      <c r="I2360" s="42" t="s">
        <v>893</v>
      </c>
    </row>
    <row r="2361" spans="1:9">
      <c r="A2361" s="42" t="s">
        <v>897</v>
      </c>
      <c r="B2361" s="42" t="s">
        <v>241</v>
      </c>
      <c r="C2361" s="42" t="s">
        <v>914</v>
      </c>
      <c r="D2361" s="42" t="s">
        <v>847</v>
      </c>
      <c r="E2361" s="42" t="s">
        <v>808</v>
      </c>
      <c r="F2361" s="45">
        <v>-123473258.9488032</v>
      </c>
      <c r="G2361" s="42" t="s">
        <v>1001</v>
      </c>
      <c r="H2361" s="42" t="s">
        <v>1020</v>
      </c>
      <c r="I2361" s="42" t="s">
        <v>893</v>
      </c>
    </row>
    <row r="2362" spans="1:9">
      <c r="A2362" s="42" t="s">
        <v>897</v>
      </c>
      <c r="B2362" s="42" t="s">
        <v>310</v>
      </c>
      <c r="C2362" s="42" t="s">
        <v>915</v>
      </c>
      <c r="D2362" s="42" t="s">
        <v>847</v>
      </c>
      <c r="E2362" s="42" t="s">
        <v>808</v>
      </c>
      <c r="F2362" s="45">
        <v>290460920.9405169</v>
      </c>
      <c r="G2362" s="42" t="s">
        <v>1001</v>
      </c>
      <c r="H2362" s="42" t="s">
        <v>1020</v>
      </c>
      <c r="I2362" s="42" t="s">
        <v>893</v>
      </c>
    </row>
    <row r="2363" spans="1:9">
      <c r="A2363" s="42" t="s">
        <v>897</v>
      </c>
      <c r="B2363" s="42" t="s">
        <v>305</v>
      </c>
      <c r="C2363" s="42" t="s">
        <v>916</v>
      </c>
      <c r="D2363" s="42" t="s">
        <v>847</v>
      </c>
      <c r="E2363" s="42" t="s">
        <v>808</v>
      </c>
      <c r="F2363" s="45">
        <v>-25907946.46579987</v>
      </c>
      <c r="G2363" s="42" t="s">
        <v>1001</v>
      </c>
      <c r="H2363" s="42" t="s">
        <v>1020</v>
      </c>
      <c r="I2363" s="42" t="s">
        <v>893</v>
      </c>
    </row>
    <row r="2364" spans="1:9">
      <c r="A2364" s="42" t="s">
        <v>897</v>
      </c>
      <c r="B2364" s="42" t="s">
        <v>306</v>
      </c>
      <c r="C2364" s="42" t="s">
        <v>917</v>
      </c>
      <c r="D2364" s="42" t="s">
        <v>847</v>
      </c>
      <c r="E2364" s="42" t="s">
        <v>808</v>
      </c>
      <c r="F2364" s="45">
        <v>28576282.50145004</v>
      </c>
      <c r="G2364" s="42" t="s">
        <v>1001</v>
      </c>
      <c r="H2364" s="42" t="s">
        <v>1020</v>
      </c>
      <c r="I2364" s="42" t="s">
        <v>893</v>
      </c>
    </row>
    <row r="2365" spans="1:9">
      <c r="A2365" s="42" t="s">
        <v>897</v>
      </c>
      <c r="B2365" s="42" t="s">
        <v>309</v>
      </c>
      <c r="C2365" s="42" t="s">
        <v>918</v>
      </c>
      <c r="D2365" s="42" t="s">
        <v>847</v>
      </c>
      <c r="E2365" s="42" t="s">
        <v>808</v>
      </c>
      <c r="F2365" s="45">
        <v>3466556.217254912</v>
      </c>
      <c r="G2365" s="42" t="s">
        <v>1001</v>
      </c>
      <c r="H2365" s="42" t="s">
        <v>1020</v>
      </c>
      <c r="I2365" s="42" t="s">
        <v>893</v>
      </c>
    </row>
    <row r="2366" spans="1:9">
      <c r="A2366" s="42" t="s">
        <v>897</v>
      </c>
      <c r="B2366" s="42" t="s">
        <v>242</v>
      </c>
      <c r="C2366" s="42" t="s">
        <v>920</v>
      </c>
      <c r="D2366" s="42" t="s">
        <v>847</v>
      </c>
      <c r="E2366" s="42" t="s">
        <v>808</v>
      </c>
      <c r="F2366" s="45">
        <v>501738.3998658425</v>
      </c>
      <c r="G2366" s="42" t="s">
        <v>1001</v>
      </c>
      <c r="H2366" s="42" t="s">
        <v>1020</v>
      </c>
      <c r="I2366" s="42" t="s">
        <v>893</v>
      </c>
    </row>
    <row r="2367" spans="1:9">
      <c r="A2367" s="42" t="s">
        <v>897</v>
      </c>
      <c r="B2367" s="42" t="s">
        <v>302</v>
      </c>
      <c r="C2367" s="42" t="s">
        <v>921</v>
      </c>
      <c r="D2367" s="42" t="s">
        <v>847</v>
      </c>
      <c r="E2367" s="42" t="s">
        <v>808</v>
      </c>
      <c r="F2367" s="45">
        <v>59341968.92958738</v>
      </c>
      <c r="G2367" s="42" t="s">
        <v>1001</v>
      </c>
      <c r="H2367" s="42" t="s">
        <v>1020</v>
      </c>
      <c r="I2367" s="42" t="s">
        <v>893</v>
      </c>
    </row>
    <row r="2368" spans="1:9">
      <c r="A2368" s="42" t="s">
        <v>897</v>
      </c>
      <c r="B2368" s="42" t="s">
        <v>326</v>
      </c>
      <c r="C2368" s="42" t="s">
        <v>922</v>
      </c>
      <c r="D2368" s="42" t="s">
        <v>847</v>
      </c>
      <c r="E2368" s="42" t="s">
        <v>808</v>
      </c>
      <c r="F2368" s="45">
        <v>16215272.83202791</v>
      </c>
      <c r="G2368" s="42" t="s">
        <v>1001</v>
      </c>
      <c r="H2368" s="42" t="s">
        <v>1020</v>
      </c>
      <c r="I2368" s="42" t="s">
        <v>893</v>
      </c>
    </row>
    <row r="2369" spans="1:9">
      <c r="A2369" s="42" t="s">
        <v>897</v>
      </c>
      <c r="B2369" s="42" t="s">
        <v>370</v>
      </c>
      <c r="C2369" s="42" t="s">
        <v>1017</v>
      </c>
      <c r="D2369" s="42" t="s">
        <v>847</v>
      </c>
      <c r="E2369" s="42" t="s">
        <v>808</v>
      </c>
      <c r="F2369" s="45">
        <v>0</v>
      </c>
      <c r="G2369" s="42" t="s">
        <v>1001</v>
      </c>
      <c r="H2369" s="42" t="s">
        <v>1020</v>
      </c>
      <c r="I2369" s="42" t="s">
        <v>860</v>
      </c>
    </row>
    <row r="2370" spans="1:9">
      <c r="A2370" s="42" t="s">
        <v>897</v>
      </c>
      <c r="B2370" s="42" t="s">
        <v>328</v>
      </c>
      <c r="C2370" s="42" t="s">
        <v>924</v>
      </c>
      <c r="D2370" s="42" t="s">
        <v>847</v>
      </c>
      <c r="E2370" s="42" t="s">
        <v>808</v>
      </c>
      <c r="F2370" s="45">
        <v>-91042713.28474744</v>
      </c>
      <c r="G2370" s="42" t="s">
        <v>1001</v>
      </c>
      <c r="H2370" s="42" t="s">
        <v>1020</v>
      </c>
      <c r="I2370" s="42" t="s">
        <v>893</v>
      </c>
    </row>
    <row r="2371" spans="1:9">
      <c r="A2371" s="42" t="s">
        <v>897</v>
      </c>
      <c r="B2371" s="42" t="s">
        <v>329</v>
      </c>
      <c r="C2371" s="42" t="s">
        <v>925</v>
      </c>
      <c r="D2371" s="42" t="s">
        <v>847</v>
      </c>
      <c r="E2371" s="42" t="s">
        <v>808</v>
      </c>
      <c r="F2371" s="45">
        <v>929265129.1333463</v>
      </c>
      <c r="G2371" s="42" t="s">
        <v>1001</v>
      </c>
      <c r="H2371" s="42" t="s">
        <v>1020</v>
      </c>
      <c r="I2371" s="42" t="s">
        <v>893</v>
      </c>
    </row>
    <row r="2372" spans="1:9">
      <c r="A2372" s="42" t="s">
        <v>897</v>
      </c>
      <c r="B2372" s="42" t="s">
        <v>372</v>
      </c>
      <c r="C2372" s="42" t="s">
        <v>926</v>
      </c>
      <c r="D2372" s="42" t="s">
        <v>847</v>
      </c>
      <c r="E2372" s="42" t="s">
        <v>808</v>
      </c>
      <c r="F2372" s="45">
        <v>0</v>
      </c>
      <c r="G2372" s="42" t="s">
        <v>1001</v>
      </c>
      <c r="H2372" s="42" t="s">
        <v>1020</v>
      </c>
      <c r="I2372" s="42" t="s">
        <v>896</v>
      </c>
    </row>
    <row r="2373" spans="1:9">
      <c r="A2373" s="42" t="s">
        <v>897</v>
      </c>
      <c r="B2373" s="42" t="s">
        <v>330</v>
      </c>
      <c r="C2373" s="42" t="s">
        <v>927</v>
      </c>
      <c r="D2373" s="42" t="s">
        <v>847</v>
      </c>
      <c r="E2373" s="42" t="s">
        <v>808</v>
      </c>
      <c r="F2373" s="45">
        <v>-998573447.1875416</v>
      </c>
      <c r="G2373" s="42" t="s">
        <v>1001</v>
      </c>
      <c r="H2373" s="42" t="s">
        <v>1020</v>
      </c>
      <c r="I2373" s="42" t="s">
        <v>893</v>
      </c>
    </row>
    <row r="2374" spans="1:9">
      <c r="A2374" s="42" t="s">
        <v>897</v>
      </c>
      <c r="B2374" s="42" t="s">
        <v>336</v>
      </c>
      <c r="C2374" s="42" t="s">
        <v>938</v>
      </c>
      <c r="D2374" s="42" t="s">
        <v>847</v>
      </c>
      <c r="E2374" s="42" t="s">
        <v>808</v>
      </c>
      <c r="F2374" s="45">
        <v>-1094907219.961784</v>
      </c>
      <c r="G2374" s="42" t="s">
        <v>1001</v>
      </c>
      <c r="H2374" s="42" t="s">
        <v>1020</v>
      </c>
      <c r="I2374" s="42" t="s">
        <v>893</v>
      </c>
    </row>
    <row r="2375" spans="1:9">
      <c r="A2375" s="42" t="s">
        <v>897</v>
      </c>
      <c r="B2375" s="42" t="s">
        <v>936</v>
      </c>
      <c r="C2375" s="42" t="s">
        <v>997</v>
      </c>
      <c r="D2375" s="42" t="s">
        <v>847</v>
      </c>
      <c r="E2375" s="42" t="s">
        <v>808</v>
      </c>
      <c r="F2375" s="45">
        <v>-190934267.4398561</v>
      </c>
      <c r="G2375" s="42" t="s">
        <v>1001</v>
      </c>
      <c r="H2375" s="42" t="s">
        <v>1002</v>
      </c>
      <c r="I2375" s="42" t="s">
        <v>861</v>
      </c>
    </row>
    <row r="2376" spans="1:9">
      <c r="A2376" s="42" t="s">
        <v>897</v>
      </c>
      <c r="B2376" s="42" t="s">
        <v>389</v>
      </c>
      <c r="C2376" s="42" t="s">
        <v>998</v>
      </c>
      <c r="D2376" s="42" t="s">
        <v>847</v>
      </c>
      <c r="E2376" s="42" t="s">
        <v>808</v>
      </c>
      <c r="F2376" s="45">
        <v>9829511.379189916</v>
      </c>
      <c r="G2376" s="42" t="s">
        <v>1001</v>
      </c>
      <c r="H2376" s="42" t="s">
        <v>1020</v>
      </c>
      <c r="I2376" s="42" t="s">
        <v>865</v>
      </c>
    </row>
    <row r="2377" spans="1:9">
      <c r="A2377" s="42" t="s">
        <v>897</v>
      </c>
      <c r="B2377" s="42" t="s">
        <v>337</v>
      </c>
      <c r="C2377" s="42" t="s">
        <v>991</v>
      </c>
      <c r="D2377" s="42" t="s">
        <v>847</v>
      </c>
      <c r="E2377" s="42" t="s">
        <v>808</v>
      </c>
      <c r="F2377" s="45">
        <v>-541831859.273304</v>
      </c>
      <c r="G2377" s="42" t="s">
        <v>1001</v>
      </c>
      <c r="H2377" s="42" t="s">
        <v>1020</v>
      </c>
      <c r="I2377" s="42" t="s">
        <v>893</v>
      </c>
    </row>
    <row r="2378" spans="1:9">
      <c r="A2378" s="42" t="s">
        <v>897</v>
      </c>
      <c r="B2378" s="42" t="s">
        <v>939</v>
      </c>
      <c r="C2378" s="42" t="s">
        <v>973</v>
      </c>
      <c r="D2378" s="42" t="s">
        <v>847</v>
      </c>
      <c r="E2378" s="42" t="s">
        <v>808</v>
      </c>
      <c r="F2378" s="45">
        <v>961467611.8883723</v>
      </c>
      <c r="G2378" s="42" t="s">
        <v>1001</v>
      </c>
      <c r="H2378" s="42" t="s">
        <v>1020</v>
      </c>
      <c r="I2378" s="42" t="s">
        <v>893</v>
      </c>
    </row>
    <row r="2379" spans="1:9">
      <c r="A2379" s="42" t="s">
        <v>897</v>
      </c>
      <c r="B2379" s="42" t="s">
        <v>342</v>
      </c>
      <c r="C2379" s="42" t="s">
        <v>1014</v>
      </c>
      <c r="D2379" s="42" t="s">
        <v>847</v>
      </c>
      <c r="E2379" s="42" t="s">
        <v>808</v>
      </c>
      <c r="F2379" s="45">
        <v>-68783773.36342642</v>
      </c>
      <c r="G2379" s="42" t="s">
        <v>1001</v>
      </c>
      <c r="H2379" s="42" t="s">
        <v>1020</v>
      </c>
      <c r="I2379" s="42" t="s">
        <v>893</v>
      </c>
    </row>
    <row r="2380" spans="1:9">
      <c r="A2380" s="42" t="s">
        <v>897</v>
      </c>
      <c r="B2380" s="42" t="s">
        <v>344</v>
      </c>
      <c r="C2380" s="42" t="s">
        <v>980</v>
      </c>
      <c r="D2380" s="42" t="s">
        <v>847</v>
      </c>
      <c r="E2380" s="42" t="s">
        <v>808</v>
      </c>
      <c r="F2380" s="45">
        <v>150703970.2869767</v>
      </c>
      <c r="G2380" s="42" t="s">
        <v>1001</v>
      </c>
      <c r="H2380" s="42" t="s">
        <v>1020</v>
      </c>
      <c r="I2380" s="42" t="s">
        <v>893</v>
      </c>
    </row>
    <row r="2381" spans="1:9">
      <c r="A2381" s="42" t="s">
        <v>897</v>
      </c>
      <c r="B2381" s="42" t="s">
        <v>395</v>
      </c>
      <c r="C2381" s="42" t="s">
        <v>999</v>
      </c>
      <c r="D2381" s="42" t="s">
        <v>847</v>
      </c>
      <c r="E2381" s="42" t="s">
        <v>808</v>
      </c>
      <c r="F2381" s="45">
        <v>-5108609.162270397</v>
      </c>
      <c r="G2381" s="42" t="s">
        <v>1001</v>
      </c>
      <c r="H2381" s="42" t="s">
        <v>1020</v>
      </c>
      <c r="I2381" s="42" t="s">
        <v>860</v>
      </c>
    </row>
    <row r="2382" spans="1:9">
      <c r="A2382" s="42" t="s">
        <v>897</v>
      </c>
      <c r="B2382" s="42" t="s">
        <v>346</v>
      </c>
      <c r="C2382" s="42" t="s">
        <v>956</v>
      </c>
      <c r="D2382" s="42" t="s">
        <v>847</v>
      </c>
      <c r="E2382" s="42" t="s">
        <v>808</v>
      </c>
      <c r="F2382" s="45">
        <v>-5108609.162270397</v>
      </c>
      <c r="G2382" s="42" t="s">
        <v>1001</v>
      </c>
      <c r="H2382" s="42" t="s">
        <v>1020</v>
      </c>
      <c r="I2382" s="42" t="s">
        <v>893</v>
      </c>
    </row>
    <row r="2383" spans="1:9">
      <c r="A2383" s="42" t="s">
        <v>897</v>
      </c>
      <c r="B2383" s="42" t="s">
        <v>346</v>
      </c>
      <c r="C2383" s="42" t="s">
        <v>961</v>
      </c>
      <c r="D2383" s="42" t="s">
        <v>847</v>
      </c>
      <c r="E2383" s="42" t="s">
        <v>808</v>
      </c>
      <c r="F2383" s="45">
        <v>-5108609.162270397</v>
      </c>
      <c r="G2383" s="42" t="s">
        <v>1001</v>
      </c>
      <c r="H2383" s="42" t="s">
        <v>1020</v>
      </c>
      <c r="I2383" s="42" t="s">
        <v>893</v>
      </c>
    </row>
    <row r="2384" spans="1:9">
      <c r="A2384" s="42" t="s">
        <v>897</v>
      </c>
      <c r="B2384" s="42" t="s">
        <v>350</v>
      </c>
      <c r="C2384" s="42" t="s">
        <v>1003</v>
      </c>
      <c r="D2384" s="42" t="s">
        <v>1021</v>
      </c>
      <c r="E2384" s="42" t="s">
        <v>808</v>
      </c>
      <c r="F2384" s="45">
        <v>-249088716.5308346</v>
      </c>
      <c r="G2384" s="42" t="s">
        <v>1022</v>
      </c>
      <c r="H2384" s="42" t="s">
        <v>1023</v>
      </c>
      <c r="I2384" s="42" t="s">
        <v>854</v>
      </c>
    </row>
    <row r="2385" spans="1:9">
      <c r="A2385" s="42" t="s">
        <v>897</v>
      </c>
      <c r="B2385" s="42" t="s">
        <v>351</v>
      </c>
      <c r="C2385" s="42" t="s">
        <v>899</v>
      </c>
      <c r="D2385" s="42" t="s">
        <v>1021</v>
      </c>
      <c r="E2385" s="42" t="s">
        <v>808</v>
      </c>
      <c r="F2385" s="45">
        <v>5878199.80013769</v>
      </c>
      <c r="G2385" s="42" t="s">
        <v>1022</v>
      </c>
      <c r="H2385" s="42" t="s">
        <v>1023</v>
      </c>
      <c r="I2385" s="42" t="s">
        <v>860</v>
      </c>
    </row>
    <row r="2386" spans="1:9">
      <c r="A2386" s="42" t="s">
        <v>897</v>
      </c>
      <c r="B2386" s="42" t="s">
        <v>314</v>
      </c>
      <c r="C2386" s="42" t="s">
        <v>900</v>
      </c>
      <c r="D2386" s="42" t="s">
        <v>1021</v>
      </c>
      <c r="E2386" s="42" t="s">
        <v>808</v>
      </c>
      <c r="F2386" s="45">
        <v>744009309.1626978</v>
      </c>
      <c r="G2386" s="42" t="s">
        <v>1022</v>
      </c>
      <c r="H2386" s="42" t="s">
        <v>1023</v>
      </c>
      <c r="I2386" s="42" t="s">
        <v>893</v>
      </c>
    </row>
    <row r="2387" spans="1:9">
      <c r="A2387" s="42" t="s">
        <v>897</v>
      </c>
      <c r="B2387" s="42" t="s">
        <v>315</v>
      </c>
      <c r="C2387" s="42" t="s">
        <v>901</v>
      </c>
      <c r="D2387" s="42" t="s">
        <v>1021</v>
      </c>
      <c r="E2387" s="42" t="s">
        <v>808</v>
      </c>
      <c r="F2387" s="45">
        <v>12491174.57529259</v>
      </c>
      <c r="G2387" s="42" t="s">
        <v>1022</v>
      </c>
      <c r="H2387" s="42" t="s">
        <v>1023</v>
      </c>
      <c r="I2387" s="42" t="s">
        <v>893</v>
      </c>
    </row>
    <row r="2388" spans="1:9">
      <c r="A2388" s="42" t="s">
        <v>897</v>
      </c>
      <c r="B2388" s="42" t="s">
        <v>316</v>
      </c>
      <c r="C2388" s="42" t="s">
        <v>1004</v>
      </c>
      <c r="D2388" s="42" t="s">
        <v>1021</v>
      </c>
      <c r="E2388" s="42" t="s">
        <v>808</v>
      </c>
      <c r="F2388" s="45">
        <v>56577673.07632527</v>
      </c>
      <c r="G2388" s="42" t="s">
        <v>1022</v>
      </c>
      <c r="H2388" s="42" t="s">
        <v>1023</v>
      </c>
      <c r="I2388" s="42" t="s">
        <v>893</v>
      </c>
    </row>
    <row r="2389" spans="1:9">
      <c r="A2389" s="42" t="s">
        <v>897</v>
      </c>
      <c r="B2389" s="42" t="s">
        <v>318</v>
      </c>
      <c r="C2389" s="42" t="s">
        <v>904</v>
      </c>
      <c r="D2389" s="42" t="s">
        <v>1021</v>
      </c>
      <c r="E2389" s="42" t="s">
        <v>808</v>
      </c>
      <c r="F2389" s="45">
        <v>179702128.3494796</v>
      </c>
      <c r="G2389" s="42" t="s">
        <v>1022</v>
      </c>
      <c r="H2389" s="42" t="s">
        <v>1023</v>
      </c>
      <c r="I2389" s="42" t="s">
        <v>893</v>
      </c>
    </row>
    <row r="2390" spans="1:9">
      <c r="A2390" s="42" t="s">
        <v>897</v>
      </c>
      <c r="B2390" s="42" t="s">
        <v>319</v>
      </c>
      <c r="C2390" s="42" t="s">
        <v>907</v>
      </c>
      <c r="D2390" s="42" t="s">
        <v>1021</v>
      </c>
      <c r="E2390" s="42" t="s">
        <v>808</v>
      </c>
      <c r="F2390" s="45">
        <v>-123382619.4535658</v>
      </c>
      <c r="G2390" s="42" t="s">
        <v>1022</v>
      </c>
      <c r="H2390" s="42" t="s">
        <v>1023</v>
      </c>
      <c r="I2390" s="42" t="s">
        <v>893</v>
      </c>
    </row>
    <row r="2391" spans="1:9">
      <c r="A2391" s="42" t="s">
        <v>897</v>
      </c>
      <c r="B2391" s="42" t="s">
        <v>357</v>
      </c>
      <c r="C2391" s="42" t="s">
        <v>908</v>
      </c>
      <c r="D2391" s="42" t="s">
        <v>1021</v>
      </c>
      <c r="E2391" s="42" t="s">
        <v>808</v>
      </c>
      <c r="F2391" s="45">
        <v>-305467801.7760742</v>
      </c>
      <c r="G2391" s="42" t="s">
        <v>1022</v>
      </c>
      <c r="H2391" s="42" t="s">
        <v>1023</v>
      </c>
      <c r="I2391" s="42" t="s">
        <v>864</v>
      </c>
    </row>
    <row r="2392" spans="1:9">
      <c r="A2392" s="42" t="s">
        <v>897</v>
      </c>
      <c r="B2392" s="42" t="s">
        <v>358</v>
      </c>
      <c r="C2392" s="42" t="s">
        <v>996</v>
      </c>
      <c r="D2392" s="42" t="s">
        <v>1021</v>
      </c>
      <c r="E2392" s="42" t="s">
        <v>808</v>
      </c>
      <c r="F2392" s="45">
        <v>3058252.598720285</v>
      </c>
      <c r="G2392" s="42" t="s">
        <v>1022</v>
      </c>
      <c r="H2392" s="42" t="s">
        <v>1023</v>
      </c>
      <c r="I2392" s="42" t="s">
        <v>860</v>
      </c>
    </row>
    <row r="2393" spans="1:9">
      <c r="A2393" s="42" t="s">
        <v>897</v>
      </c>
      <c r="B2393" s="42" t="s">
        <v>293</v>
      </c>
      <c r="C2393" s="42" t="s">
        <v>912</v>
      </c>
      <c r="D2393" s="42" t="s">
        <v>1021</v>
      </c>
      <c r="E2393" s="42" t="s">
        <v>808</v>
      </c>
      <c r="F2393" s="45">
        <v>2124889.792617341</v>
      </c>
      <c r="G2393" s="42" t="s">
        <v>1022</v>
      </c>
      <c r="H2393" s="42" t="s">
        <v>1023</v>
      </c>
      <c r="I2393" s="42" t="s">
        <v>893</v>
      </c>
    </row>
    <row r="2394" spans="1:9">
      <c r="A2394" s="42" t="s">
        <v>897</v>
      </c>
      <c r="B2394" s="42" t="s">
        <v>369</v>
      </c>
      <c r="C2394" s="42" t="s">
        <v>970</v>
      </c>
      <c r="D2394" s="42" t="s">
        <v>1021</v>
      </c>
      <c r="E2394" s="42" t="s">
        <v>808</v>
      </c>
      <c r="F2394" s="45">
        <v>-29271846.30203701</v>
      </c>
      <c r="G2394" s="42" t="s">
        <v>1022</v>
      </c>
      <c r="H2394" s="42" t="s">
        <v>1023</v>
      </c>
      <c r="I2394" s="42" t="s">
        <v>886</v>
      </c>
    </row>
    <row r="2395" spans="1:9">
      <c r="A2395" s="42" t="s">
        <v>897</v>
      </c>
      <c r="B2395" s="42" t="s">
        <v>292</v>
      </c>
      <c r="C2395" s="42" t="s">
        <v>913</v>
      </c>
      <c r="D2395" s="42" t="s">
        <v>1021</v>
      </c>
      <c r="E2395" s="42" t="s">
        <v>808</v>
      </c>
      <c r="F2395" s="45">
        <v>-137303626.4126756</v>
      </c>
      <c r="G2395" s="42" t="s">
        <v>1022</v>
      </c>
      <c r="H2395" s="42" t="s">
        <v>1023</v>
      </c>
      <c r="I2395" s="42" t="s">
        <v>893</v>
      </c>
    </row>
    <row r="2396" spans="1:9">
      <c r="A2396" s="42" t="s">
        <v>897</v>
      </c>
      <c r="B2396" s="42" t="s">
        <v>241</v>
      </c>
      <c r="C2396" s="42" t="s">
        <v>914</v>
      </c>
      <c r="D2396" s="42" t="s">
        <v>1021</v>
      </c>
      <c r="E2396" s="42" t="s">
        <v>808</v>
      </c>
      <c r="F2396" s="45">
        <v>-13702560.34491556</v>
      </c>
      <c r="G2396" s="42" t="s">
        <v>1022</v>
      </c>
      <c r="H2396" s="42" t="s">
        <v>1023</v>
      </c>
      <c r="I2396" s="42" t="s">
        <v>893</v>
      </c>
    </row>
    <row r="2397" spans="1:9">
      <c r="A2397" s="42" t="s">
        <v>897</v>
      </c>
      <c r="B2397" s="42" t="s">
        <v>310</v>
      </c>
      <c r="C2397" s="42" t="s">
        <v>915</v>
      </c>
      <c r="D2397" s="42" t="s">
        <v>1021</v>
      </c>
      <c r="E2397" s="42" t="s">
        <v>808</v>
      </c>
      <c r="F2397" s="45">
        <v>79315979.73564166</v>
      </c>
      <c r="G2397" s="42" t="s">
        <v>1022</v>
      </c>
      <c r="H2397" s="42" t="s">
        <v>1023</v>
      </c>
      <c r="I2397" s="42" t="s">
        <v>893</v>
      </c>
    </row>
    <row r="2398" spans="1:9">
      <c r="A2398" s="42" t="s">
        <v>897</v>
      </c>
      <c r="B2398" s="42" t="s">
        <v>305</v>
      </c>
      <c r="C2398" s="42" t="s">
        <v>916</v>
      </c>
      <c r="D2398" s="42" t="s">
        <v>1021</v>
      </c>
      <c r="E2398" s="42" t="s">
        <v>808</v>
      </c>
      <c r="F2398" s="45">
        <v>29371140.21757988</v>
      </c>
      <c r="G2398" s="42" t="s">
        <v>1022</v>
      </c>
      <c r="H2398" s="42" t="s">
        <v>1023</v>
      </c>
      <c r="I2398" s="42" t="s">
        <v>893</v>
      </c>
    </row>
    <row r="2399" spans="1:9">
      <c r="A2399" s="42" t="s">
        <v>897</v>
      </c>
      <c r="B2399" s="42" t="s">
        <v>306</v>
      </c>
      <c r="C2399" s="42" t="s">
        <v>917</v>
      </c>
      <c r="D2399" s="42" t="s">
        <v>1021</v>
      </c>
      <c r="E2399" s="42" t="s">
        <v>808</v>
      </c>
      <c r="F2399" s="45">
        <v>26551193.01616247</v>
      </c>
      <c r="G2399" s="42" t="s">
        <v>1022</v>
      </c>
      <c r="H2399" s="42" t="s">
        <v>1023</v>
      </c>
      <c r="I2399" s="42" t="s">
        <v>893</v>
      </c>
    </row>
    <row r="2400" spans="1:9">
      <c r="A2400" s="42" t="s">
        <v>897</v>
      </c>
      <c r="B2400" s="42" t="s">
        <v>309</v>
      </c>
      <c r="C2400" s="42" t="s">
        <v>918</v>
      </c>
      <c r="D2400" s="42" t="s">
        <v>1021</v>
      </c>
      <c r="E2400" s="42" t="s">
        <v>808</v>
      </c>
      <c r="F2400" s="45">
        <v>6255516.679200582</v>
      </c>
      <c r="G2400" s="42" t="s">
        <v>1022</v>
      </c>
      <c r="H2400" s="42" t="s">
        <v>1023</v>
      </c>
      <c r="I2400" s="42" t="s">
        <v>893</v>
      </c>
    </row>
    <row r="2401" spans="1:9">
      <c r="A2401" s="42" t="s">
        <v>897</v>
      </c>
      <c r="B2401" s="42" t="s">
        <v>242</v>
      </c>
      <c r="C2401" s="42" t="s">
        <v>920</v>
      </c>
      <c r="D2401" s="42" t="s">
        <v>1021</v>
      </c>
      <c r="E2401" s="42" t="s">
        <v>808</v>
      </c>
      <c r="F2401" s="45">
        <v>5381730.222423358</v>
      </c>
      <c r="G2401" s="42" t="s">
        <v>1022</v>
      </c>
      <c r="H2401" s="42" t="s">
        <v>1023</v>
      </c>
      <c r="I2401" s="42" t="s">
        <v>893</v>
      </c>
    </row>
    <row r="2402" spans="1:9">
      <c r="A2402" s="42" t="s">
        <v>897</v>
      </c>
      <c r="B2402" s="42" t="s">
        <v>302</v>
      </c>
      <c r="C2402" s="42" t="s">
        <v>921</v>
      </c>
      <c r="D2402" s="42" t="s">
        <v>1021</v>
      </c>
      <c r="E2402" s="42" t="s">
        <v>808</v>
      </c>
      <c r="F2402" s="45">
        <v>17594881.83419592</v>
      </c>
      <c r="G2402" s="42" t="s">
        <v>1022</v>
      </c>
      <c r="H2402" s="42" t="s">
        <v>1023</v>
      </c>
      <c r="I2402" s="42" t="s">
        <v>893</v>
      </c>
    </row>
    <row r="2403" spans="1:9">
      <c r="A2403" s="42" t="s">
        <v>897</v>
      </c>
      <c r="B2403" s="42" t="s">
        <v>326</v>
      </c>
      <c r="C2403" s="42" t="s">
        <v>922</v>
      </c>
      <c r="D2403" s="42" t="s">
        <v>1021</v>
      </c>
      <c r="E2403" s="42" t="s">
        <v>808</v>
      </c>
      <c r="F2403" s="45">
        <v>992939.1554286638</v>
      </c>
      <c r="G2403" s="42" t="s">
        <v>1022</v>
      </c>
      <c r="H2403" s="42" t="s">
        <v>1023</v>
      </c>
      <c r="I2403" s="42" t="s">
        <v>893</v>
      </c>
    </row>
    <row r="2404" spans="1:9">
      <c r="A2404" s="42" t="s">
        <v>897</v>
      </c>
      <c r="B2404" s="42" t="s">
        <v>370</v>
      </c>
      <c r="C2404" s="42" t="s">
        <v>1017</v>
      </c>
      <c r="D2404" s="42" t="s">
        <v>1021</v>
      </c>
      <c r="E2404" s="42" t="s">
        <v>808</v>
      </c>
      <c r="F2404" s="45">
        <v>0</v>
      </c>
      <c r="G2404" s="42" t="s">
        <v>1022</v>
      </c>
      <c r="H2404" s="42" t="s">
        <v>1023</v>
      </c>
      <c r="I2404" s="42" t="s">
        <v>860</v>
      </c>
    </row>
    <row r="2405" spans="1:9">
      <c r="A2405" s="42" t="s">
        <v>897</v>
      </c>
      <c r="B2405" s="42" t="s">
        <v>328</v>
      </c>
      <c r="C2405" s="42" t="s">
        <v>924</v>
      </c>
      <c r="D2405" s="42" t="s">
        <v>1021</v>
      </c>
      <c r="E2405" s="42" t="s">
        <v>808</v>
      </c>
      <c r="F2405" s="45">
        <v>-25002207.93369376</v>
      </c>
      <c r="G2405" s="42" t="s">
        <v>1022</v>
      </c>
      <c r="H2405" s="42" t="s">
        <v>1023</v>
      </c>
      <c r="I2405" s="42" t="s">
        <v>893</v>
      </c>
    </row>
    <row r="2406" spans="1:9">
      <c r="A2406" s="42" t="s">
        <v>897</v>
      </c>
      <c r="B2406" s="42" t="s">
        <v>329</v>
      </c>
      <c r="C2406" s="42" t="s">
        <v>925</v>
      </c>
      <c r="D2406" s="42" t="s">
        <v>1021</v>
      </c>
      <c r="E2406" s="42" t="s">
        <v>808</v>
      </c>
      <c r="F2406" s="45">
        <v>1197623632.928729</v>
      </c>
      <c r="G2406" s="42" t="s">
        <v>1022</v>
      </c>
      <c r="H2406" s="42" t="s">
        <v>1023</v>
      </c>
      <c r="I2406" s="42" t="s">
        <v>893</v>
      </c>
    </row>
    <row r="2407" spans="1:9">
      <c r="A2407" s="42" t="s">
        <v>897</v>
      </c>
      <c r="B2407" s="42" t="s">
        <v>372</v>
      </c>
      <c r="C2407" s="42" t="s">
        <v>926</v>
      </c>
      <c r="D2407" s="42" t="s">
        <v>1021</v>
      </c>
      <c r="E2407" s="42" t="s">
        <v>808</v>
      </c>
      <c r="F2407" s="45">
        <v>0</v>
      </c>
      <c r="G2407" s="42" t="s">
        <v>1022</v>
      </c>
      <c r="H2407" s="42" t="s">
        <v>1023</v>
      </c>
      <c r="I2407" s="42" t="s">
        <v>896</v>
      </c>
    </row>
    <row r="2408" spans="1:9">
      <c r="A2408" s="42" t="s">
        <v>897</v>
      </c>
      <c r="B2408" s="42" t="s">
        <v>330</v>
      </c>
      <c r="C2408" s="42" t="s">
        <v>927</v>
      </c>
      <c r="D2408" s="42" t="s">
        <v>1021</v>
      </c>
      <c r="E2408" s="42" t="s">
        <v>808</v>
      </c>
      <c r="F2408" s="45">
        <v>-805253796.2695378</v>
      </c>
      <c r="G2408" s="42" t="s">
        <v>1022</v>
      </c>
      <c r="H2408" s="42" t="s">
        <v>1023</v>
      </c>
      <c r="I2408" s="42" t="s">
        <v>893</v>
      </c>
    </row>
    <row r="2409" spans="1:9">
      <c r="A2409" s="42" t="s">
        <v>897</v>
      </c>
      <c r="B2409" s="42" t="s">
        <v>332</v>
      </c>
      <c r="C2409" s="42" t="s">
        <v>932</v>
      </c>
      <c r="D2409" s="42" t="s">
        <v>1021</v>
      </c>
      <c r="E2409" s="42" t="s">
        <v>808</v>
      </c>
      <c r="F2409" s="45">
        <v>-1092233.07097153</v>
      </c>
      <c r="G2409" s="42" t="s">
        <v>1022</v>
      </c>
      <c r="H2409" s="42" t="s">
        <v>1023</v>
      </c>
      <c r="I2409" s="42" t="s">
        <v>893</v>
      </c>
    </row>
    <row r="2410" spans="1:9">
      <c r="A2410" s="42" t="s">
        <v>897</v>
      </c>
      <c r="B2410" s="42" t="s">
        <v>334</v>
      </c>
      <c r="C2410" s="42" t="s">
        <v>933</v>
      </c>
      <c r="D2410" s="42" t="s">
        <v>1021</v>
      </c>
      <c r="E2410" s="42" t="s">
        <v>808</v>
      </c>
      <c r="F2410" s="45">
        <v>0</v>
      </c>
      <c r="G2410" s="42" t="s">
        <v>1022</v>
      </c>
      <c r="H2410" s="42" t="s">
        <v>1023</v>
      </c>
      <c r="I2410" s="42" t="s">
        <v>893</v>
      </c>
    </row>
    <row r="2411" spans="1:9">
      <c r="A2411" s="42" t="s">
        <v>897</v>
      </c>
      <c r="B2411" s="42" t="s">
        <v>336</v>
      </c>
      <c r="C2411" s="42" t="s">
        <v>938</v>
      </c>
      <c r="D2411" s="42" t="s">
        <v>1021</v>
      </c>
      <c r="E2411" s="42" t="s">
        <v>808</v>
      </c>
      <c r="F2411" s="45">
        <v>-800011077.5288745</v>
      </c>
      <c r="G2411" s="42" t="s">
        <v>1022</v>
      </c>
      <c r="H2411" s="42" t="s">
        <v>1023</v>
      </c>
      <c r="I2411" s="42" t="s">
        <v>893</v>
      </c>
    </row>
    <row r="2412" spans="1:9">
      <c r="A2412" s="42" t="s">
        <v>897</v>
      </c>
      <c r="B2412" s="42" t="s">
        <v>936</v>
      </c>
      <c r="C2412" s="42" t="s">
        <v>997</v>
      </c>
      <c r="D2412" s="42" t="s">
        <v>1021</v>
      </c>
      <c r="E2412" s="42" t="s">
        <v>808</v>
      </c>
      <c r="F2412" s="45">
        <v>-243349528.2124569</v>
      </c>
      <c r="G2412" s="42" t="s">
        <v>1022</v>
      </c>
      <c r="H2412" s="42" t="s">
        <v>1023</v>
      </c>
      <c r="I2412" s="42" t="s">
        <v>861</v>
      </c>
    </row>
    <row r="2413" spans="1:9">
      <c r="A2413" s="42" t="s">
        <v>897</v>
      </c>
      <c r="B2413" s="42" t="s">
        <v>388</v>
      </c>
      <c r="C2413" s="42" t="s">
        <v>1024</v>
      </c>
      <c r="D2413" s="42" t="s">
        <v>1021</v>
      </c>
      <c r="E2413" s="42" t="s">
        <v>808</v>
      </c>
      <c r="F2413" s="45">
        <v>-2502206.671680233</v>
      </c>
      <c r="G2413" s="42" t="s">
        <v>1022</v>
      </c>
      <c r="H2413" s="42" t="s">
        <v>1023</v>
      </c>
      <c r="I2413" s="42" t="s">
        <v>860</v>
      </c>
    </row>
    <row r="2414" spans="1:9">
      <c r="A2414" s="42" t="s">
        <v>897</v>
      </c>
      <c r="B2414" s="42" t="s">
        <v>389</v>
      </c>
      <c r="C2414" s="42" t="s">
        <v>998</v>
      </c>
      <c r="D2414" s="42" t="s">
        <v>1021</v>
      </c>
      <c r="E2414" s="42" t="s">
        <v>808</v>
      </c>
      <c r="F2414" s="45">
        <v>319607255.3493783</v>
      </c>
      <c r="G2414" s="42" t="s">
        <v>1022</v>
      </c>
      <c r="H2414" s="42" t="s">
        <v>1023</v>
      </c>
      <c r="I2414" s="42" t="s">
        <v>865</v>
      </c>
    </row>
    <row r="2415" spans="1:9">
      <c r="A2415" s="42" t="s">
        <v>897</v>
      </c>
      <c r="B2415" s="42" t="s">
        <v>337</v>
      </c>
      <c r="C2415" s="42" t="s">
        <v>991</v>
      </c>
      <c r="D2415" s="42" t="s">
        <v>1021</v>
      </c>
      <c r="E2415" s="42" t="s">
        <v>808</v>
      </c>
      <c r="F2415" s="45">
        <v>-730187596.1191308</v>
      </c>
      <c r="G2415" s="42" t="s">
        <v>1022</v>
      </c>
      <c r="H2415" s="42" t="s">
        <v>1023</v>
      </c>
      <c r="I2415" s="42" t="s">
        <v>893</v>
      </c>
    </row>
    <row r="2416" spans="1:9">
      <c r="A2416" s="42" t="s">
        <v>897</v>
      </c>
      <c r="B2416" s="42" t="s">
        <v>939</v>
      </c>
      <c r="C2416" s="42" t="s">
        <v>973</v>
      </c>
      <c r="D2416" s="42" t="s">
        <v>1021</v>
      </c>
      <c r="E2416" s="42" t="s">
        <v>808</v>
      </c>
      <c r="F2416" s="45">
        <v>311326142.7931033</v>
      </c>
      <c r="G2416" s="42" t="s">
        <v>1022</v>
      </c>
      <c r="H2416" s="42" t="s">
        <v>1023</v>
      </c>
      <c r="I2416" s="42" t="s">
        <v>893</v>
      </c>
    </row>
    <row r="2417" spans="1:9">
      <c r="A2417" s="42" t="s">
        <v>897</v>
      </c>
      <c r="B2417" s="42" t="s">
        <v>941</v>
      </c>
      <c r="C2417" s="42" t="s">
        <v>977</v>
      </c>
      <c r="D2417" s="42" t="s">
        <v>1021</v>
      </c>
      <c r="E2417" s="42" t="s">
        <v>808</v>
      </c>
      <c r="F2417" s="45">
        <v>0</v>
      </c>
      <c r="G2417" s="42" t="s">
        <v>1022</v>
      </c>
      <c r="H2417" s="42" t="s">
        <v>1023</v>
      </c>
      <c r="I2417" s="42" t="s">
        <v>893</v>
      </c>
    </row>
    <row r="2418" spans="1:9">
      <c r="A2418" s="42" t="s">
        <v>897</v>
      </c>
      <c r="B2418" s="42" t="s">
        <v>342</v>
      </c>
      <c r="C2418" s="42" t="s">
        <v>1014</v>
      </c>
      <c r="D2418" s="42" t="s">
        <v>1021</v>
      </c>
      <c r="E2418" s="42" t="s">
        <v>808</v>
      </c>
      <c r="F2418" s="45">
        <v>-87180057.84663668</v>
      </c>
      <c r="G2418" s="42" t="s">
        <v>1022</v>
      </c>
      <c r="H2418" s="42" t="s">
        <v>1023</v>
      </c>
      <c r="I2418" s="42" t="s">
        <v>893</v>
      </c>
    </row>
    <row r="2419" spans="1:9">
      <c r="A2419" s="42" t="s">
        <v>897</v>
      </c>
      <c r="B2419" s="42" t="s">
        <v>344</v>
      </c>
      <c r="C2419" s="42" t="s">
        <v>980</v>
      </c>
      <c r="D2419" s="42" t="s">
        <v>1021</v>
      </c>
      <c r="E2419" s="42" t="s">
        <v>808</v>
      </c>
      <c r="F2419" s="45">
        <v>-797568447.20652</v>
      </c>
      <c r="G2419" s="42" t="s">
        <v>1022</v>
      </c>
      <c r="H2419" s="42" t="s">
        <v>1023</v>
      </c>
      <c r="I2419" s="42" t="s">
        <v>893</v>
      </c>
    </row>
    <row r="2420" spans="1:9">
      <c r="A2420" s="42" t="s">
        <v>897</v>
      </c>
      <c r="B2420" s="42" t="s">
        <v>395</v>
      </c>
      <c r="C2420" s="42" t="s">
        <v>999</v>
      </c>
      <c r="D2420" s="42" t="s">
        <v>1021</v>
      </c>
      <c r="E2420" s="42" t="s">
        <v>808</v>
      </c>
      <c r="F2420" s="45">
        <v>-80348636.45728749</v>
      </c>
      <c r="G2420" s="42" t="s">
        <v>1022</v>
      </c>
      <c r="H2420" s="42" t="s">
        <v>1023</v>
      </c>
      <c r="I2420" s="42" t="s">
        <v>860</v>
      </c>
    </row>
    <row r="2421" spans="1:9">
      <c r="A2421" s="42" t="s">
        <v>897</v>
      </c>
      <c r="B2421" s="42" t="s">
        <v>350</v>
      </c>
      <c r="C2421" s="42" t="s">
        <v>1003</v>
      </c>
      <c r="D2421" s="42" t="s">
        <v>851</v>
      </c>
      <c r="E2421" s="42" t="s">
        <v>808</v>
      </c>
      <c r="F2421" s="45">
        <v>-174749933.6026037</v>
      </c>
      <c r="G2421" s="42" t="s">
        <v>1025</v>
      </c>
      <c r="H2421" s="42" t="s">
        <v>1026</v>
      </c>
      <c r="I2421" s="42" t="s">
        <v>854</v>
      </c>
    </row>
    <row r="2422" spans="1:9">
      <c r="A2422" s="42" t="s">
        <v>897</v>
      </c>
      <c r="B2422" s="42" t="s">
        <v>314</v>
      </c>
      <c r="C2422" s="42" t="s">
        <v>900</v>
      </c>
      <c r="D2422" s="42" t="s">
        <v>851</v>
      </c>
      <c r="E2422" s="42" t="s">
        <v>808</v>
      </c>
      <c r="F2422" s="45">
        <v>787589648.6064045</v>
      </c>
      <c r="G2422" s="42" t="s">
        <v>1025</v>
      </c>
      <c r="H2422" s="42" t="s">
        <v>1027</v>
      </c>
      <c r="I2422" s="42" t="s">
        <v>893</v>
      </c>
    </row>
    <row r="2423" spans="1:9">
      <c r="A2423" s="42" t="s">
        <v>897</v>
      </c>
      <c r="B2423" s="42" t="s">
        <v>315</v>
      </c>
      <c r="C2423" s="42" t="s">
        <v>901</v>
      </c>
      <c r="D2423" s="42" t="s">
        <v>851</v>
      </c>
      <c r="E2423" s="42" t="s">
        <v>808</v>
      </c>
      <c r="F2423" s="45">
        <v>11963856.98380128</v>
      </c>
      <c r="G2423" s="42" t="s">
        <v>1025</v>
      </c>
      <c r="H2423" s="42" t="s">
        <v>1027</v>
      </c>
      <c r="I2423" s="42" t="s">
        <v>893</v>
      </c>
    </row>
    <row r="2424" spans="1:9">
      <c r="A2424" s="42" t="s">
        <v>897</v>
      </c>
      <c r="B2424" s="42" t="s">
        <v>316</v>
      </c>
      <c r="C2424" s="42" t="s">
        <v>1004</v>
      </c>
      <c r="D2424" s="42" t="s">
        <v>851</v>
      </c>
      <c r="E2424" s="42" t="s">
        <v>808</v>
      </c>
      <c r="F2424" s="45">
        <v>55803208.80878819</v>
      </c>
      <c r="G2424" s="42" t="s">
        <v>1025</v>
      </c>
      <c r="H2424" s="42" t="s">
        <v>1027</v>
      </c>
      <c r="I2424" s="42" t="s">
        <v>893</v>
      </c>
    </row>
    <row r="2425" spans="1:9">
      <c r="A2425" s="42" t="s">
        <v>897</v>
      </c>
      <c r="B2425" s="42" t="s">
        <v>318</v>
      </c>
      <c r="C2425" s="42" t="s">
        <v>904</v>
      </c>
      <c r="D2425" s="42" t="s">
        <v>851</v>
      </c>
      <c r="E2425" s="42" t="s">
        <v>808</v>
      </c>
      <c r="F2425" s="45">
        <v>-135905365.5113336</v>
      </c>
      <c r="G2425" s="42" t="s">
        <v>1025</v>
      </c>
      <c r="H2425" s="42" t="s">
        <v>1027</v>
      </c>
      <c r="I2425" s="42" t="s">
        <v>893</v>
      </c>
    </row>
    <row r="2426" spans="1:9">
      <c r="A2426" s="42" t="s">
        <v>897</v>
      </c>
      <c r="B2426" s="42" t="s">
        <v>319</v>
      </c>
      <c r="C2426" s="42" t="s">
        <v>907</v>
      </c>
      <c r="D2426" s="42" t="s">
        <v>851</v>
      </c>
      <c r="E2426" s="42" t="s">
        <v>808</v>
      </c>
      <c r="F2426" s="45">
        <v>202474358.1786058</v>
      </c>
      <c r="G2426" s="42" t="s">
        <v>1025</v>
      </c>
      <c r="H2426" s="42" t="s">
        <v>1027</v>
      </c>
      <c r="I2426" s="42" t="s">
        <v>893</v>
      </c>
    </row>
    <row r="2427" spans="1:9">
      <c r="A2427" s="42" t="s">
        <v>897</v>
      </c>
      <c r="B2427" s="42" t="s">
        <v>357</v>
      </c>
      <c r="C2427" s="42" t="s">
        <v>908</v>
      </c>
      <c r="D2427" s="42" t="s">
        <v>851</v>
      </c>
      <c r="E2427" s="42" t="s">
        <v>808</v>
      </c>
      <c r="F2427" s="45">
        <v>128598806.8738357</v>
      </c>
      <c r="G2427" s="42" t="s">
        <v>1025</v>
      </c>
      <c r="H2427" s="42" t="s">
        <v>1027</v>
      </c>
      <c r="I2427" s="42" t="s">
        <v>864</v>
      </c>
    </row>
    <row r="2428" spans="1:9">
      <c r="A2428" s="42" t="s">
        <v>897</v>
      </c>
      <c r="B2428" s="42" t="s">
        <v>359</v>
      </c>
      <c r="C2428" s="42" t="s">
        <v>969</v>
      </c>
      <c r="D2428" s="42" t="s">
        <v>851</v>
      </c>
      <c r="E2428" s="42" t="s">
        <v>808</v>
      </c>
      <c r="F2428" s="45">
        <v>-4201693.073295512</v>
      </c>
      <c r="G2428" s="42" t="s">
        <v>1025</v>
      </c>
      <c r="H2428" s="42" t="s">
        <v>1027</v>
      </c>
      <c r="I2428" s="42" t="s">
        <v>853</v>
      </c>
    </row>
    <row r="2429" spans="1:9">
      <c r="A2429" s="42" t="s">
        <v>897</v>
      </c>
      <c r="B2429" s="42" t="s">
        <v>293</v>
      </c>
      <c r="C2429" s="42" t="s">
        <v>912</v>
      </c>
      <c r="D2429" s="42" t="s">
        <v>851</v>
      </c>
      <c r="E2429" s="42" t="s">
        <v>808</v>
      </c>
      <c r="F2429" s="45">
        <v>55634466.11508153</v>
      </c>
      <c r="G2429" s="42" t="s">
        <v>1025</v>
      </c>
      <c r="H2429" s="42" t="s">
        <v>1027</v>
      </c>
      <c r="I2429" s="42" t="s">
        <v>893</v>
      </c>
    </row>
    <row r="2430" spans="1:9">
      <c r="A2430" s="42" t="s">
        <v>897</v>
      </c>
      <c r="B2430" s="42" t="s">
        <v>369</v>
      </c>
      <c r="C2430" s="42" t="s">
        <v>970</v>
      </c>
      <c r="D2430" s="42" t="s">
        <v>851</v>
      </c>
      <c r="E2430" s="42" t="s">
        <v>808</v>
      </c>
      <c r="F2430" s="45">
        <v>-24383319.2406105</v>
      </c>
      <c r="G2430" s="42" t="s">
        <v>1025</v>
      </c>
      <c r="H2430" s="42" t="s">
        <v>1027</v>
      </c>
      <c r="I2430" s="42" t="s">
        <v>886</v>
      </c>
    </row>
    <row r="2431" spans="1:9">
      <c r="A2431" s="42" t="s">
        <v>897</v>
      </c>
      <c r="B2431" s="42" t="s">
        <v>292</v>
      </c>
      <c r="C2431" s="42" t="s">
        <v>913</v>
      </c>
      <c r="D2431" s="42" t="s">
        <v>851</v>
      </c>
      <c r="E2431" s="42" t="s">
        <v>808</v>
      </c>
      <c r="F2431" s="45">
        <v>-55465723.42137489</v>
      </c>
      <c r="G2431" s="42" t="s">
        <v>1025</v>
      </c>
      <c r="H2431" s="42" t="s">
        <v>1027</v>
      </c>
      <c r="I2431" s="42" t="s">
        <v>893</v>
      </c>
    </row>
    <row r="2432" spans="1:9">
      <c r="A2432" s="42" t="s">
        <v>897</v>
      </c>
      <c r="B2432" s="42" t="s">
        <v>241</v>
      </c>
      <c r="C2432" s="42" t="s">
        <v>914</v>
      </c>
      <c r="D2432" s="42" t="s">
        <v>851</v>
      </c>
      <c r="E2432" s="42" t="s">
        <v>808</v>
      </c>
      <c r="F2432" s="45">
        <v>287335058.8436786</v>
      </c>
      <c r="G2432" s="42" t="s">
        <v>1025</v>
      </c>
      <c r="H2432" s="42" t="s">
        <v>1027</v>
      </c>
      <c r="I2432" s="42" t="s">
        <v>893</v>
      </c>
    </row>
    <row r="2433" spans="1:9">
      <c r="A2433" s="42" t="s">
        <v>897</v>
      </c>
      <c r="B2433" s="42" t="s">
        <v>310</v>
      </c>
      <c r="C2433" s="42" t="s">
        <v>915</v>
      </c>
      <c r="D2433" s="42" t="s">
        <v>851</v>
      </c>
      <c r="E2433" s="42" t="s">
        <v>808</v>
      </c>
      <c r="F2433" s="45">
        <v>121157254.0813726</v>
      </c>
      <c r="G2433" s="42" t="s">
        <v>1025</v>
      </c>
      <c r="H2433" s="42" t="s">
        <v>1027</v>
      </c>
      <c r="I2433" s="42" t="s">
        <v>893</v>
      </c>
    </row>
    <row r="2434" spans="1:9">
      <c r="A2434" s="42" t="s">
        <v>897</v>
      </c>
      <c r="B2434" s="42" t="s">
        <v>305</v>
      </c>
      <c r="C2434" s="42" t="s">
        <v>916</v>
      </c>
      <c r="D2434" s="42" t="s">
        <v>851</v>
      </c>
      <c r="E2434" s="42" t="s">
        <v>808</v>
      </c>
      <c r="F2434" s="45">
        <v>-57929366.74949194</v>
      </c>
      <c r="G2434" s="42" t="s">
        <v>1025</v>
      </c>
      <c r="H2434" s="42" t="s">
        <v>1027</v>
      </c>
      <c r="I2434" s="42" t="s">
        <v>893</v>
      </c>
    </row>
    <row r="2435" spans="1:9">
      <c r="A2435" s="42" t="s">
        <v>897</v>
      </c>
      <c r="B2435" s="42" t="s">
        <v>306</v>
      </c>
      <c r="C2435" s="42" t="s">
        <v>917</v>
      </c>
      <c r="D2435" s="42" t="s">
        <v>851</v>
      </c>
      <c r="E2435" s="42" t="s">
        <v>808</v>
      </c>
      <c r="F2435" s="45">
        <v>39941395.60036337</v>
      </c>
      <c r="G2435" s="42" t="s">
        <v>1025</v>
      </c>
      <c r="H2435" s="42" t="s">
        <v>1027</v>
      </c>
      <c r="I2435" s="42" t="s">
        <v>893</v>
      </c>
    </row>
    <row r="2436" spans="1:9">
      <c r="A2436" s="42" t="s">
        <v>897</v>
      </c>
      <c r="B2436" s="42" t="s">
        <v>309</v>
      </c>
      <c r="C2436" s="42" t="s">
        <v>918</v>
      </c>
      <c r="D2436" s="42" t="s">
        <v>851</v>
      </c>
      <c r="E2436" s="42" t="s">
        <v>808</v>
      </c>
      <c r="F2436" s="45">
        <v>1754924.01454913</v>
      </c>
      <c r="G2436" s="42" t="s">
        <v>1025</v>
      </c>
      <c r="H2436" s="42" t="s">
        <v>1027</v>
      </c>
      <c r="I2436" s="42" t="s">
        <v>893</v>
      </c>
    </row>
    <row r="2437" spans="1:9">
      <c r="A2437" s="42" t="s">
        <v>897</v>
      </c>
      <c r="B2437" s="42" t="s">
        <v>242</v>
      </c>
      <c r="C2437" s="42" t="s">
        <v>920</v>
      </c>
      <c r="D2437" s="42" t="s">
        <v>851</v>
      </c>
      <c r="E2437" s="42" t="s">
        <v>808</v>
      </c>
      <c r="F2437" s="45">
        <v>4556052.730079471</v>
      </c>
      <c r="G2437" s="42" t="s">
        <v>1025</v>
      </c>
      <c r="H2437" s="42" t="s">
        <v>1027</v>
      </c>
      <c r="I2437" s="42" t="s">
        <v>893</v>
      </c>
    </row>
    <row r="2438" spans="1:9">
      <c r="A2438" s="42" t="s">
        <v>897</v>
      </c>
      <c r="B2438" s="42" t="s">
        <v>302</v>
      </c>
      <c r="C2438" s="42" t="s">
        <v>921</v>
      </c>
      <c r="D2438" s="42" t="s">
        <v>851</v>
      </c>
      <c r="E2438" s="42" t="s">
        <v>808</v>
      </c>
      <c r="F2438" s="45">
        <v>2024912.324479765</v>
      </c>
      <c r="G2438" s="42" t="s">
        <v>1025</v>
      </c>
      <c r="H2438" s="42" t="s">
        <v>1027</v>
      </c>
      <c r="I2438" s="42" t="s">
        <v>893</v>
      </c>
    </row>
    <row r="2439" spans="1:9">
      <c r="A2439" s="42" t="s">
        <v>897</v>
      </c>
      <c r="B2439" s="42" t="s">
        <v>326</v>
      </c>
      <c r="C2439" s="42" t="s">
        <v>922</v>
      </c>
      <c r="D2439" s="42" t="s">
        <v>851</v>
      </c>
      <c r="E2439" s="42" t="s">
        <v>808</v>
      </c>
      <c r="F2439" s="45">
        <v>0</v>
      </c>
      <c r="G2439" s="42" t="s">
        <v>1025</v>
      </c>
      <c r="H2439" s="42" t="s">
        <v>1027</v>
      </c>
      <c r="I2439" s="42" t="s">
        <v>893</v>
      </c>
    </row>
    <row r="2440" spans="1:9">
      <c r="A2440" s="42" t="s">
        <v>897</v>
      </c>
      <c r="B2440" s="42" t="s">
        <v>328</v>
      </c>
      <c r="C2440" s="42" t="s">
        <v>924</v>
      </c>
      <c r="D2440" s="42" t="s">
        <v>851</v>
      </c>
      <c r="E2440" s="42" t="s">
        <v>808</v>
      </c>
      <c r="F2440" s="45">
        <v>-10816406.66659608</v>
      </c>
      <c r="G2440" s="42" t="s">
        <v>1025</v>
      </c>
      <c r="H2440" s="42" t="s">
        <v>1027</v>
      </c>
      <c r="I2440" s="42" t="s">
        <v>893</v>
      </c>
    </row>
    <row r="2441" spans="1:9">
      <c r="A2441" s="42" t="s">
        <v>897</v>
      </c>
      <c r="B2441" s="42" t="s">
        <v>329</v>
      </c>
      <c r="C2441" s="42" t="s">
        <v>925</v>
      </c>
      <c r="D2441" s="42" t="s">
        <v>851</v>
      </c>
      <c r="E2441" s="42" t="s">
        <v>808</v>
      </c>
      <c r="F2441" s="45">
        <v>1239313839.659099</v>
      </c>
      <c r="G2441" s="42" t="s">
        <v>1025</v>
      </c>
      <c r="H2441" s="42" t="s">
        <v>1027</v>
      </c>
      <c r="I2441" s="42" t="s">
        <v>893</v>
      </c>
    </row>
    <row r="2442" spans="1:9">
      <c r="A2442" s="42" t="s">
        <v>897</v>
      </c>
      <c r="B2442" s="42" t="s">
        <v>372</v>
      </c>
      <c r="C2442" s="42" t="s">
        <v>926</v>
      </c>
      <c r="D2442" s="42" t="s">
        <v>851</v>
      </c>
      <c r="E2442" s="42" t="s">
        <v>808</v>
      </c>
      <c r="F2442" s="45">
        <v>0</v>
      </c>
      <c r="G2442" s="42" t="s">
        <v>1025</v>
      </c>
      <c r="H2442" s="42" t="s">
        <v>1027</v>
      </c>
      <c r="I2442" s="42" t="s">
        <v>896</v>
      </c>
    </row>
    <row r="2443" spans="1:9">
      <c r="A2443" s="42" t="s">
        <v>897</v>
      </c>
      <c r="B2443" s="42" t="s">
        <v>330</v>
      </c>
      <c r="C2443" s="42" t="s">
        <v>927</v>
      </c>
      <c r="D2443" s="42" t="s">
        <v>851</v>
      </c>
      <c r="E2443" s="42" t="s">
        <v>808</v>
      </c>
      <c r="F2443" s="45">
        <v>-786189084.2486393</v>
      </c>
      <c r="G2443" s="42" t="s">
        <v>1025</v>
      </c>
      <c r="H2443" s="42" t="s">
        <v>1027</v>
      </c>
      <c r="I2443" s="42" t="s">
        <v>893</v>
      </c>
    </row>
    <row r="2444" spans="1:9">
      <c r="A2444" s="42" t="s">
        <v>897</v>
      </c>
      <c r="B2444" s="42" t="s">
        <v>332</v>
      </c>
      <c r="C2444" s="42" t="s">
        <v>932</v>
      </c>
      <c r="D2444" s="42" t="s">
        <v>851</v>
      </c>
      <c r="E2444" s="42" t="s">
        <v>808</v>
      </c>
      <c r="F2444" s="45">
        <v>-1603055.590213147</v>
      </c>
      <c r="G2444" s="42" t="s">
        <v>1025</v>
      </c>
      <c r="H2444" s="42" t="s">
        <v>1027</v>
      </c>
      <c r="I2444" s="42" t="s">
        <v>893</v>
      </c>
    </row>
    <row r="2445" spans="1:9">
      <c r="A2445" s="42" t="s">
        <v>897</v>
      </c>
      <c r="B2445" s="42" t="s">
        <v>334</v>
      </c>
      <c r="C2445" s="42" t="s">
        <v>933</v>
      </c>
      <c r="D2445" s="42" t="s">
        <v>851</v>
      </c>
      <c r="E2445" s="42" t="s">
        <v>808</v>
      </c>
      <c r="F2445" s="45">
        <v>10310178.58547614</v>
      </c>
      <c r="G2445" s="42" t="s">
        <v>1025</v>
      </c>
      <c r="H2445" s="42" t="s">
        <v>1027</v>
      </c>
      <c r="I2445" s="42" t="s">
        <v>893</v>
      </c>
    </row>
    <row r="2446" spans="1:9">
      <c r="A2446" s="42" t="s">
        <v>897</v>
      </c>
      <c r="B2446" s="42" t="s">
        <v>336</v>
      </c>
      <c r="C2446" s="42" t="s">
        <v>938</v>
      </c>
      <c r="D2446" s="42" t="s">
        <v>851</v>
      </c>
      <c r="E2446" s="42" t="s">
        <v>808</v>
      </c>
      <c r="F2446" s="45">
        <v>-776418882.2830244</v>
      </c>
      <c r="G2446" s="42" t="s">
        <v>1025</v>
      </c>
      <c r="H2446" s="42" t="s">
        <v>1027</v>
      </c>
      <c r="I2446" s="42" t="s">
        <v>893</v>
      </c>
    </row>
    <row r="2447" spans="1:9">
      <c r="A2447" s="42" t="s">
        <v>897</v>
      </c>
      <c r="B2447" s="42" t="s">
        <v>337</v>
      </c>
      <c r="C2447" s="42" t="s">
        <v>991</v>
      </c>
      <c r="D2447" s="42" t="s">
        <v>851</v>
      </c>
      <c r="E2447" s="42" t="s">
        <v>808</v>
      </c>
      <c r="F2447" s="45">
        <v>-394773531.9267008</v>
      </c>
      <c r="G2447" s="42" t="s">
        <v>1025</v>
      </c>
      <c r="H2447" s="42" t="s">
        <v>1027</v>
      </c>
      <c r="I2447" s="42" t="s">
        <v>893</v>
      </c>
    </row>
    <row r="2448" spans="1:9">
      <c r="A2448" s="42" t="s">
        <v>897</v>
      </c>
      <c r="B2448" s="42" t="s">
        <v>939</v>
      </c>
      <c r="C2448" s="42" t="s">
        <v>973</v>
      </c>
      <c r="D2448" s="42" t="s">
        <v>851</v>
      </c>
      <c r="E2448" s="42" t="s">
        <v>808</v>
      </c>
      <c r="F2448" s="45">
        <v>446071310.8135216</v>
      </c>
      <c r="G2448" s="42" t="s">
        <v>1025</v>
      </c>
      <c r="H2448" s="42" t="s">
        <v>1027</v>
      </c>
      <c r="I2448" s="42" t="s">
        <v>893</v>
      </c>
    </row>
    <row r="2449" spans="1:9">
      <c r="A2449" s="42" t="s">
        <v>897</v>
      </c>
      <c r="B2449" s="42" t="s">
        <v>943</v>
      </c>
      <c r="C2449" s="42" t="s">
        <v>974</v>
      </c>
      <c r="D2449" s="42" t="s">
        <v>851</v>
      </c>
      <c r="E2449" s="42" t="s">
        <v>808</v>
      </c>
      <c r="F2449" s="45">
        <v>0</v>
      </c>
      <c r="G2449" s="42" t="s">
        <v>1025</v>
      </c>
      <c r="H2449" s="42" t="s">
        <v>1027</v>
      </c>
      <c r="I2449" s="42" t="s">
        <v>822</v>
      </c>
    </row>
    <row r="2450" spans="1:9">
      <c r="A2450" s="42" t="s">
        <v>897</v>
      </c>
      <c r="B2450" s="42" t="s">
        <v>941</v>
      </c>
      <c r="C2450" s="42" t="s">
        <v>977</v>
      </c>
      <c r="D2450" s="42" t="s">
        <v>851</v>
      </c>
      <c r="E2450" s="42" t="s">
        <v>808</v>
      </c>
      <c r="F2450" s="45">
        <v>0</v>
      </c>
      <c r="G2450" s="42" t="s">
        <v>1025</v>
      </c>
      <c r="H2450" s="42" t="s">
        <v>1027</v>
      </c>
      <c r="I2450" s="42" t="s">
        <v>893</v>
      </c>
    </row>
    <row r="2451" spans="1:9">
      <c r="A2451" s="42" t="s">
        <v>897</v>
      </c>
      <c r="B2451" s="42" t="s">
        <v>342</v>
      </c>
      <c r="C2451" s="42" t="s">
        <v>1014</v>
      </c>
      <c r="D2451" s="42" t="s">
        <v>851</v>
      </c>
      <c r="E2451" s="42" t="s">
        <v>808</v>
      </c>
      <c r="F2451" s="45">
        <v>-88539291.38787772</v>
      </c>
      <c r="G2451" s="42" t="s">
        <v>1025</v>
      </c>
      <c r="H2451" s="42" t="s">
        <v>1027</v>
      </c>
      <c r="I2451" s="42" t="s">
        <v>893</v>
      </c>
    </row>
    <row r="2452" spans="1:9">
      <c r="A2452" s="42" t="s">
        <v>897</v>
      </c>
      <c r="B2452" s="42" t="s">
        <v>394</v>
      </c>
      <c r="C2452" s="42" t="s">
        <v>992</v>
      </c>
      <c r="D2452" s="42" t="s">
        <v>851</v>
      </c>
      <c r="E2452" s="42" t="s">
        <v>808</v>
      </c>
      <c r="F2452" s="45">
        <v>232375563.5034237</v>
      </c>
      <c r="G2452" s="42" t="s">
        <v>1025</v>
      </c>
      <c r="H2452" s="42" t="s">
        <v>1027</v>
      </c>
      <c r="I2452" s="42" t="s">
        <v>891</v>
      </c>
    </row>
    <row r="2453" spans="1:9">
      <c r="A2453" s="42" t="s">
        <v>897</v>
      </c>
      <c r="B2453" s="42" t="s">
        <v>344</v>
      </c>
      <c r="C2453" s="42" t="s">
        <v>980</v>
      </c>
      <c r="D2453" s="42" t="s">
        <v>851</v>
      </c>
      <c r="E2453" s="42" t="s">
        <v>808</v>
      </c>
      <c r="F2453" s="45">
        <v>-251342242.2760508</v>
      </c>
      <c r="G2453" s="42" t="s">
        <v>1025</v>
      </c>
      <c r="H2453" s="42" t="s">
        <v>1027</v>
      </c>
      <c r="I2453" s="42" t="s">
        <v>893</v>
      </c>
    </row>
    <row r="2454" spans="1:9">
      <c r="A2454" s="42" t="s">
        <v>897</v>
      </c>
      <c r="B2454" s="42" t="s">
        <v>394</v>
      </c>
      <c r="C2454" s="42" t="s">
        <v>993</v>
      </c>
      <c r="D2454" s="42" t="s">
        <v>851</v>
      </c>
      <c r="E2454" s="42" t="s">
        <v>808</v>
      </c>
      <c r="F2454" s="45">
        <v>232375563.5034237</v>
      </c>
      <c r="G2454" s="42" t="s">
        <v>1025</v>
      </c>
      <c r="H2454" s="42" t="s">
        <v>1027</v>
      </c>
      <c r="I2454" s="42" t="s">
        <v>891</v>
      </c>
    </row>
    <row r="2455" spans="1:9">
      <c r="A2455" s="42" t="s">
        <v>897</v>
      </c>
      <c r="B2455" s="42" t="s">
        <v>348</v>
      </c>
      <c r="C2455" s="42" t="s">
        <v>982</v>
      </c>
      <c r="D2455" s="42" t="s">
        <v>851</v>
      </c>
      <c r="E2455" s="42" t="s">
        <v>808</v>
      </c>
      <c r="F2455" s="45">
        <v>1103771171.166236</v>
      </c>
      <c r="G2455" s="42" t="s">
        <v>985</v>
      </c>
      <c r="H2455" s="42" t="s">
        <v>108</v>
      </c>
      <c r="I2455" s="42" t="s">
        <v>893</v>
      </c>
    </row>
    <row r="2456" spans="1:9">
      <c r="A2456" s="42" t="s">
        <v>897</v>
      </c>
      <c r="B2456" s="42" t="s">
        <v>349</v>
      </c>
      <c r="C2456" s="42" t="s">
        <v>898</v>
      </c>
      <c r="D2456" s="42" t="s">
        <v>852</v>
      </c>
      <c r="E2456" s="42" t="s">
        <v>762</v>
      </c>
      <c r="F2456" s="45">
        <v>-1006951629.297126</v>
      </c>
      <c r="G2456" s="42" t="s">
        <v>763</v>
      </c>
      <c r="H2456" s="42" t="s">
        <v>98</v>
      </c>
      <c r="I2456" s="42" t="s">
        <v>865</v>
      </c>
    </row>
    <row r="2457" spans="1:9">
      <c r="A2457" s="42" t="s">
        <v>897</v>
      </c>
      <c r="B2457" s="42" t="s">
        <v>350</v>
      </c>
      <c r="C2457" s="42" t="s">
        <v>1003</v>
      </c>
      <c r="D2457" s="42" t="s">
        <v>852</v>
      </c>
      <c r="E2457" s="42" t="s">
        <v>762</v>
      </c>
      <c r="F2457" s="45">
        <v>-1021000000</v>
      </c>
      <c r="G2457" s="42" t="s">
        <v>763</v>
      </c>
      <c r="H2457" s="42" t="s">
        <v>119</v>
      </c>
      <c r="I2457" s="42" t="s">
        <v>854</v>
      </c>
    </row>
    <row r="2458" spans="1:9">
      <c r="A2458" s="42" t="s">
        <v>897</v>
      </c>
      <c r="B2458" s="42" t="s">
        <v>201</v>
      </c>
      <c r="C2458" s="42" t="s">
        <v>966</v>
      </c>
      <c r="D2458" s="42" t="s">
        <v>852</v>
      </c>
      <c r="E2458" s="42" t="s">
        <v>762</v>
      </c>
      <c r="F2458" s="45">
        <v>-188000000</v>
      </c>
      <c r="G2458" s="42" t="s">
        <v>763</v>
      </c>
      <c r="H2458" s="42" t="s">
        <v>119</v>
      </c>
      <c r="I2458" s="42" t="s">
        <v>893</v>
      </c>
    </row>
    <row r="2459" spans="1:9">
      <c r="A2459" s="42" t="s">
        <v>897</v>
      </c>
      <c r="B2459" s="42" t="s">
        <v>314</v>
      </c>
      <c r="C2459" s="42" t="s">
        <v>900</v>
      </c>
      <c r="D2459" s="42" t="s">
        <v>852</v>
      </c>
      <c r="E2459" s="42" t="s">
        <v>762</v>
      </c>
      <c r="F2459" s="45">
        <v>2460000000</v>
      </c>
      <c r="G2459" s="42" t="s">
        <v>763</v>
      </c>
      <c r="H2459" s="42" t="s">
        <v>119</v>
      </c>
      <c r="I2459" s="42" t="s">
        <v>893</v>
      </c>
    </row>
    <row r="2460" spans="1:9">
      <c r="A2460" s="42" t="s">
        <v>897</v>
      </c>
      <c r="B2460" s="42" t="s">
        <v>315</v>
      </c>
      <c r="C2460" s="42" t="s">
        <v>901</v>
      </c>
      <c r="D2460" s="42" t="s">
        <v>852</v>
      </c>
      <c r="E2460" s="42" t="s">
        <v>762</v>
      </c>
      <c r="F2460" s="45">
        <v>48000000</v>
      </c>
      <c r="G2460" s="42" t="s">
        <v>763</v>
      </c>
      <c r="H2460" s="42" t="s">
        <v>119</v>
      </c>
      <c r="I2460" s="42" t="s">
        <v>893</v>
      </c>
    </row>
    <row r="2461" spans="1:9">
      <c r="A2461" s="42" t="s">
        <v>897</v>
      </c>
      <c r="B2461" s="42" t="s">
        <v>316</v>
      </c>
      <c r="C2461" s="42" t="s">
        <v>1004</v>
      </c>
      <c r="D2461" s="42" t="s">
        <v>852</v>
      </c>
      <c r="E2461" s="42" t="s">
        <v>762</v>
      </c>
      <c r="F2461" s="45">
        <v>254000000</v>
      </c>
      <c r="G2461" s="42" t="s">
        <v>763</v>
      </c>
      <c r="H2461" s="42" t="s">
        <v>119</v>
      </c>
      <c r="I2461" s="42" t="s">
        <v>893</v>
      </c>
    </row>
    <row r="2462" spans="1:9">
      <c r="A2462" s="42" t="s">
        <v>897</v>
      </c>
      <c r="B2462" s="42" t="s">
        <v>317</v>
      </c>
      <c r="C2462" s="42" t="s">
        <v>967</v>
      </c>
      <c r="D2462" s="42" t="s">
        <v>852</v>
      </c>
      <c r="E2462" s="42" t="s">
        <v>762</v>
      </c>
      <c r="F2462" s="45">
        <v>339000000</v>
      </c>
      <c r="G2462" s="42" t="s">
        <v>763</v>
      </c>
      <c r="H2462" s="42" t="s">
        <v>119</v>
      </c>
      <c r="I2462" s="42" t="s">
        <v>893</v>
      </c>
    </row>
    <row r="2463" spans="1:9">
      <c r="A2463" s="42" t="s">
        <v>897</v>
      </c>
      <c r="B2463" s="42" t="s">
        <v>318</v>
      </c>
      <c r="C2463" s="42" t="s">
        <v>904</v>
      </c>
      <c r="D2463" s="42" t="s">
        <v>852</v>
      </c>
      <c r="E2463" s="42" t="s">
        <v>762</v>
      </c>
      <c r="F2463" s="45">
        <v>184000000</v>
      </c>
      <c r="G2463" s="42" t="s">
        <v>763</v>
      </c>
      <c r="H2463" s="42" t="s">
        <v>119</v>
      </c>
      <c r="I2463" s="42" t="s">
        <v>893</v>
      </c>
    </row>
    <row r="2464" spans="1:9">
      <c r="A2464" s="42" t="s">
        <v>897</v>
      </c>
      <c r="B2464" s="42" t="s">
        <v>319</v>
      </c>
      <c r="C2464" s="42" t="s">
        <v>907</v>
      </c>
      <c r="D2464" s="42" t="s">
        <v>852</v>
      </c>
      <c r="E2464" s="42" t="s">
        <v>762</v>
      </c>
      <c r="F2464" s="45">
        <v>396000000</v>
      </c>
      <c r="G2464" s="42" t="s">
        <v>763</v>
      </c>
      <c r="H2464" s="42" t="s">
        <v>119</v>
      </c>
      <c r="I2464" s="42" t="s">
        <v>893</v>
      </c>
    </row>
    <row r="2465" spans="1:9">
      <c r="A2465" s="42" t="s">
        <v>897</v>
      </c>
      <c r="B2465" s="42" t="s">
        <v>353</v>
      </c>
      <c r="C2465" s="42" t="s">
        <v>1005</v>
      </c>
      <c r="D2465" s="42" t="s">
        <v>852</v>
      </c>
      <c r="E2465" s="42" t="s">
        <v>762</v>
      </c>
      <c r="F2465" s="45">
        <v>53000000</v>
      </c>
      <c r="G2465" s="42" t="s">
        <v>763</v>
      </c>
      <c r="H2465" s="42" t="s">
        <v>119</v>
      </c>
      <c r="I2465" s="42" t="s">
        <v>854</v>
      </c>
    </row>
    <row r="2466" spans="1:9">
      <c r="A2466" s="42" t="s">
        <v>897</v>
      </c>
      <c r="B2466" s="42" t="s">
        <v>355</v>
      </c>
      <c r="C2466" s="42" t="s">
        <v>986</v>
      </c>
      <c r="D2466" s="42" t="s">
        <v>852</v>
      </c>
      <c r="E2466" s="42" t="s">
        <v>762</v>
      </c>
      <c r="F2466" s="45">
        <v>-97140482.02986063</v>
      </c>
      <c r="G2466" s="42" t="s">
        <v>763</v>
      </c>
      <c r="H2466" s="42" t="s">
        <v>98</v>
      </c>
      <c r="I2466" s="42" t="s">
        <v>817</v>
      </c>
    </row>
    <row r="2467" spans="1:9">
      <c r="A2467" s="42" t="s">
        <v>897</v>
      </c>
      <c r="B2467" s="42" t="s">
        <v>356</v>
      </c>
      <c r="C2467" s="42" t="s">
        <v>1028</v>
      </c>
      <c r="D2467" s="42" t="s">
        <v>852</v>
      </c>
      <c r="E2467" s="42" t="s">
        <v>762</v>
      </c>
      <c r="F2467" s="45">
        <v>224000000</v>
      </c>
      <c r="G2467" s="42" t="s">
        <v>763</v>
      </c>
      <c r="H2467" s="42" t="s">
        <v>119</v>
      </c>
      <c r="I2467" s="42" t="s">
        <v>854</v>
      </c>
    </row>
    <row r="2468" spans="1:9">
      <c r="A2468" s="42" t="s">
        <v>897</v>
      </c>
      <c r="B2468" s="42" t="s">
        <v>357</v>
      </c>
      <c r="C2468" s="42" t="s">
        <v>908</v>
      </c>
      <c r="D2468" s="42" t="s">
        <v>852</v>
      </c>
      <c r="E2468" s="42" t="s">
        <v>762</v>
      </c>
      <c r="F2468" s="45">
        <v>44564667.20476602</v>
      </c>
      <c r="G2468" s="42" t="s">
        <v>763</v>
      </c>
      <c r="H2468" s="42" t="s">
        <v>108</v>
      </c>
      <c r="I2468" s="42" t="s">
        <v>864</v>
      </c>
    </row>
    <row r="2469" spans="1:9">
      <c r="A2469" s="42" t="s">
        <v>897</v>
      </c>
      <c r="B2469" s="42" t="s">
        <v>251</v>
      </c>
      <c r="C2469" s="42" t="s">
        <v>909</v>
      </c>
      <c r="D2469" s="42" t="s">
        <v>852</v>
      </c>
      <c r="E2469" s="42" t="s">
        <v>762</v>
      </c>
      <c r="F2469" s="45">
        <v>7000000</v>
      </c>
      <c r="G2469" s="42" t="s">
        <v>763</v>
      </c>
      <c r="H2469" s="42" t="s">
        <v>119</v>
      </c>
      <c r="I2469" s="42" t="s">
        <v>893</v>
      </c>
    </row>
    <row r="2470" spans="1:9">
      <c r="A2470" s="42" t="s">
        <v>897</v>
      </c>
      <c r="B2470" s="42" t="s">
        <v>359</v>
      </c>
      <c r="C2470" s="42" t="s">
        <v>969</v>
      </c>
      <c r="D2470" s="42" t="s">
        <v>852</v>
      </c>
      <c r="E2470" s="42" t="s">
        <v>762</v>
      </c>
      <c r="F2470" s="45">
        <v>-51654178.3731984</v>
      </c>
      <c r="G2470" s="42" t="s">
        <v>763</v>
      </c>
      <c r="H2470" s="42" t="s">
        <v>98</v>
      </c>
      <c r="I2470" s="42" t="s">
        <v>853</v>
      </c>
    </row>
    <row r="2471" spans="1:9">
      <c r="A2471" s="42" t="s">
        <v>897</v>
      </c>
      <c r="B2471" s="42" t="s">
        <v>361</v>
      </c>
      <c r="C2471" s="42" t="s">
        <v>1029</v>
      </c>
      <c r="D2471" s="42" t="s">
        <v>852</v>
      </c>
      <c r="E2471" s="42" t="s">
        <v>762</v>
      </c>
      <c r="F2471" s="45">
        <v>29000000</v>
      </c>
      <c r="G2471" s="42" t="s">
        <v>763</v>
      </c>
      <c r="H2471" s="42" t="s">
        <v>119</v>
      </c>
      <c r="I2471" s="42" t="s">
        <v>861</v>
      </c>
    </row>
    <row r="2472" spans="1:9">
      <c r="A2472" s="42" t="s">
        <v>897</v>
      </c>
      <c r="B2472" s="42" t="s">
        <v>363</v>
      </c>
      <c r="C2472" s="42" t="s">
        <v>1006</v>
      </c>
      <c r="D2472" s="42" t="s">
        <v>852</v>
      </c>
      <c r="E2472" s="42" t="s">
        <v>762</v>
      </c>
      <c r="F2472" s="45">
        <v>-173451980.2468669</v>
      </c>
      <c r="G2472" s="42" t="s">
        <v>763</v>
      </c>
      <c r="H2472" s="42" t="s">
        <v>108</v>
      </c>
      <c r="I2472" s="42" t="s">
        <v>864</v>
      </c>
    </row>
    <row r="2473" spans="1:9">
      <c r="A2473" s="42" t="s">
        <v>897</v>
      </c>
      <c r="B2473" s="42" t="s">
        <v>365</v>
      </c>
      <c r="C2473" s="42" t="s">
        <v>1030</v>
      </c>
      <c r="D2473" s="42" t="s">
        <v>852</v>
      </c>
      <c r="E2473" s="42" t="s">
        <v>762</v>
      </c>
      <c r="F2473" s="45">
        <v>-18000000</v>
      </c>
      <c r="G2473" s="42" t="s">
        <v>763</v>
      </c>
      <c r="H2473" s="42" t="s">
        <v>119</v>
      </c>
      <c r="I2473" s="42" t="s">
        <v>854</v>
      </c>
    </row>
    <row r="2474" spans="1:9">
      <c r="A2474" s="42" t="s">
        <v>897</v>
      </c>
      <c r="B2474" s="42" t="s">
        <v>368</v>
      </c>
      <c r="C2474" s="42" t="s">
        <v>1031</v>
      </c>
      <c r="D2474" s="42" t="s">
        <v>852</v>
      </c>
      <c r="E2474" s="42" t="s">
        <v>762</v>
      </c>
      <c r="F2474" s="45">
        <v>-192000000</v>
      </c>
      <c r="G2474" s="42" t="s">
        <v>763</v>
      </c>
      <c r="H2474" s="42" t="s">
        <v>119</v>
      </c>
      <c r="I2474" s="42" t="s">
        <v>854</v>
      </c>
    </row>
    <row r="2475" spans="1:9">
      <c r="A2475" s="42" t="s">
        <v>897</v>
      </c>
      <c r="B2475" s="42" t="s">
        <v>324</v>
      </c>
      <c r="C2475" s="42" t="s">
        <v>1008</v>
      </c>
      <c r="D2475" s="42" t="s">
        <v>852</v>
      </c>
      <c r="E2475" s="42" t="s">
        <v>762</v>
      </c>
      <c r="F2475" s="45">
        <v>-52000000</v>
      </c>
      <c r="G2475" s="42" t="s">
        <v>763</v>
      </c>
      <c r="H2475" s="42" t="s">
        <v>119</v>
      </c>
      <c r="I2475" s="42" t="s">
        <v>893</v>
      </c>
    </row>
    <row r="2476" spans="1:9">
      <c r="A2476" s="42" t="s">
        <v>897</v>
      </c>
      <c r="B2476" s="42" t="s">
        <v>293</v>
      </c>
      <c r="C2476" s="42" t="s">
        <v>912</v>
      </c>
      <c r="D2476" s="42" t="s">
        <v>852</v>
      </c>
      <c r="E2476" s="42" t="s">
        <v>762</v>
      </c>
      <c r="F2476" s="45">
        <v>414000000</v>
      </c>
      <c r="G2476" s="42" t="s">
        <v>763</v>
      </c>
      <c r="H2476" s="42" t="s">
        <v>119</v>
      </c>
      <c r="I2476" s="42" t="s">
        <v>893</v>
      </c>
    </row>
    <row r="2477" spans="1:9">
      <c r="A2477" s="42" t="s">
        <v>897</v>
      </c>
      <c r="B2477" s="42" t="s">
        <v>369</v>
      </c>
      <c r="C2477" s="42" t="s">
        <v>970</v>
      </c>
      <c r="D2477" s="42" t="s">
        <v>852</v>
      </c>
      <c r="E2477" s="42" t="s">
        <v>762</v>
      </c>
      <c r="F2477" s="45">
        <v>-33000000</v>
      </c>
      <c r="G2477" s="42" t="s">
        <v>763</v>
      </c>
      <c r="H2477" s="42" t="s">
        <v>119</v>
      </c>
      <c r="I2477" s="42" t="s">
        <v>886</v>
      </c>
    </row>
    <row r="2478" spans="1:9">
      <c r="A2478" s="42" t="s">
        <v>897</v>
      </c>
      <c r="B2478" s="42" t="s">
        <v>292</v>
      </c>
      <c r="C2478" s="42" t="s">
        <v>913</v>
      </c>
      <c r="D2478" s="42" t="s">
        <v>852</v>
      </c>
      <c r="E2478" s="42" t="s">
        <v>762</v>
      </c>
      <c r="F2478" s="45">
        <v>89000000</v>
      </c>
      <c r="G2478" s="42" t="s">
        <v>763</v>
      </c>
      <c r="H2478" s="42" t="s">
        <v>119</v>
      </c>
      <c r="I2478" s="42" t="s">
        <v>893</v>
      </c>
    </row>
    <row r="2479" spans="1:9">
      <c r="A2479" s="42" t="s">
        <v>897</v>
      </c>
      <c r="B2479" s="42" t="s">
        <v>241</v>
      </c>
      <c r="C2479" s="42" t="s">
        <v>914</v>
      </c>
      <c r="D2479" s="42" t="s">
        <v>852</v>
      </c>
      <c r="E2479" s="42" t="s">
        <v>762</v>
      </c>
      <c r="F2479" s="45">
        <v>162000000</v>
      </c>
      <c r="G2479" s="42" t="s">
        <v>763</v>
      </c>
      <c r="H2479" s="42" t="s">
        <v>119</v>
      </c>
      <c r="I2479" s="42" t="s">
        <v>893</v>
      </c>
    </row>
    <row r="2480" spans="1:9">
      <c r="A2480" s="42" t="s">
        <v>897</v>
      </c>
      <c r="B2480" s="42" t="s">
        <v>310</v>
      </c>
      <c r="C2480" s="42" t="s">
        <v>915</v>
      </c>
      <c r="D2480" s="42" t="s">
        <v>852</v>
      </c>
      <c r="E2480" s="42" t="s">
        <v>762</v>
      </c>
      <c r="F2480" s="45">
        <v>-490000000</v>
      </c>
      <c r="G2480" s="42" t="s">
        <v>763</v>
      </c>
      <c r="H2480" s="42" t="s">
        <v>119</v>
      </c>
      <c r="I2480" s="42" t="s">
        <v>893</v>
      </c>
    </row>
    <row r="2481" spans="1:9">
      <c r="A2481" s="42" t="s">
        <v>897</v>
      </c>
      <c r="B2481" s="42" t="s">
        <v>305</v>
      </c>
      <c r="C2481" s="42" t="s">
        <v>916</v>
      </c>
      <c r="D2481" s="42" t="s">
        <v>852</v>
      </c>
      <c r="E2481" s="42" t="s">
        <v>762</v>
      </c>
      <c r="F2481" s="45">
        <v>27000000</v>
      </c>
      <c r="G2481" s="42" t="s">
        <v>763</v>
      </c>
      <c r="H2481" s="42" t="s">
        <v>119</v>
      </c>
      <c r="I2481" s="42" t="s">
        <v>893</v>
      </c>
    </row>
    <row r="2482" spans="1:9">
      <c r="A2482" s="42" t="s">
        <v>897</v>
      </c>
      <c r="B2482" s="42" t="s">
        <v>306</v>
      </c>
      <c r="C2482" s="42" t="s">
        <v>917</v>
      </c>
      <c r="D2482" s="42" t="s">
        <v>852</v>
      </c>
      <c r="E2482" s="42" t="s">
        <v>762</v>
      </c>
      <c r="F2482" s="45">
        <v>90000000</v>
      </c>
      <c r="G2482" s="42" t="s">
        <v>763</v>
      </c>
      <c r="H2482" s="42" t="s">
        <v>119</v>
      </c>
      <c r="I2482" s="42" t="s">
        <v>893</v>
      </c>
    </row>
    <row r="2483" spans="1:9">
      <c r="A2483" s="42" t="s">
        <v>897</v>
      </c>
      <c r="B2483" s="42" t="s">
        <v>309</v>
      </c>
      <c r="C2483" s="42" t="s">
        <v>918</v>
      </c>
      <c r="D2483" s="42" t="s">
        <v>852</v>
      </c>
      <c r="E2483" s="42" t="s">
        <v>762</v>
      </c>
      <c r="F2483" s="45">
        <v>109000000</v>
      </c>
      <c r="G2483" s="42" t="s">
        <v>763</v>
      </c>
      <c r="H2483" s="42" t="s">
        <v>119</v>
      </c>
      <c r="I2483" s="42" t="s">
        <v>893</v>
      </c>
    </row>
    <row r="2484" spans="1:9">
      <c r="A2484" s="42" t="s">
        <v>897</v>
      </c>
      <c r="B2484" s="42" t="s">
        <v>242</v>
      </c>
      <c r="C2484" s="42" t="s">
        <v>920</v>
      </c>
      <c r="D2484" s="42" t="s">
        <v>852</v>
      </c>
      <c r="E2484" s="42" t="s">
        <v>762</v>
      </c>
      <c r="F2484" s="45">
        <v>-8000000</v>
      </c>
      <c r="G2484" s="42" t="s">
        <v>763</v>
      </c>
      <c r="H2484" s="42" t="s">
        <v>119</v>
      </c>
      <c r="I2484" s="42" t="s">
        <v>893</v>
      </c>
    </row>
    <row r="2485" spans="1:9">
      <c r="A2485" s="42" t="s">
        <v>897</v>
      </c>
      <c r="B2485" s="42" t="s">
        <v>302</v>
      </c>
      <c r="C2485" s="42" t="s">
        <v>921</v>
      </c>
      <c r="D2485" s="42" t="s">
        <v>852</v>
      </c>
      <c r="E2485" s="42" t="s">
        <v>762</v>
      </c>
      <c r="F2485" s="45">
        <v>-22000000</v>
      </c>
      <c r="G2485" s="42" t="s">
        <v>763</v>
      </c>
      <c r="H2485" s="42" t="s">
        <v>119</v>
      </c>
      <c r="I2485" s="42" t="s">
        <v>893</v>
      </c>
    </row>
    <row r="2486" spans="1:9">
      <c r="A2486" s="42" t="s">
        <v>897</v>
      </c>
      <c r="B2486" s="42" t="s">
        <v>326</v>
      </c>
      <c r="C2486" s="42" t="s">
        <v>922</v>
      </c>
      <c r="D2486" s="42" t="s">
        <v>852</v>
      </c>
      <c r="E2486" s="42" t="s">
        <v>762</v>
      </c>
      <c r="F2486" s="45">
        <v>38000000</v>
      </c>
      <c r="G2486" s="42" t="s">
        <v>763</v>
      </c>
      <c r="H2486" s="42" t="s">
        <v>119</v>
      </c>
      <c r="I2486" s="42" t="s">
        <v>893</v>
      </c>
    </row>
    <row r="2487" spans="1:9">
      <c r="A2487" s="42" t="s">
        <v>897</v>
      </c>
      <c r="B2487" s="42" t="s">
        <v>371</v>
      </c>
      <c r="C2487" s="42" t="s">
        <v>923</v>
      </c>
      <c r="D2487" s="42" t="s">
        <v>852</v>
      </c>
      <c r="E2487" s="42" t="s">
        <v>762</v>
      </c>
      <c r="F2487" s="45">
        <v>53256407.89726412</v>
      </c>
      <c r="G2487" s="42" t="s">
        <v>763</v>
      </c>
      <c r="H2487" s="42" t="s">
        <v>98</v>
      </c>
      <c r="I2487" s="42" t="s">
        <v>866</v>
      </c>
    </row>
    <row r="2488" spans="1:9">
      <c r="A2488" s="42" t="s">
        <v>897</v>
      </c>
      <c r="B2488" s="42" t="s">
        <v>327</v>
      </c>
      <c r="C2488" s="42" t="s">
        <v>1009</v>
      </c>
      <c r="D2488" s="42" t="s">
        <v>852</v>
      </c>
      <c r="E2488" s="42" t="s">
        <v>762</v>
      </c>
      <c r="F2488" s="45">
        <v>51000000</v>
      </c>
      <c r="G2488" s="42" t="s">
        <v>763</v>
      </c>
      <c r="H2488" s="42" t="s">
        <v>119</v>
      </c>
      <c r="I2488" s="42" t="s">
        <v>893</v>
      </c>
    </row>
    <row r="2489" spans="1:9">
      <c r="A2489" s="42" t="s">
        <v>897</v>
      </c>
      <c r="B2489" s="42" t="s">
        <v>328</v>
      </c>
      <c r="C2489" s="42" t="s">
        <v>924</v>
      </c>
      <c r="D2489" s="42" t="s">
        <v>852</v>
      </c>
      <c r="E2489" s="42" t="s">
        <v>762</v>
      </c>
      <c r="F2489" s="45">
        <v>-35000000</v>
      </c>
      <c r="G2489" s="42" t="s">
        <v>763</v>
      </c>
      <c r="H2489" s="42" t="s">
        <v>119</v>
      </c>
      <c r="I2489" s="42" t="s">
        <v>893</v>
      </c>
    </row>
    <row r="2490" spans="1:9">
      <c r="A2490" s="42" t="s">
        <v>897</v>
      </c>
      <c r="B2490" s="42" t="s">
        <v>329</v>
      </c>
      <c r="C2490" s="42" t="s">
        <v>925</v>
      </c>
      <c r="D2490" s="42" t="s">
        <v>852</v>
      </c>
      <c r="E2490" s="42" t="s">
        <v>762</v>
      </c>
      <c r="F2490" s="45">
        <v>2915000000</v>
      </c>
      <c r="G2490" s="42" t="s">
        <v>763</v>
      </c>
      <c r="H2490" s="42" t="s">
        <v>119</v>
      </c>
      <c r="I2490" s="42" t="s">
        <v>893</v>
      </c>
    </row>
    <row r="2491" spans="1:9">
      <c r="A2491" s="42" t="s">
        <v>897</v>
      </c>
      <c r="B2491" s="42" t="s">
        <v>372</v>
      </c>
      <c r="C2491" s="42" t="s">
        <v>926</v>
      </c>
      <c r="D2491" s="42" t="s">
        <v>852</v>
      </c>
      <c r="E2491" s="42" t="s">
        <v>762</v>
      </c>
      <c r="F2491" s="45">
        <v>557000000</v>
      </c>
      <c r="G2491" s="42" t="s">
        <v>763</v>
      </c>
      <c r="H2491" s="42" t="s">
        <v>119</v>
      </c>
      <c r="I2491" s="42" t="s">
        <v>896</v>
      </c>
    </row>
    <row r="2492" spans="1:9">
      <c r="A2492" s="42" t="s">
        <v>897</v>
      </c>
      <c r="B2492" s="42" t="s">
        <v>373</v>
      </c>
      <c r="C2492" s="42" t="s">
        <v>1032</v>
      </c>
      <c r="D2492" s="42" t="s">
        <v>852</v>
      </c>
      <c r="E2492" s="42" t="s">
        <v>762</v>
      </c>
      <c r="F2492" s="45">
        <v>-641000000</v>
      </c>
      <c r="G2492" s="42" t="s">
        <v>763</v>
      </c>
      <c r="H2492" s="42" t="s">
        <v>119</v>
      </c>
      <c r="I2492" s="42" t="s">
        <v>896</v>
      </c>
    </row>
    <row r="2493" spans="1:9">
      <c r="A2493" s="42" t="s">
        <v>897</v>
      </c>
      <c r="B2493" s="42" t="s">
        <v>375</v>
      </c>
      <c r="C2493" s="42" t="s">
        <v>1033</v>
      </c>
      <c r="D2493" s="42" t="s">
        <v>852</v>
      </c>
      <c r="E2493" s="42" t="s">
        <v>762</v>
      </c>
      <c r="F2493" s="45">
        <v>217000000</v>
      </c>
      <c r="G2493" s="42" t="s">
        <v>763</v>
      </c>
      <c r="H2493" s="42" t="s">
        <v>119</v>
      </c>
      <c r="I2493" s="42" t="s">
        <v>891</v>
      </c>
    </row>
    <row r="2494" spans="1:9">
      <c r="A2494" s="42" t="s">
        <v>897</v>
      </c>
      <c r="B2494" s="42" t="s">
        <v>376</v>
      </c>
      <c r="C2494" s="42" t="s">
        <v>1010</v>
      </c>
      <c r="D2494" s="42" t="s">
        <v>852</v>
      </c>
      <c r="E2494" s="42" t="s">
        <v>762</v>
      </c>
      <c r="F2494" s="45">
        <v>196620502.745304</v>
      </c>
      <c r="G2494" s="42" t="s">
        <v>763</v>
      </c>
      <c r="H2494" s="42" t="s">
        <v>98</v>
      </c>
      <c r="I2494" s="42" t="s">
        <v>865</v>
      </c>
    </row>
    <row r="2495" spans="1:9">
      <c r="A2495" s="42" t="s">
        <v>897</v>
      </c>
      <c r="B2495" s="42" t="s">
        <v>330</v>
      </c>
      <c r="C2495" s="42" t="s">
        <v>927</v>
      </c>
      <c r="D2495" s="42" t="s">
        <v>852</v>
      </c>
      <c r="E2495" s="42" t="s">
        <v>762</v>
      </c>
      <c r="F2495" s="45">
        <v>-1650000000</v>
      </c>
      <c r="G2495" s="42" t="s">
        <v>763</v>
      </c>
      <c r="H2495" s="42" t="s">
        <v>119</v>
      </c>
      <c r="I2495" s="42" t="s">
        <v>893</v>
      </c>
    </row>
    <row r="2496" spans="1:9">
      <c r="A2496" s="42" t="s">
        <v>897</v>
      </c>
      <c r="B2496" s="42" t="s">
        <v>384</v>
      </c>
      <c r="C2496" s="42" t="s">
        <v>1012</v>
      </c>
      <c r="D2496" s="42" t="s">
        <v>852</v>
      </c>
      <c r="E2496" s="42" t="s">
        <v>762</v>
      </c>
      <c r="F2496" s="45">
        <v>196620502.745304</v>
      </c>
      <c r="G2496" s="42" t="s">
        <v>763</v>
      </c>
      <c r="H2496" s="42" t="s">
        <v>108</v>
      </c>
      <c r="I2496" s="42" t="s">
        <v>822</v>
      </c>
    </row>
    <row r="2497" spans="1:9">
      <c r="A2497" s="42" t="s">
        <v>897</v>
      </c>
      <c r="B2497" s="42" t="s">
        <v>334</v>
      </c>
      <c r="C2497" s="42" t="s">
        <v>933</v>
      </c>
      <c r="D2497" s="42" t="s">
        <v>852</v>
      </c>
      <c r="E2497" s="42" t="s">
        <v>762</v>
      </c>
      <c r="F2497" s="45">
        <v>255222.4020635661</v>
      </c>
      <c r="G2497" s="42" t="s">
        <v>763</v>
      </c>
      <c r="H2497" s="42" t="s">
        <v>118</v>
      </c>
      <c r="I2497" s="42" t="s">
        <v>893</v>
      </c>
    </row>
    <row r="2498" spans="1:9">
      <c r="A2498" s="42" t="s">
        <v>897</v>
      </c>
      <c r="B2498" s="42" t="s">
        <v>336</v>
      </c>
      <c r="C2498" s="42" t="s">
        <v>938</v>
      </c>
      <c r="D2498" s="42" t="s">
        <v>852</v>
      </c>
      <c r="E2498" s="42" t="s">
        <v>762</v>
      </c>
      <c r="F2498" s="45">
        <v>-1517000000</v>
      </c>
      <c r="G2498" s="42" t="s">
        <v>763</v>
      </c>
      <c r="H2498" s="42" t="s">
        <v>119</v>
      </c>
      <c r="I2498" s="42" t="s">
        <v>893</v>
      </c>
    </row>
    <row r="2499" spans="1:9">
      <c r="A2499" s="42" t="s">
        <v>897</v>
      </c>
      <c r="B2499" s="42" t="s">
        <v>337</v>
      </c>
      <c r="C2499" s="42" t="s">
        <v>991</v>
      </c>
      <c r="D2499" s="42" t="s">
        <v>852</v>
      </c>
      <c r="E2499" s="42" t="s">
        <v>762</v>
      </c>
      <c r="F2499" s="45">
        <v>-2283000000</v>
      </c>
      <c r="G2499" s="42" t="s">
        <v>763</v>
      </c>
      <c r="H2499" s="42" t="s">
        <v>119</v>
      </c>
      <c r="I2499" s="42" t="s">
        <v>893</v>
      </c>
    </row>
    <row r="2500" spans="1:9">
      <c r="A2500" s="42" t="s">
        <v>897</v>
      </c>
      <c r="B2500" s="42" t="s">
        <v>338</v>
      </c>
      <c r="C2500" s="42" t="s">
        <v>972</v>
      </c>
      <c r="D2500" s="42" t="s">
        <v>852</v>
      </c>
      <c r="E2500" s="42" t="s">
        <v>762</v>
      </c>
      <c r="F2500" s="45">
        <v>-873000000</v>
      </c>
      <c r="G2500" s="42" t="s">
        <v>763</v>
      </c>
      <c r="H2500" s="42" t="s">
        <v>119</v>
      </c>
      <c r="I2500" s="42" t="s">
        <v>893</v>
      </c>
    </row>
    <row r="2501" spans="1:9">
      <c r="A2501" s="42" t="s">
        <v>897</v>
      </c>
      <c r="B2501" s="42" t="s">
        <v>939</v>
      </c>
      <c r="C2501" s="42" t="s">
        <v>973</v>
      </c>
      <c r="D2501" s="42" t="s">
        <v>852</v>
      </c>
      <c r="E2501" s="42" t="s">
        <v>762</v>
      </c>
      <c r="F2501" s="45">
        <v>1803000000</v>
      </c>
      <c r="G2501" s="42" t="s">
        <v>763</v>
      </c>
      <c r="H2501" s="42" t="s">
        <v>119</v>
      </c>
      <c r="I2501" s="42" t="s">
        <v>893</v>
      </c>
    </row>
    <row r="2502" spans="1:9">
      <c r="A2502" s="42" t="s">
        <v>897</v>
      </c>
      <c r="B2502" s="42" t="s">
        <v>340</v>
      </c>
      <c r="C2502" s="42" t="s">
        <v>1034</v>
      </c>
      <c r="D2502" s="42" t="s">
        <v>852</v>
      </c>
      <c r="E2502" s="42" t="s">
        <v>762</v>
      </c>
      <c r="F2502" s="45">
        <v>2000000</v>
      </c>
      <c r="G2502" s="42" t="s">
        <v>763</v>
      </c>
      <c r="H2502" s="42" t="s">
        <v>119</v>
      </c>
      <c r="I2502" s="42" t="s">
        <v>893</v>
      </c>
    </row>
    <row r="2503" spans="1:9">
      <c r="A2503" s="42" t="s">
        <v>897</v>
      </c>
      <c r="B2503" s="42" t="s">
        <v>941</v>
      </c>
      <c r="C2503" s="42" t="s">
        <v>977</v>
      </c>
      <c r="D2503" s="42" t="s">
        <v>852</v>
      </c>
      <c r="E2503" s="42" t="s">
        <v>762</v>
      </c>
      <c r="F2503" s="45">
        <v>-6000000</v>
      </c>
      <c r="G2503" s="42" t="s">
        <v>763</v>
      </c>
      <c r="H2503" s="42" t="s">
        <v>119</v>
      </c>
      <c r="I2503" s="42" t="s">
        <v>893</v>
      </c>
    </row>
    <row r="2504" spans="1:9">
      <c r="A2504" s="42" t="s">
        <v>897</v>
      </c>
      <c r="B2504" s="42" t="s">
        <v>342</v>
      </c>
      <c r="C2504" s="42" t="s">
        <v>1014</v>
      </c>
      <c r="D2504" s="42" t="s">
        <v>852</v>
      </c>
      <c r="E2504" s="42" t="s">
        <v>762</v>
      </c>
      <c r="F2504" s="45">
        <v>-331000000</v>
      </c>
      <c r="G2504" s="42" t="s">
        <v>763</v>
      </c>
      <c r="H2504" s="42" t="s">
        <v>119</v>
      </c>
      <c r="I2504" s="42" t="s">
        <v>893</v>
      </c>
    </row>
    <row r="2505" spans="1:9">
      <c r="A2505" s="42" t="s">
        <v>897</v>
      </c>
      <c r="B2505" s="42" t="s">
        <v>392</v>
      </c>
      <c r="C2505" s="42" t="s">
        <v>1015</v>
      </c>
      <c r="D2505" s="42" t="s">
        <v>852</v>
      </c>
      <c r="E2505" s="42" t="s">
        <v>762</v>
      </c>
      <c r="F2505" s="45">
        <v>135764138.8754803</v>
      </c>
      <c r="G2505" s="42" t="s">
        <v>763</v>
      </c>
      <c r="H2505" s="42" t="s">
        <v>108</v>
      </c>
      <c r="I2505" s="42" t="s">
        <v>864</v>
      </c>
    </row>
    <row r="2506" spans="1:9">
      <c r="A2506" s="42" t="s">
        <v>897</v>
      </c>
      <c r="B2506" s="42" t="s">
        <v>343</v>
      </c>
      <c r="C2506" s="42" t="s">
        <v>1016</v>
      </c>
      <c r="D2506" s="42" t="s">
        <v>852</v>
      </c>
      <c r="E2506" s="42" t="s">
        <v>762</v>
      </c>
      <c r="F2506" s="45">
        <v>-10000000</v>
      </c>
      <c r="G2506" s="42" t="s">
        <v>763</v>
      </c>
      <c r="H2506" s="42" t="s">
        <v>119</v>
      </c>
      <c r="I2506" s="42" t="s">
        <v>893</v>
      </c>
    </row>
    <row r="2507" spans="1:9">
      <c r="A2507" s="42" t="s">
        <v>897</v>
      </c>
      <c r="B2507" s="42" t="s">
        <v>393</v>
      </c>
      <c r="C2507" s="42" t="s">
        <v>953</v>
      </c>
      <c r="D2507" s="42" t="s">
        <v>852</v>
      </c>
      <c r="E2507" s="42" t="s">
        <v>762</v>
      </c>
      <c r="F2507" s="45">
        <v>135764138.8754803</v>
      </c>
      <c r="G2507" s="42" t="s">
        <v>763</v>
      </c>
      <c r="H2507" s="42" t="s">
        <v>98</v>
      </c>
      <c r="I2507" s="42" t="s">
        <v>817</v>
      </c>
    </row>
    <row r="2508" spans="1:9">
      <c r="A2508" s="42" t="s">
        <v>897</v>
      </c>
      <c r="B2508" s="42" t="s">
        <v>394</v>
      </c>
      <c r="C2508" s="42" t="s">
        <v>992</v>
      </c>
      <c r="D2508" s="42" t="s">
        <v>852</v>
      </c>
      <c r="E2508" s="42" t="s">
        <v>762</v>
      </c>
      <c r="F2508" s="45">
        <v>-162803534.4718814</v>
      </c>
      <c r="G2508" s="42" t="s">
        <v>763</v>
      </c>
      <c r="H2508" s="42" t="s">
        <v>98</v>
      </c>
      <c r="I2508" s="42" t="s">
        <v>891</v>
      </c>
    </row>
    <row r="2509" spans="1:9">
      <c r="A2509" s="42" t="s">
        <v>897</v>
      </c>
      <c r="B2509" s="42" t="s">
        <v>344</v>
      </c>
      <c r="C2509" s="42" t="s">
        <v>980</v>
      </c>
      <c r="D2509" s="42" t="s">
        <v>852</v>
      </c>
      <c r="E2509" s="42" t="s">
        <v>762</v>
      </c>
      <c r="F2509" s="45">
        <v>-1698000000</v>
      </c>
      <c r="G2509" s="42" t="s">
        <v>763</v>
      </c>
      <c r="H2509" s="42" t="s">
        <v>119</v>
      </c>
      <c r="I2509" s="42" t="s">
        <v>893</v>
      </c>
    </row>
    <row r="2510" spans="1:9">
      <c r="A2510" s="42" t="s">
        <v>897</v>
      </c>
      <c r="B2510" s="42" t="s">
        <v>345</v>
      </c>
      <c r="C2510" s="42" t="s">
        <v>1035</v>
      </c>
      <c r="D2510" s="42" t="s">
        <v>852</v>
      </c>
      <c r="E2510" s="42" t="s">
        <v>762</v>
      </c>
      <c r="F2510" s="45">
        <v>-156000000</v>
      </c>
      <c r="G2510" s="42" t="s">
        <v>763</v>
      </c>
      <c r="H2510" s="42" t="s">
        <v>119</v>
      </c>
      <c r="I2510" s="42" t="s">
        <v>893</v>
      </c>
    </row>
    <row r="2511" spans="1:9">
      <c r="A2511" s="42" t="s">
        <v>897</v>
      </c>
      <c r="B2511" s="42" t="s">
        <v>394</v>
      </c>
      <c r="C2511" s="42" t="s">
        <v>993</v>
      </c>
      <c r="D2511" s="42" t="s">
        <v>852</v>
      </c>
      <c r="E2511" s="42" t="s">
        <v>762</v>
      </c>
      <c r="F2511" s="45">
        <v>-162803534.4718814</v>
      </c>
      <c r="G2511" s="42" t="s">
        <v>763</v>
      </c>
      <c r="H2511" s="42" t="s">
        <v>98</v>
      </c>
      <c r="I2511" s="42" t="s">
        <v>891</v>
      </c>
    </row>
    <row r="2512" spans="1:9">
      <c r="A2512" s="42" t="s">
        <v>897</v>
      </c>
      <c r="B2512" s="42" t="s">
        <v>346</v>
      </c>
      <c r="C2512" s="42" t="s">
        <v>956</v>
      </c>
      <c r="D2512" s="42" t="s">
        <v>852</v>
      </c>
      <c r="E2512" s="42" t="s">
        <v>762</v>
      </c>
      <c r="F2512" s="45">
        <v>-456000000</v>
      </c>
      <c r="G2512" s="42" t="s">
        <v>763</v>
      </c>
      <c r="H2512" s="42" t="s">
        <v>119</v>
      </c>
      <c r="I2512" s="42" t="s">
        <v>893</v>
      </c>
    </row>
    <row r="2513" spans="1:9">
      <c r="A2513" s="42" t="s">
        <v>897</v>
      </c>
      <c r="B2513" s="42" t="s">
        <v>347</v>
      </c>
      <c r="C2513" s="42" t="s">
        <v>981</v>
      </c>
      <c r="D2513" s="42" t="s">
        <v>852</v>
      </c>
      <c r="E2513" s="42" t="s">
        <v>762</v>
      </c>
      <c r="F2513" s="45">
        <v>1106000000</v>
      </c>
      <c r="G2513" s="42" t="s">
        <v>763</v>
      </c>
      <c r="H2513" s="42" t="s">
        <v>119</v>
      </c>
      <c r="I2513" s="42" t="s">
        <v>893</v>
      </c>
    </row>
    <row r="2514" spans="1:9">
      <c r="A2514" s="42" t="s">
        <v>897</v>
      </c>
      <c r="B2514" s="42" t="s">
        <v>348</v>
      </c>
      <c r="C2514" s="42" t="s">
        <v>982</v>
      </c>
      <c r="D2514" s="42" t="s">
        <v>852</v>
      </c>
      <c r="E2514" s="42" t="s">
        <v>762</v>
      </c>
      <c r="F2514" s="45">
        <v>650000000</v>
      </c>
      <c r="G2514" s="42" t="s">
        <v>763</v>
      </c>
      <c r="H2514" s="42" t="s">
        <v>119</v>
      </c>
      <c r="I2514" s="42" t="s">
        <v>893</v>
      </c>
    </row>
    <row r="2515" spans="1:9">
      <c r="A2515" s="42" t="s">
        <v>897</v>
      </c>
      <c r="B2515" s="42" t="s">
        <v>346</v>
      </c>
      <c r="C2515" s="42" t="s">
        <v>961</v>
      </c>
      <c r="D2515" s="42" t="s">
        <v>852</v>
      </c>
      <c r="E2515" s="42" t="s">
        <v>762</v>
      </c>
      <c r="F2515" s="45">
        <v>-456000000</v>
      </c>
      <c r="G2515" s="42" t="s">
        <v>763</v>
      </c>
      <c r="H2515" s="42" t="s">
        <v>119</v>
      </c>
      <c r="I2515" s="42" t="s">
        <v>893</v>
      </c>
    </row>
    <row r="2516" spans="1:9">
      <c r="A2516" s="42" t="s">
        <v>897</v>
      </c>
      <c r="B2516" s="42" t="s">
        <v>349</v>
      </c>
      <c r="C2516" s="42" t="s">
        <v>898</v>
      </c>
      <c r="D2516" s="42" t="s">
        <v>159</v>
      </c>
      <c r="E2516" s="42" t="s">
        <v>808</v>
      </c>
      <c r="F2516" s="45">
        <v>103410614.8960595</v>
      </c>
      <c r="G2516" s="42" t="s">
        <v>763</v>
      </c>
      <c r="H2516" s="42" t="s">
        <v>100</v>
      </c>
      <c r="I2516" s="42" t="s">
        <v>865</v>
      </c>
    </row>
    <row r="2517" spans="1:9">
      <c r="A2517" s="42" t="s">
        <v>897</v>
      </c>
      <c r="B2517" s="42" t="s">
        <v>313</v>
      </c>
      <c r="C2517" s="42" t="s">
        <v>994</v>
      </c>
      <c r="D2517" s="42" t="s">
        <v>159</v>
      </c>
      <c r="E2517" s="42" t="s">
        <v>808</v>
      </c>
      <c r="F2517" s="45">
        <v>103410614.8960595</v>
      </c>
      <c r="G2517" s="42" t="s">
        <v>763</v>
      </c>
      <c r="H2517" s="42" t="s">
        <v>90</v>
      </c>
      <c r="I2517" s="42" t="s">
        <v>893</v>
      </c>
    </row>
    <row r="2518" spans="1:9">
      <c r="A2518" s="42" t="s">
        <v>897</v>
      </c>
      <c r="B2518" s="42" t="s">
        <v>351</v>
      </c>
      <c r="C2518" s="42" t="s">
        <v>899</v>
      </c>
      <c r="D2518" s="42" t="s">
        <v>159</v>
      </c>
      <c r="E2518" s="42" t="s">
        <v>808</v>
      </c>
      <c r="F2518" s="45">
        <v>-23121252.26773807</v>
      </c>
      <c r="G2518" s="42" t="s">
        <v>763</v>
      </c>
      <c r="H2518" s="42" t="s">
        <v>90</v>
      </c>
      <c r="I2518" s="42" t="s">
        <v>860</v>
      </c>
    </row>
    <row r="2519" spans="1:9">
      <c r="A2519" s="42" t="s">
        <v>897</v>
      </c>
      <c r="B2519" s="42" t="s">
        <v>201</v>
      </c>
      <c r="C2519" s="42" t="s">
        <v>966</v>
      </c>
      <c r="D2519" s="42" t="s">
        <v>159</v>
      </c>
      <c r="E2519" s="42" t="s">
        <v>808</v>
      </c>
      <c r="F2519" s="45">
        <v>-23121252.26773807</v>
      </c>
      <c r="G2519" s="42" t="s">
        <v>763</v>
      </c>
      <c r="H2519" s="42" t="s">
        <v>100</v>
      </c>
      <c r="I2519" s="42" t="s">
        <v>893</v>
      </c>
    </row>
    <row r="2520" spans="1:9">
      <c r="A2520" s="42" t="s">
        <v>897</v>
      </c>
      <c r="B2520" s="42" t="s">
        <v>314</v>
      </c>
      <c r="C2520" s="42" t="s">
        <v>900</v>
      </c>
      <c r="D2520" s="42" t="s">
        <v>159</v>
      </c>
      <c r="E2520" s="42" t="s">
        <v>808</v>
      </c>
      <c r="F2520" s="45">
        <v>710506312.6443791</v>
      </c>
      <c r="G2520" s="42" t="s">
        <v>763</v>
      </c>
      <c r="H2520" s="42" t="s">
        <v>100</v>
      </c>
      <c r="I2520" s="42" t="s">
        <v>893</v>
      </c>
    </row>
    <row r="2521" spans="1:9">
      <c r="A2521" s="42" t="s">
        <v>897</v>
      </c>
      <c r="B2521" s="42" t="s">
        <v>315</v>
      </c>
      <c r="C2521" s="42" t="s">
        <v>901</v>
      </c>
      <c r="D2521" s="42" t="s">
        <v>159</v>
      </c>
      <c r="E2521" s="42" t="s">
        <v>808</v>
      </c>
      <c r="F2521" s="45">
        <v>10893040.68106815</v>
      </c>
      <c r="G2521" s="42" t="s">
        <v>763</v>
      </c>
      <c r="H2521" s="42" t="s">
        <v>100</v>
      </c>
      <c r="I2521" s="42" t="s">
        <v>893</v>
      </c>
    </row>
    <row r="2522" spans="1:9">
      <c r="A2522" s="42" t="s">
        <v>897</v>
      </c>
      <c r="B2522" s="42" t="s">
        <v>316</v>
      </c>
      <c r="C2522" s="42" t="s">
        <v>1004</v>
      </c>
      <c r="D2522" s="42" t="s">
        <v>159</v>
      </c>
      <c r="E2522" s="42" t="s">
        <v>808</v>
      </c>
      <c r="F2522" s="45">
        <v>77374782.23682487</v>
      </c>
      <c r="G2522" s="42" t="s">
        <v>763</v>
      </c>
      <c r="H2522" s="42" t="s">
        <v>100</v>
      </c>
      <c r="I2522" s="42" t="s">
        <v>893</v>
      </c>
    </row>
    <row r="2523" spans="1:9">
      <c r="A2523" s="42" t="s">
        <v>897</v>
      </c>
      <c r="B2523" s="42" t="s">
        <v>317</v>
      </c>
      <c r="C2523" s="42" t="s">
        <v>967</v>
      </c>
      <c r="D2523" s="42" t="s">
        <v>159</v>
      </c>
      <c r="E2523" s="42" t="s">
        <v>808</v>
      </c>
      <c r="F2523" s="45">
        <v>77130543.65653186</v>
      </c>
      <c r="G2523" s="42" t="s">
        <v>763</v>
      </c>
      <c r="H2523" s="42" t="s">
        <v>100</v>
      </c>
      <c r="I2523" s="42" t="s">
        <v>893</v>
      </c>
    </row>
    <row r="2524" spans="1:9">
      <c r="A2524" s="42" t="s">
        <v>897</v>
      </c>
      <c r="B2524" s="42" t="s">
        <v>318</v>
      </c>
      <c r="C2524" s="42" t="s">
        <v>904</v>
      </c>
      <c r="D2524" s="42" t="s">
        <v>159</v>
      </c>
      <c r="E2524" s="42" t="s">
        <v>808</v>
      </c>
      <c r="F2524" s="45">
        <v>-12277059.30272852</v>
      </c>
      <c r="G2524" s="42" t="s">
        <v>763</v>
      </c>
      <c r="H2524" s="42" t="s">
        <v>100</v>
      </c>
      <c r="I2524" s="42" t="s">
        <v>893</v>
      </c>
    </row>
    <row r="2525" spans="1:9">
      <c r="A2525" s="42" t="s">
        <v>897</v>
      </c>
      <c r="B2525" s="42" t="s">
        <v>319</v>
      </c>
      <c r="C2525" s="42" t="s">
        <v>907</v>
      </c>
      <c r="D2525" s="42" t="s">
        <v>159</v>
      </c>
      <c r="E2525" s="42" t="s">
        <v>808</v>
      </c>
      <c r="F2525" s="45">
        <v>62883293.13943974</v>
      </c>
      <c r="G2525" s="42" t="s">
        <v>763</v>
      </c>
      <c r="H2525" s="42" t="s">
        <v>100</v>
      </c>
      <c r="I2525" s="42" t="s">
        <v>893</v>
      </c>
    </row>
    <row r="2526" spans="1:9">
      <c r="A2526" s="42" t="s">
        <v>897</v>
      </c>
      <c r="B2526" s="42" t="s">
        <v>357</v>
      </c>
      <c r="C2526" s="42" t="s">
        <v>908</v>
      </c>
      <c r="D2526" s="42" t="s">
        <v>159</v>
      </c>
      <c r="E2526" s="42" t="s">
        <v>808</v>
      </c>
      <c r="F2526" s="45">
        <v>160220508.6722131</v>
      </c>
      <c r="G2526" s="42" t="s">
        <v>763</v>
      </c>
      <c r="H2526" s="42" t="s">
        <v>100</v>
      </c>
      <c r="I2526" s="42" t="s">
        <v>864</v>
      </c>
    </row>
    <row r="2527" spans="1:9">
      <c r="A2527" s="42" t="s">
        <v>897</v>
      </c>
      <c r="B2527" s="42" t="s">
        <v>358</v>
      </c>
      <c r="C2527" s="42" t="s">
        <v>996</v>
      </c>
      <c r="D2527" s="42" t="s">
        <v>159</v>
      </c>
      <c r="E2527" s="42" t="s">
        <v>808</v>
      </c>
      <c r="F2527" s="45">
        <v>2393538.086871476</v>
      </c>
      <c r="G2527" s="42" t="s">
        <v>763</v>
      </c>
      <c r="H2527" s="42" t="s">
        <v>90</v>
      </c>
      <c r="I2527" s="42" t="s">
        <v>860</v>
      </c>
    </row>
    <row r="2528" spans="1:9">
      <c r="A2528" s="42" t="s">
        <v>897</v>
      </c>
      <c r="B2528" s="42" t="s">
        <v>251</v>
      </c>
      <c r="C2528" s="42" t="s">
        <v>909</v>
      </c>
      <c r="D2528" s="42" t="s">
        <v>159</v>
      </c>
      <c r="E2528" s="42" t="s">
        <v>808</v>
      </c>
      <c r="F2528" s="45">
        <v>2393538.086871476</v>
      </c>
      <c r="G2528" s="42" t="s">
        <v>763</v>
      </c>
      <c r="H2528" s="42" t="s">
        <v>100</v>
      </c>
      <c r="I2528" s="42" t="s">
        <v>893</v>
      </c>
    </row>
    <row r="2529" spans="1:9">
      <c r="A2529" s="42" t="s">
        <v>897</v>
      </c>
      <c r="B2529" s="42" t="s">
        <v>359</v>
      </c>
      <c r="C2529" s="42" t="s">
        <v>969</v>
      </c>
      <c r="D2529" s="42" t="s">
        <v>159</v>
      </c>
      <c r="E2529" s="42" t="s">
        <v>808</v>
      </c>
      <c r="F2529" s="45">
        <v>-7457417.984946504</v>
      </c>
      <c r="G2529" s="42" t="s">
        <v>763</v>
      </c>
      <c r="H2529" s="42" t="s">
        <v>100</v>
      </c>
      <c r="I2529" s="42" t="s">
        <v>853</v>
      </c>
    </row>
    <row r="2530" spans="1:9">
      <c r="A2530" s="42" t="s">
        <v>897</v>
      </c>
      <c r="B2530" s="42" t="s">
        <v>360</v>
      </c>
      <c r="C2530" s="42" t="s">
        <v>1036</v>
      </c>
      <c r="D2530" s="42" t="s">
        <v>159</v>
      </c>
      <c r="E2530" s="42" t="s">
        <v>808</v>
      </c>
      <c r="F2530" s="45">
        <v>-103492027.7561572</v>
      </c>
      <c r="G2530" s="42" t="s">
        <v>763</v>
      </c>
      <c r="H2530" s="42" t="s">
        <v>90</v>
      </c>
      <c r="I2530" s="42" t="s">
        <v>860</v>
      </c>
    </row>
    <row r="2531" spans="1:9">
      <c r="A2531" s="42" t="s">
        <v>897</v>
      </c>
      <c r="B2531" s="42" t="s">
        <v>363</v>
      </c>
      <c r="C2531" s="42" t="s">
        <v>1006</v>
      </c>
      <c r="D2531" s="42" t="s">
        <v>159</v>
      </c>
      <c r="E2531" s="42" t="s">
        <v>808</v>
      </c>
      <c r="F2531" s="45">
        <v>-103492027.7561572</v>
      </c>
      <c r="G2531" s="42" t="s">
        <v>763</v>
      </c>
      <c r="H2531" s="42" t="s">
        <v>100</v>
      </c>
      <c r="I2531" s="42" t="s">
        <v>864</v>
      </c>
    </row>
    <row r="2532" spans="1:9">
      <c r="A2532" s="42" t="s">
        <v>897</v>
      </c>
      <c r="B2532" s="42" t="s">
        <v>293</v>
      </c>
      <c r="C2532" s="42" t="s">
        <v>912</v>
      </c>
      <c r="D2532" s="42" t="s">
        <v>159</v>
      </c>
      <c r="E2532" s="42" t="s">
        <v>808</v>
      </c>
      <c r="F2532" s="45">
        <v>250588783.380626</v>
      </c>
      <c r="G2532" s="42" t="s">
        <v>763</v>
      </c>
      <c r="H2532" s="42" t="s">
        <v>100</v>
      </c>
      <c r="I2532" s="42" t="s">
        <v>893</v>
      </c>
    </row>
    <row r="2533" spans="1:9">
      <c r="A2533" s="42" t="s">
        <v>897</v>
      </c>
      <c r="B2533" s="42" t="s">
        <v>369</v>
      </c>
      <c r="C2533" s="42" t="s">
        <v>970</v>
      </c>
      <c r="D2533" s="42" t="s">
        <v>159</v>
      </c>
      <c r="E2533" s="42" t="s">
        <v>808</v>
      </c>
      <c r="F2533" s="45">
        <v>-21997754.79839024</v>
      </c>
      <c r="G2533" s="42" t="s">
        <v>763</v>
      </c>
      <c r="H2533" s="42" t="s">
        <v>100</v>
      </c>
      <c r="I2533" s="42" t="s">
        <v>886</v>
      </c>
    </row>
    <row r="2534" spans="1:9">
      <c r="A2534" s="42" t="s">
        <v>897</v>
      </c>
      <c r="B2534" s="42" t="s">
        <v>292</v>
      </c>
      <c r="C2534" s="42" t="s">
        <v>913</v>
      </c>
      <c r="D2534" s="42" t="s">
        <v>159</v>
      </c>
      <c r="E2534" s="42" t="s">
        <v>808</v>
      </c>
      <c r="F2534" s="45">
        <v>-65048875.21803774</v>
      </c>
      <c r="G2534" s="42" t="s">
        <v>763</v>
      </c>
      <c r="H2534" s="42" t="s">
        <v>100</v>
      </c>
      <c r="I2534" s="42" t="s">
        <v>893</v>
      </c>
    </row>
    <row r="2535" spans="1:9">
      <c r="A2535" s="42" t="s">
        <v>897</v>
      </c>
      <c r="B2535" s="42" t="s">
        <v>241</v>
      </c>
      <c r="C2535" s="42" t="s">
        <v>914</v>
      </c>
      <c r="D2535" s="42" t="s">
        <v>159</v>
      </c>
      <c r="E2535" s="42" t="s">
        <v>808</v>
      </c>
      <c r="F2535" s="45">
        <v>-178326728.7579347</v>
      </c>
      <c r="G2535" s="42" t="s">
        <v>763</v>
      </c>
      <c r="H2535" s="42" t="s">
        <v>100</v>
      </c>
      <c r="I2535" s="42" t="s">
        <v>893</v>
      </c>
    </row>
    <row r="2536" spans="1:9">
      <c r="A2536" s="42" t="s">
        <v>897</v>
      </c>
      <c r="B2536" s="42" t="s">
        <v>310</v>
      </c>
      <c r="C2536" s="42" t="s">
        <v>915</v>
      </c>
      <c r="D2536" s="42" t="s">
        <v>159</v>
      </c>
      <c r="E2536" s="42" t="s">
        <v>808</v>
      </c>
      <c r="F2536" s="45">
        <v>-55458440.2985323</v>
      </c>
      <c r="G2536" s="42" t="s">
        <v>763</v>
      </c>
      <c r="H2536" s="42" t="s">
        <v>100</v>
      </c>
      <c r="I2536" s="42" t="s">
        <v>893</v>
      </c>
    </row>
    <row r="2537" spans="1:9">
      <c r="A2537" s="42" t="s">
        <v>897</v>
      </c>
      <c r="B2537" s="42" t="s">
        <v>305</v>
      </c>
      <c r="C2537" s="42" t="s">
        <v>916</v>
      </c>
      <c r="D2537" s="42" t="s">
        <v>159</v>
      </c>
      <c r="E2537" s="42" t="s">
        <v>808</v>
      </c>
      <c r="F2537" s="45">
        <v>5943138.787129856</v>
      </c>
      <c r="G2537" s="42" t="s">
        <v>763</v>
      </c>
      <c r="H2537" s="42" t="s">
        <v>100</v>
      </c>
      <c r="I2537" s="42" t="s">
        <v>893</v>
      </c>
    </row>
    <row r="2538" spans="1:9">
      <c r="A2538" s="42" t="s">
        <v>897</v>
      </c>
      <c r="B2538" s="42" t="s">
        <v>306</v>
      </c>
      <c r="C2538" s="42" t="s">
        <v>917</v>
      </c>
      <c r="D2538" s="42" t="s">
        <v>159</v>
      </c>
      <c r="E2538" s="42" t="s">
        <v>808</v>
      </c>
      <c r="F2538" s="45">
        <v>-28901565.33467259</v>
      </c>
      <c r="G2538" s="42" t="s">
        <v>763</v>
      </c>
      <c r="H2538" s="42" t="s">
        <v>100</v>
      </c>
      <c r="I2538" s="42" t="s">
        <v>893</v>
      </c>
    </row>
    <row r="2539" spans="1:9">
      <c r="A2539" s="42" t="s">
        <v>897</v>
      </c>
      <c r="B2539" s="42" t="s">
        <v>309</v>
      </c>
      <c r="C2539" s="42" t="s">
        <v>918</v>
      </c>
      <c r="D2539" s="42" t="s">
        <v>159</v>
      </c>
      <c r="E2539" s="42" t="s">
        <v>808</v>
      </c>
      <c r="F2539" s="45">
        <v>2816884.959379356</v>
      </c>
      <c r="G2539" s="42" t="s">
        <v>763</v>
      </c>
      <c r="H2539" s="42" t="s">
        <v>100</v>
      </c>
      <c r="I2539" s="42" t="s">
        <v>893</v>
      </c>
    </row>
    <row r="2540" spans="1:9">
      <c r="A2540" s="42" t="s">
        <v>897</v>
      </c>
      <c r="B2540" s="42" t="s">
        <v>242</v>
      </c>
      <c r="C2540" s="42" t="s">
        <v>920</v>
      </c>
      <c r="D2540" s="42" t="s">
        <v>159</v>
      </c>
      <c r="E2540" s="42" t="s">
        <v>808</v>
      </c>
      <c r="F2540" s="45">
        <v>-8418089.734099003</v>
      </c>
      <c r="G2540" s="42" t="s">
        <v>763</v>
      </c>
      <c r="H2540" s="42" t="s">
        <v>100</v>
      </c>
      <c r="I2540" s="42" t="s">
        <v>893</v>
      </c>
    </row>
    <row r="2541" spans="1:9">
      <c r="A2541" s="42" t="s">
        <v>897</v>
      </c>
      <c r="B2541" s="42" t="s">
        <v>302</v>
      </c>
      <c r="C2541" s="42" t="s">
        <v>921</v>
      </c>
      <c r="D2541" s="42" t="s">
        <v>159</v>
      </c>
      <c r="E2541" s="42" t="s">
        <v>808</v>
      </c>
      <c r="F2541" s="45">
        <v>1400301.193679911</v>
      </c>
      <c r="G2541" s="42" t="s">
        <v>763</v>
      </c>
      <c r="H2541" s="42" t="s">
        <v>100</v>
      </c>
      <c r="I2541" s="42" t="s">
        <v>893</v>
      </c>
    </row>
    <row r="2542" spans="1:9">
      <c r="A2542" s="42" t="s">
        <v>897</v>
      </c>
      <c r="B2542" s="42" t="s">
        <v>326</v>
      </c>
      <c r="C2542" s="42" t="s">
        <v>922</v>
      </c>
      <c r="D2542" s="42" t="s">
        <v>159</v>
      </c>
      <c r="E2542" s="42" t="s">
        <v>808</v>
      </c>
      <c r="F2542" s="45">
        <v>2116734.362539401</v>
      </c>
      <c r="G2542" s="42" t="s">
        <v>763</v>
      </c>
      <c r="H2542" s="42" t="s">
        <v>100</v>
      </c>
      <c r="I2542" s="42" t="s">
        <v>893</v>
      </c>
    </row>
    <row r="2543" spans="1:9">
      <c r="A2543" s="42" t="s">
        <v>897</v>
      </c>
      <c r="B2543" s="42" t="s">
        <v>370</v>
      </c>
      <c r="C2543" s="42" t="s">
        <v>1017</v>
      </c>
      <c r="D2543" s="42" t="s">
        <v>159</v>
      </c>
      <c r="E2543" s="42" t="s">
        <v>808</v>
      </c>
      <c r="F2543" s="45">
        <v>4021795.288824862</v>
      </c>
      <c r="G2543" s="42" t="s">
        <v>763</v>
      </c>
      <c r="H2543" s="42" t="s">
        <v>90</v>
      </c>
      <c r="I2543" s="42" t="s">
        <v>860</v>
      </c>
    </row>
    <row r="2544" spans="1:9">
      <c r="A2544" s="42" t="s">
        <v>897</v>
      </c>
      <c r="B2544" s="42" t="s">
        <v>371</v>
      </c>
      <c r="C2544" s="42" t="s">
        <v>923</v>
      </c>
      <c r="D2544" s="42" t="s">
        <v>159</v>
      </c>
      <c r="E2544" s="42" t="s">
        <v>808</v>
      </c>
      <c r="F2544" s="45">
        <v>4021795.288824862</v>
      </c>
      <c r="G2544" s="42" t="s">
        <v>763</v>
      </c>
      <c r="H2544" s="42" t="s">
        <v>100</v>
      </c>
      <c r="I2544" s="42" t="s">
        <v>866</v>
      </c>
    </row>
    <row r="2545" spans="1:9">
      <c r="A2545" s="42" t="s">
        <v>897</v>
      </c>
      <c r="B2545" s="42" t="s">
        <v>328</v>
      </c>
      <c r="C2545" s="42" t="s">
        <v>924</v>
      </c>
      <c r="D2545" s="42" t="s">
        <v>159</v>
      </c>
      <c r="E2545" s="42" t="s">
        <v>808</v>
      </c>
      <c r="F2545" s="45">
        <v>-7262027.120712098</v>
      </c>
      <c r="G2545" s="42" t="s">
        <v>763</v>
      </c>
      <c r="H2545" s="42" t="s">
        <v>100</v>
      </c>
      <c r="I2545" s="42" t="s">
        <v>893</v>
      </c>
    </row>
    <row r="2546" spans="1:9">
      <c r="A2546" s="42" t="s">
        <v>897</v>
      </c>
      <c r="B2546" s="42" t="s">
        <v>329</v>
      </c>
      <c r="C2546" s="42" t="s">
        <v>925</v>
      </c>
      <c r="D2546" s="42" t="s">
        <v>159</v>
      </c>
      <c r="E2546" s="42" t="s">
        <v>808</v>
      </c>
      <c r="F2546" s="45">
        <v>959939033.4116184</v>
      </c>
      <c r="G2546" s="42" t="s">
        <v>763</v>
      </c>
      <c r="H2546" s="42" t="s">
        <v>100</v>
      </c>
      <c r="I2546" s="42" t="s">
        <v>893</v>
      </c>
    </row>
    <row r="2547" spans="1:9">
      <c r="A2547" s="42" t="s">
        <v>897</v>
      </c>
      <c r="B2547" s="42" t="s">
        <v>376</v>
      </c>
      <c r="C2547" s="42" t="s">
        <v>1010</v>
      </c>
      <c r="D2547" s="42" t="s">
        <v>159</v>
      </c>
      <c r="E2547" s="42" t="s">
        <v>808</v>
      </c>
      <c r="F2547" s="45">
        <v>103492027.7561572</v>
      </c>
      <c r="G2547" s="42" t="s">
        <v>763</v>
      </c>
      <c r="H2547" s="42" t="s">
        <v>100</v>
      </c>
      <c r="I2547" s="42" t="s">
        <v>865</v>
      </c>
    </row>
    <row r="2548" spans="1:9">
      <c r="A2548" s="42" t="s">
        <v>897</v>
      </c>
      <c r="B2548" s="42" t="s">
        <v>330</v>
      </c>
      <c r="C2548" s="42" t="s">
        <v>927</v>
      </c>
      <c r="D2548" s="42" t="s">
        <v>159</v>
      </c>
      <c r="E2548" s="42" t="s">
        <v>808</v>
      </c>
      <c r="F2548" s="45">
        <v>-790356045.8281733</v>
      </c>
      <c r="G2548" s="42" t="s">
        <v>763</v>
      </c>
      <c r="H2548" s="42" t="s">
        <v>100</v>
      </c>
      <c r="I2548" s="42" t="s">
        <v>893</v>
      </c>
    </row>
    <row r="2549" spans="1:9">
      <c r="A2549" s="42" t="s">
        <v>897</v>
      </c>
      <c r="B2549" s="42" t="s">
        <v>381</v>
      </c>
      <c r="C2549" s="42" t="s">
        <v>1037</v>
      </c>
      <c r="D2549" s="42" t="s">
        <v>159</v>
      </c>
      <c r="E2549" s="42" t="s">
        <v>808</v>
      </c>
      <c r="F2549" s="45">
        <v>103492027.7561572</v>
      </c>
      <c r="G2549" s="42" t="s">
        <v>763</v>
      </c>
      <c r="H2549" s="42" t="s">
        <v>90</v>
      </c>
      <c r="I2549" s="42" t="s">
        <v>860</v>
      </c>
    </row>
    <row r="2550" spans="1:9">
      <c r="A2550" s="42" t="s">
        <v>897</v>
      </c>
      <c r="B2550" s="42" t="s">
        <v>336</v>
      </c>
      <c r="C2550" s="42" t="s">
        <v>938</v>
      </c>
      <c r="D2550" s="42" t="s">
        <v>159</v>
      </c>
      <c r="E2550" s="42" t="s">
        <v>808</v>
      </c>
      <c r="F2550" s="45">
        <v>-686864018.072016</v>
      </c>
      <c r="G2550" s="42" t="s">
        <v>763</v>
      </c>
      <c r="H2550" s="42" t="s">
        <v>100</v>
      </c>
      <c r="I2550" s="42" t="s">
        <v>893</v>
      </c>
    </row>
    <row r="2551" spans="1:9">
      <c r="A2551" s="42" t="s">
        <v>897</v>
      </c>
      <c r="B2551" s="42" t="s">
        <v>388</v>
      </c>
      <c r="C2551" s="42" t="s">
        <v>1024</v>
      </c>
      <c r="D2551" s="42" t="s">
        <v>159</v>
      </c>
      <c r="E2551" s="42" t="s">
        <v>808</v>
      </c>
      <c r="F2551" s="45">
        <v>-4298599.013156937</v>
      </c>
      <c r="G2551" s="42" t="s">
        <v>763</v>
      </c>
      <c r="H2551" s="42" t="s">
        <v>90</v>
      </c>
      <c r="I2551" s="42" t="s">
        <v>860</v>
      </c>
    </row>
    <row r="2552" spans="1:9">
      <c r="A2552" s="42" t="s">
        <v>897</v>
      </c>
      <c r="B2552" s="42" t="s">
        <v>389</v>
      </c>
      <c r="C2552" s="42" t="s">
        <v>998</v>
      </c>
      <c r="D2552" s="42" t="s">
        <v>159</v>
      </c>
      <c r="E2552" s="42" t="s">
        <v>808</v>
      </c>
      <c r="F2552" s="45">
        <v>69152083.36696027</v>
      </c>
      <c r="G2552" s="42" t="s">
        <v>763</v>
      </c>
      <c r="H2552" s="42" t="s">
        <v>100</v>
      </c>
      <c r="I2552" s="42" t="s">
        <v>865</v>
      </c>
    </row>
    <row r="2553" spans="1:9">
      <c r="A2553" s="42" t="s">
        <v>897</v>
      </c>
      <c r="B2553" s="42" t="s">
        <v>337</v>
      </c>
      <c r="C2553" s="42" t="s">
        <v>991</v>
      </c>
      <c r="D2553" s="42" t="s">
        <v>159</v>
      </c>
      <c r="E2553" s="42" t="s">
        <v>808</v>
      </c>
      <c r="F2553" s="45">
        <v>-341347839.8175077</v>
      </c>
      <c r="G2553" s="42" t="s">
        <v>763</v>
      </c>
      <c r="H2553" s="42" t="s">
        <v>100</v>
      </c>
      <c r="I2553" s="42" t="s">
        <v>893</v>
      </c>
    </row>
    <row r="2554" spans="1:9">
      <c r="A2554" s="42" t="s">
        <v>897</v>
      </c>
      <c r="B2554" s="42" t="s">
        <v>338</v>
      </c>
      <c r="C2554" s="42" t="s">
        <v>972</v>
      </c>
      <c r="D2554" s="42" t="s">
        <v>159</v>
      </c>
      <c r="E2554" s="42" t="s">
        <v>808</v>
      </c>
      <c r="F2554" s="45">
        <v>-261221302.9093816</v>
      </c>
      <c r="G2554" s="42" t="s">
        <v>763</v>
      </c>
      <c r="H2554" s="42" t="s">
        <v>100</v>
      </c>
      <c r="I2554" s="42" t="s">
        <v>893</v>
      </c>
    </row>
    <row r="2555" spans="1:9">
      <c r="A2555" s="42" t="s">
        <v>897</v>
      </c>
      <c r="B2555" s="42" t="s">
        <v>939</v>
      </c>
      <c r="C2555" s="42" t="s">
        <v>973</v>
      </c>
      <c r="D2555" s="42" t="s">
        <v>159</v>
      </c>
      <c r="E2555" s="42" t="s">
        <v>808</v>
      </c>
      <c r="F2555" s="45">
        <v>410662748.9046633</v>
      </c>
      <c r="G2555" s="42" t="s">
        <v>763</v>
      </c>
      <c r="H2555" s="42" t="s">
        <v>100</v>
      </c>
      <c r="I2555" s="42" t="s">
        <v>893</v>
      </c>
    </row>
    <row r="2556" spans="1:9">
      <c r="A2556" s="42" t="s">
        <v>897</v>
      </c>
      <c r="B2556" s="42" t="s">
        <v>342</v>
      </c>
      <c r="C2556" s="42" t="s">
        <v>1014</v>
      </c>
      <c r="D2556" s="42" t="s">
        <v>159</v>
      </c>
      <c r="E2556" s="42" t="s">
        <v>808</v>
      </c>
      <c r="F2556" s="45">
        <v>-96653347.50795294</v>
      </c>
      <c r="G2556" s="42" t="s">
        <v>763</v>
      </c>
      <c r="H2556" s="42" t="s">
        <v>100</v>
      </c>
      <c r="I2556" s="42" t="s">
        <v>893</v>
      </c>
    </row>
    <row r="2557" spans="1:9">
      <c r="A2557" s="42" t="s">
        <v>897</v>
      </c>
      <c r="B2557" s="42" t="s">
        <v>343</v>
      </c>
      <c r="C2557" s="42" t="s">
        <v>1016</v>
      </c>
      <c r="D2557" s="42" t="s">
        <v>159</v>
      </c>
      <c r="E2557" s="42" t="s">
        <v>808</v>
      </c>
      <c r="F2557" s="45">
        <v>-4298599.013156937</v>
      </c>
      <c r="G2557" s="42" t="s">
        <v>763</v>
      </c>
      <c r="H2557" s="42" t="s">
        <v>100</v>
      </c>
      <c r="I2557" s="42" t="s">
        <v>893</v>
      </c>
    </row>
    <row r="2558" spans="1:9">
      <c r="A2558" s="42" t="s">
        <v>897</v>
      </c>
      <c r="B2558" s="42" t="s">
        <v>344</v>
      </c>
      <c r="C2558" s="42" t="s">
        <v>980</v>
      </c>
      <c r="D2558" s="42" t="s">
        <v>159</v>
      </c>
      <c r="E2558" s="42" t="s">
        <v>808</v>
      </c>
      <c r="F2558" s="45">
        <v>-292858340.3433359</v>
      </c>
      <c r="G2558" s="42" t="s">
        <v>763</v>
      </c>
      <c r="H2558" s="42" t="s">
        <v>100</v>
      </c>
      <c r="I2558" s="42" t="s">
        <v>893</v>
      </c>
    </row>
    <row r="2559" spans="1:9">
      <c r="A2559" s="42" t="s">
        <v>897</v>
      </c>
      <c r="B2559" s="42" t="s">
        <v>395</v>
      </c>
      <c r="C2559" s="42" t="s">
        <v>999</v>
      </c>
      <c r="D2559" s="42" t="s">
        <v>159</v>
      </c>
      <c r="E2559" s="42" t="s">
        <v>808</v>
      </c>
      <c r="F2559" s="45">
        <v>1125646768.854414</v>
      </c>
      <c r="G2559" s="42" t="s">
        <v>763</v>
      </c>
      <c r="H2559" s="42" t="s">
        <v>90</v>
      </c>
      <c r="I2559" s="42" t="s">
        <v>860</v>
      </c>
    </row>
    <row r="2560" spans="1:9">
      <c r="A2560" s="42" t="s">
        <v>897</v>
      </c>
      <c r="B2560" s="42" t="s">
        <v>346</v>
      </c>
      <c r="C2560" s="42" t="s">
        <v>956</v>
      </c>
      <c r="D2560" s="42" t="s">
        <v>159</v>
      </c>
      <c r="E2560" s="42" t="s">
        <v>808</v>
      </c>
      <c r="F2560" s="45">
        <v>49368758.36322664</v>
      </c>
      <c r="G2560" s="42" t="s">
        <v>763</v>
      </c>
      <c r="H2560" s="42" t="s">
        <v>100</v>
      </c>
      <c r="I2560" s="42" t="s">
        <v>893</v>
      </c>
    </row>
    <row r="2561" spans="1:9">
      <c r="A2561" s="42" t="s">
        <v>897</v>
      </c>
      <c r="B2561" s="42" t="s">
        <v>347</v>
      </c>
      <c r="C2561" s="42" t="s">
        <v>981</v>
      </c>
      <c r="D2561" s="42" t="s">
        <v>159</v>
      </c>
      <c r="E2561" s="42" t="s">
        <v>808</v>
      </c>
      <c r="F2561" s="45">
        <v>1103771171.166236</v>
      </c>
      <c r="G2561" s="42" t="s">
        <v>763</v>
      </c>
      <c r="H2561" s="42" t="s">
        <v>100</v>
      </c>
      <c r="I2561" s="42" t="s">
        <v>893</v>
      </c>
    </row>
    <row r="2562" spans="1:9">
      <c r="A2562" s="42" t="s">
        <v>897</v>
      </c>
      <c r="B2562" s="42" t="s">
        <v>348</v>
      </c>
      <c r="C2562" s="42" t="s">
        <v>982</v>
      </c>
      <c r="D2562" s="42" t="s">
        <v>159</v>
      </c>
      <c r="E2562" s="42" t="s">
        <v>808</v>
      </c>
      <c r="F2562" s="45">
        <v>1074953823.084543</v>
      </c>
      <c r="G2562" s="42" t="s">
        <v>763</v>
      </c>
      <c r="H2562" s="42" t="s">
        <v>100</v>
      </c>
      <c r="I2562" s="42" t="s">
        <v>893</v>
      </c>
    </row>
    <row r="2563" spans="1:9">
      <c r="A2563" s="42" t="s">
        <v>897</v>
      </c>
      <c r="B2563" s="42" t="s">
        <v>346</v>
      </c>
      <c r="C2563" s="42" t="s">
        <v>961</v>
      </c>
      <c r="D2563" s="42" t="s">
        <v>159</v>
      </c>
      <c r="E2563" s="42" t="s">
        <v>808</v>
      </c>
      <c r="F2563" s="45">
        <v>49368758.36322664</v>
      </c>
      <c r="G2563" s="42" t="s">
        <v>763</v>
      </c>
      <c r="H2563" s="42" t="s">
        <v>100</v>
      </c>
      <c r="I2563" s="42" t="s">
        <v>893</v>
      </c>
    </row>
    <row r="2564" spans="1:9">
      <c r="A2564" s="42" t="s">
        <v>897</v>
      </c>
      <c r="B2564" s="42" t="s">
        <v>351</v>
      </c>
      <c r="C2564" s="42" t="s">
        <v>899</v>
      </c>
      <c r="D2564" s="42" t="s">
        <v>160</v>
      </c>
      <c r="E2564" s="42" t="s">
        <v>808</v>
      </c>
      <c r="F2564" s="45">
        <v>-34066626.94438617</v>
      </c>
      <c r="G2564" s="42" t="s">
        <v>1001</v>
      </c>
      <c r="H2564" s="42" t="s">
        <v>1020</v>
      </c>
      <c r="I2564" s="42" t="s">
        <v>860</v>
      </c>
    </row>
    <row r="2565" spans="1:9">
      <c r="A2565" s="42" t="s">
        <v>897</v>
      </c>
      <c r="B2565" s="42" t="s">
        <v>201</v>
      </c>
      <c r="C2565" s="42" t="s">
        <v>966</v>
      </c>
      <c r="D2565" s="42" t="s">
        <v>160</v>
      </c>
      <c r="E2565" s="42" t="s">
        <v>808</v>
      </c>
      <c r="F2565" s="45">
        <v>-34066626.94438617</v>
      </c>
      <c r="G2565" s="42" t="s">
        <v>1001</v>
      </c>
      <c r="H2565" s="42" t="s">
        <v>1038</v>
      </c>
      <c r="I2565" s="42" t="s">
        <v>893</v>
      </c>
    </row>
    <row r="2566" spans="1:9">
      <c r="A2566" s="42" t="s">
        <v>897</v>
      </c>
      <c r="B2566" s="42" t="s">
        <v>314</v>
      </c>
      <c r="C2566" s="42" t="s">
        <v>900</v>
      </c>
      <c r="D2566" s="42" t="s">
        <v>160</v>
      </c>
      <c r="E2566" s="42" t="s">
        <v>808</v>
      </c>
      <c r="F2566" s="45">
        <v>635949867.1670282</v>
      </c>
      <c r="G2566" s="42" t="s">
        <v>1001</v>
      </c>
      <c r="H2566" s="42" t="s">
        <v>1038</v>
      </c>
      <c r="I2566" s="42" t="s">
        <v>893</v>
      </c>
    </row>
    <row r="2567" spans="1:9">
      <c r="A2567" s="42" t="s">
        <v>897</v>
      </c>
      <c r="B2567" s="42" t="s">
        <v>315</v>
      </c>
      <c r="C2567" s="42" t="s">
        <v>901</v>
      </c>
      <c r="D2567" s="42" t="s">
        <v>160</v>
      </c>
      <c r="E2567" s="42" t="s">
        <v>808</v>
      </c>
      <c r="F2567" s="45">
        <v>10960566.92993294</v>
      </c>
      <c r="G2567" s="42" t="s">
        <v>1001</v>
      </c>
      <c r="H2567" s="42" t="s">
        <v>1038</v>
      </c>
      <c r="I2567" s="42" t="s">
        <v>893</v>
      </c>
    </row>
    <row r="2568" spans="1:9">
      <c r="A2568" s="42" t="s">
        <v>897</v>
      </c>
      <c r="B2568" s="42" t="s">
        <v>316</v>
      </c>
      <c r="C2568" s="42" t="s">
        <v>1004</v>
      </c>
      <c r="D2568" s="42" t="s">
        <v>160</v>
      </c>
      <c r="E2568" s="42" t="s">
        <v>808</v>
      </c>
      <c r="F2568" s="45">
        <v>58165062.61330631</v>
      </c>
      <c r="G2568" s="42" t="s">
        <v>1001</v>
      </c>
      <c r="H2568" s="42" t="s">
        <v>1038</v>
      </c>
      <c r="I2568" s="42" t="s">
        <v>893</v>
      </c>
    </row>
    <row r="2569" spans="1:9">
      <c r="A2569" s="42" t="s">
        <v>897</v>
      </c>
      <c r="B2569" s="42" t="s">
        <v>317</v>
      </c>
      <c r="C2569" s="42" t="s">
        <v>967</v>
      </c>
      <c r="D2569" s="42" t="s">
        <v>160</v>
      </c>
      <c r="E2569" s="42" t="s">
        <v>808</v>
      </c>
      <c r="F2569" s="45">
        <v>38850766.29353258</v>
      </c>
      <c r="G2569" s="42" t="s">
        <v>1001</v>
      </c>
      <c r="H2569" s="42" t="s">
        <v>1038</v>
      </c>
      <c r="I2569" s="42" t="s">
        <v>893</v>
      </c>
    </row>
    <row r="2570" spans="1:9">
      <c r="A2570" s="42" t="s">
        <v>897</v>
      </c>
      <c r="B2570" s="42" t="s">
        <v>318</v>
      </c>
      <c r="C2570" s="42" t="s">
        <v>904</v>
      </c>
      <c r="D2570" s="42" t="s">
        <v>160</v>
      </c>
      <c r="E2570" s="42" t="s">
        <v>808</v>
      </c>
      <c r="F2570" s="45">
        <v>-13093434.00819016</v>
      </c>
      <c r="G2570" s="42" t="s">
        <v>1001</v>
      </c>
      <c r="H2570" s="42" t="s">
        <v>1038</v>
      </c>
      <c r="I2570" s="42" t="s">
        <v>893</v>
      </c>
    </row>
    <row r="2571" spans="1:9">
      <c r="A2571" s="42" t="s">
        <v>897</v>
      </c>
      <c r="B2571" s="42" t="s">
        <v>319</v>
      </c>
      <c r="C2571" s="42" t="s">
        <v>907</v>
      </c>
      <c r="D2571" s="42" t="s">
        <v>160</v>
      </c>
      <c r="E2571" s="42" t="s">
        <v>808</v>
      </c>
      <c r="F2571" s="45">
        <v>182226830.9986013</v>
      </c>
      <c r="G2571" s="42" t="s">
        <v>1001</v>
      </c>
      <c r="H2571" s="42" t="s">
        <v>1038</v>
      </c>
      <c r="I2571" s="42" t="s">
        <v>893</v>
      </c>
    </row>
    <row r="2572" spans="1:9">
      <c r="A2572" s="42" t="s">
        <v>897</v>
      </c>
      <c r="B2572" s="42" t="s">
        <v>357</v>
      </c>
      <c r="C2572" s="42" t="s">
        <v>908</v>
      </c>
      <c r="D2572" s="42" t="s">
        <v>160</v>
      </c>
      <c r="E2572" s="42" t="s">
        <v>808</v>
      </c>
      <c r="F2572" s="45">
        <v>-112567984.6857978</v>
      </c>
      <c r="G2572" s="42" t="s">
        <v>1001</v>
      </c>
      <c r="H2572" s="42" t="s">
        <v>1038</v>
      </c>
      <c r="I2572" s="42" t="s">
        <v>864</v>
      </c>
    </row>
    <row r="2573" spans="1:9">
      <c r="A2573" s="42" t="s">
        <v>897</v>
      </c>
      <c r="B2573" s="42" t="s">
        <v>358</v>
      </c>
      <c r="C2573" s="42" t="s">
        <v>996</v>
      </c>
      <c r="D2573" s="42" t="s">
        <v>160</v>
      </c>
      <c r="E2573" s="42" t="s">
        <v>808</v>
      </c>
      <c r="F2573" s="45">
        <v>2266171.270648298</v>
      </c>
      <c r="G2573" s="42" t="s">
        <v>1001</v>
      </c>
      <c r="H2573" s="42" t="s">
        <v>1020</v>
      </c>
      <c r="I2573" s="42" t="s">
        <v>860</v>
      </c>
    </row>
    <row r="2574" spans="1:9">
      <c r="A2574" s="42" t="s">
        <v>897</v>
      </c>
      <c r="B2574" s="42" t="s">
        <v>251</v>
      </c>
      <c r="C2574" s="42" t="s">
        <v>909</v>
      </c>
      <c r="D2574" s="42" t="s">
        <v>160</v>
      </c>
      <c r="E2574" s="42" t="s">
        <v>808</v>
      </c>
      <c r="F2574" s="45">
        <v>2266171.270648298</v>
      </c>
      <c r="G2574" s="42" t="s">
        <v>1001</v>
      </c>
      <c r="H2574" s="42" t="s">
        <v>1038</v>
      </c>
      <c r="I2574" s="42" t="s">
        <v>893</v>
      </c>
    </row>
    <row r="2575" spans="1:9">
      <c r="A2575" s="42" t="s">
        <v>897</v>
      </c>
      <c r="B2575" s="42" t="s">
        <v>359</v>
      </c>
      <c r="C2575" s="42" t="s">
        <v>969</v>
      </c>
      <c r="D2575" s="42" t="s">
        <v>160</v>
      </c>
      <c r="E2575" s="42" t="s">
        <v>808</v>
      </c>
      <c r="F2575" s="45">
        <v>-40450416.6022255</v>
      </c>
      <c r="G2575" s="42" t="s">
        <v>1001</v>
      </c>
      <c r="H2575" s="42" t="s">
        <v>1038</v>
      </c>
      <c r="I2575" s="42" t="s">
        <v>853</v>
      </c>
    </row>
    <row r="2576" spans="1:9">
      <c r="A2576" s="42" t="s">
        <v>897</v>
      </c>
      <c r="B2576" s="42" t="s">
        <v>360</v>
      </c>
      <c r="C2576" s="42" t="s">
        <v>1036</v>
      </c>
      <c r="D2576" s="42" t="s">
        <v>160</v>
      </c>
      <c r="E2576" s="42" t="s">
        <v>808</v>
      </c>
      <c r="F2576" s="45">
        <v>-87047637.63137285</v>
      </c>
      <c r="G2576" s="42" t="s">
        <v>1001</v>
      </c>
      <c r="H2576" s="42" t="s">
        <v>1020</v>
      </c>
      <c r="I2576" s="42" t="s">
        <v>860</v>
      </c>
    </row>
    <row r="2577" spans="1:9">
      <c r="A2577" s="42" t="s">
        <v>897</v>
      </c>
      <c r="B2577" s="42" t="s">
        <v>363</v>
      </c>
      <c r="C2577" s="42" t="s">
        <v>1006</v>
      </c>
      <c r="D2577" s="42" t="s">
        <v>160</v>
      </c>
      <c r="E2577" s="42" t="s">
        <v>808</v>
      </c>
      <c r="F2577" s="45">
        <v>-87047637.63137285</v>
      </c>
      <c r="G2577" s="42" t="s">
        <v>1001</v>
      </c>
      <c r="H2577" s="42" t="s">
        <v>1038</v>
      </c>
      <c r="I2577" s="42" t="s">
        <v>864</v>
      </c>
    </row>
    <row r="2578" spans="1:9">
      <c r="A2578" s="42" t="s">
        <v>897</v>
      </c>
      <c r="B2578" s="42" t="s">
        <v>293</v>
      </c>
      <c r="C2578" s="42" t="s">
        <v>912</v>
      </c>
      <c r="D2578" s="42" t="s">
        <v>160</v>
      </c>
      <c r="E2578" s="42" t="s">
        <v>808</v>
      </c>
      <c r="F2578" s="45">
        <v>175206143.5326714</v>
      </c>
      <c r="G2578" s="42" t="s">
        <v>1001</v>
      </c>
      <c r="H2578" s="42" t="s">
        <v>1038</v>
      </c>
      <c r="I2578" s="42" t="s">
        <v>893</v>
      </c>
    </row>
    <row r="2579" spans="1:9">
      <c r="A2579" s="42" t="s">
        <v>897</v>
      </c>
      <c r="B2579" s="42" t="s">
        <v>369</v>
      </c>
      <c r="C2579" s="42" t="s">
        <v>970</v>
      </c>
      <c r="D2579" s="42" t="s">
        <v>160</v>
      </c>
      <c r="E2579" s="42" t="s">
        <v>808</v>
      </c>
      <c r="F2579" s="45">
        <v>-4265734.156514443</v>
      </c>
      <c r="G2579" s="42" t="s">
        <v>1001</v>
      </c>
      <c r="H2579" s="42" t="s">
        <v>1038</v>
      </c>
      <c r="I2579" s="42" t="s">
        <v>886</v>
      </c>
    </row>
    <row r="2580" spans="1:9">
      <c r="A2580" s="42" t="s">
        <v>897</v>
      </c>
      <c r="B2580" s="42" t="s">
        <v>292</v>
      </c>
      <c r="C2580" s="42" t="s">
        <v>913</v>
      </c>
      <c r="D2580" s="42" t="s">
        <v>160</v>
      </c>
      <c r="E2580" s="42" t="s">
        <v>808</v>
      </c>
      <c r="F2580" s="45">
        <v>166807979.4120335</v>
      </c>
      <c r="G2580" s="42" t="s">
        <v>1001</v>
      </c>
      <c r="H2580" s="42" t="s">
        <v>1038</v>
      </c>
      <c r="I2580" s="42" t="s">
        <v>893</v>
      </c>
    </row>
    <row r="2581" spans="1:9">
      <c r="A2581" s="42" t="s">
        <v>897</v>
      </c>
      <c r="B2581" s="42" t="s">
        <v>241</v>
      </c>
      <c r="C2581" s="42" t="s">
        <v>914</v>
      </c>
      <c r="D2581" s="42" t="s">
        <v>160</v>
      </c>
      <c r="E2581" s="42" t="s">
        <v>808</v>
      </c>
      <c r="F2581" s="45">
        <v>82396802.47461751</v>
      </c>
      <c r="G2581" s="42" t="s">
        <v>1001</v>
      </c>
      <c r="H2581" s="42" t="s">
        <v>1038</v>
      </c>
      <c r="I2581" s="42" t="s">
        <v>893</v>
      </c>
    </row>
    <row r="2582" spans="1:9">
      <c r="A2582" s="42" t="s">
        <v>897</v>
      </c>
      <c r="B2582" s="42" t="s">
        <v>310</v>
      </c>
      <c r="C2582" s="42" t="s">
        <v>915</v>
      </c>
      <c r="D2582" s="42" t="s">
        <v>160</v>
      </c>
      <c r="E2582" s="42" t="s">
        <v>808</v>
      </c>
      <c r="F2582" s="45">
        <v>-177383445.3417256</v>
      </c>
      <c r="G2582" s="42" t="s">
        <v>1001</v>
      </c>
      <c r="H2582" s="42" t="s">
        <v>1038</v>
      </c>
      <c r="I2582" s="42" t="s">
        <v>893</v>
      </c>
    </row>
    <row r="2583" spans="1:9">
      <c r="A2583" s="42" t="s">
        <v>897</v>
      </c>
      <c r="B2583" s="42" t="s">
        <v>305</v>
      </c>
      <c r="C2583" s="42" t="s">
        <v>916</v>
      </c>
      <c r="D2583" s="42" t="s">
        <v>160</v>
      </c>
      <c r="E2583" s="42" t="s">
        <v>808</v>
      </c>
      <c r="F2583" s="45">
        <v>177738.9231881018</v>
      </c>
      <c r="G2583" s="42" t="s">
        <v>1001</v>
      </c>
      <c r="H2583" s="42" t="s">
        <v>1038</v>
      </c>
      <c r="I2583" s="42" t="s">
        <v>893</v>
      </c>
    </row>
    <row r="2584" spans="1:9">
      <c r="A2584" s="42" t="s">
        <v>897</v>
      </c>
      <c r="B2584" s="42" t="s">
        <v>306</v>
      </c>
      <c r="C2584" s="42" t="s">
        <v>917</v>
      </c>
      <c r="D2584" s="42" t="s">
        <v>160</v>
      </c>
      <c r="E2584" s="42" t="s">
        <v>808</v>
      </c>
      <c r="F2584" s="45">
        <v>13804389.70094257</v>
      </c>
      <c r="G2584" s="42" t="s">
        <v>1001</v>
      </c>
      <c r="H2584" s="42" t="s">
        <v>1038</v>
      </c>
      <c r="I2584" s="42" t="s">
        <v>893</v>
      </c>
    </row>
    <row r="2585" spans="1:9">
      <c r="A2585" s="42" t="s">
        <v>897</v>
      </c>
      <c r="B2585" s="42" t="s">
        <v>309</v>
      </c>
      <c r="C2585" s="42" t="s">
        <v>918</v>
      </c>
      <c r="D2585" s="42" t="s">
        <v>160</v>
      </c>
      <c r="E2585" s="42" t="s">
        <v>808</v>
      </c>
      <c r="F2585" s="45">
        <v>-325854.6925115199</v>
      </c>
      <c r="G2585" s="42" t="s">
        <v>1001</v>
      </c>
      <c r="H2585" s="42" t="s">
        <v>1038</v>
      </c>
      <c r="I2585" s="42" t="s">
        <v>893</v>
      </c>
    </row>
    <row r="2586" spans="1:9">
      <c r="A2586" s="42" t="s">
        <v>897</v>
      </c>
      <c r="B2586" s="42" t="s">
        <v>242</v>
      </c>
      <c r="C2586" s="42" t="s">
        <v>920</v>
      </c>
      <c r="D2586" s="42" t="s">
        <v>160</v>
      </c>
      <c r="E2586" s="42" t="s">
        <v>808</v>
      </c>
      <c r="F2586" s="45">
        <v>3762140.540814821</v>
      </c>
      <c r="G2586" s="42" t="s">
        <v>1001</v>
      </c>
      <c r="H2586" s="42" t="s">
        <v>1038</v>
      </c>
      <c r="I2586" s="42" t="s">
        <v>893</v>
      </c>
    </row>
    <row r="2587" spans="1:9">
      <c r="A2587" s="42" t="s">
        <v>897</v>
      </c>
      <c r="B2587" s="42" t="s">
        <v>302</v>
      </c>
      <c r="C2587" s="42" t="s">
        <v>921</v>
      </c>
      <c r="D2587" s="42" t="s">
        <v>160</v>
      </c>
      <c r="E2587" s="42" t="s">
        <v>808</v>
      </c>
      <c r="F2587" s="45">
        <v>-19329107.89670607</v>
      </c>
      <c r="G2587" s="42" t="s">
        <v>1001</v>
      </c>
      <c r="H2587" s="42" t="s">
        <v>1038</v>
      </c>
      <c r="I2587" s="42" t="s">
        <v>893</v>
      </c>
    </row>
    <row r="2588" spans="1:9">
      <c r="A2588" s="42" t="s">
        <v>897</v>
      </c>
      <c r="B2588" s="42" t="s">
        <v>326</v>
      </c>
      <c r="C2588" s="42" t="s">
        <v>922</v>
      </c>
      <c r="D2588" s="42" t="s">
        <v>160</v>
      </c>
      <c r="E2588" s="42" t="s">
        <v>808</v>
      </c>
      <c r="F2588" s="45">
        <v>29119560.24898401</v>
      </c>
      <c r="G2588" s="42" t="s">
        <v>1001</v>
      </c>
      <c r="H2588" s="42" t="s">
        <v>1038</v>
      </c>
      <c r="I2588" s="42" t="s">
        <v>893</v>
      </c>
    </row>
    <row r="2589" spans="1:9">
      <c r="A2589" s="42" t="s">
        <v>897</v>
      </c>
      <c r="B2589" s="42" t="s">
        <v>370</v>
      </c>
      <c r="C2589" s="42" t="s">
        <v>1017</v>
      </c>
      <c r="D2589" s="42" t="s">
        <v>160</v>
      </c>
      <c r="E2589" s="42" t="s">
        <v>808</v>
      </c>
      <c r="F2589" s="45">
        <v>11212363.73778275</v>
      </c>
      <c r="G2589" s="42" t="s">
        <v>1001</v>
      </c>
      <c r="H2589" s="42" t="s">
        <v>1020</v>
      </c>
      <c r="I2589" s="42" t="s">
        <v>860</v>
      </c>
    </row>
    <row r="2590" spans="1:9">
      <c r="A2590" s="42" t="s">
        <v>897</v>
      </c>
      <c r="B2590" s="42" t="s">
        <v>371</v>
      </c>
      <c r="C2590" s="42" t="s">
        <v>923</v>
      </c>
      <c r="D2590" s="42" t="s">
        <v>160</v>
      </c>
      <c r="E2590" s="42" t="s">
        <v>808</v>
      </c>
      <c r="F2590" s="45">
        <v>11212363.73778275</v>
      </c>
      <c r="G2590" s="42" t="s">
        <v>1001</v>
      </c>
      <c r="H2590" s="42" t="s">
        <v>1038</v>
      </c>
      <c r="I2590" s="42" t="s">
        <v>866</v>
      </c>
    </row>
    <row r="2591" spans="1:9">
      <c r="A2591" s="42" t="s">
        <v>897</v>
      </c>
      <c r="B2591" s="42" t="s">
        <v>328</v>
      </c>
      <c r="C2591" s="42" t="s">
        <v>924</v>
      </c>
      <c r="D2591" s="42" t="s">
        <v>160</v>
      </c>
      <c r="E2591" s="42" t="s">
        <v>808</v>
      </c>
      <c r="F2591" s="45">
        <v>-14959692.70166523</v>
      </c>
      <c r="G2591" s="42" t="s">
        <v>1001</v>
      </c>
      <c r="H2591" s="42" t="s">
        <v>1038</v>
      </c>
      <c r="I2591" s="42" t="s">
        <v>893</v>
      </c>
    </row>
    <row r="2592" spans="1:9">
      <c r="A2592" s="42" t="s">
        <v>897</v>
      </c>
      <c r="B2592" s="42" t="s">
        <v>329</v>
      </c>
      <c r="C2592" s="42" t="s">
        <v>925</v>
      </c>
      <c r="D2592" s="42" t="s">
        <v>160</v>
      </c>
      <c r="E2592" s="42" t="s">
        <v>808</v>
      </c>
      <c r="F2592" s="45">
        <v>498335505.8886404</v>
      </c>
      <c r="G2592" s="42" t="s">
        <v>1001</v>
      </c>
      <c r="H2592" s="42" t="s">
        <v>1038</v>
      </c>
      <c r="I2592" s="42" t="s">
        <v>893</v>
      </c>
    </row>
    <row r="2593" spans="1:9">
      <c r="A2593" s="42" t="s">
        <v>897</v>
      </c>
      <c r="B2593" s="42" t="s">
        <v>330</v>
      </c>
      <c r="C2593" s="42" t="s">
        <v>927</v>
      </c>
      <c r="D2593" s="42" t="s">
        <v>160</v>
      </c>
      <c r="E2593" s="42" t="s">
        <v>808</v>
      </c>
      <c r="F2593" s="45">
        <v>-286544767.3330848</v>
      </c>
      <c r="G2593" s="42" t="s">
        <v>1001</v>
      </c>
      <c r="H2593" s="42" t="s">
        <v>1038</v>
      </c>
      <c r="I2593" s="42" t="s">
        <v>893</v>
      </c>
    </row>
    <row r="2594" spans="1:9">
      <c r="A2594" s="42" t="s">
        <v>897</v>
      </c>
      <c r="B2594" s="42" t="s">
        <v>381</v>
      </c>
      <c r="C2594" s="42" t="s">
        <v>1037</v>
      </c>
      <c r="D2594" s="42" t="s">
        <v>160</v>
      </c>
      <c r="E2594" s="42" t="s">
        <v>808</v>
      </c>
      <c r="F2594" s="45">
        <v>111249754.3388194</v>
      </c>
      <c r="G2594" s="42" t="s">
        <v>1001</v>
      </c>
      <c r="H2594" s="42" t="s">
        <v>1020</v>
      </c>
      <c r="I2594" s="42" t="s">
        <v>860</v>
      </c>
    </row>
    <row r="2595" spans="1:9">
      <c r="A2595" s="42" t="s">
        <v>897</v>
      </c>
      <c r="B2595" s="42" t="s">
        <v>336</v>
      </c>
      <c r="C2595" s="42" t="s">
        <v>938</v>
      </c>
      <c r="D2595" s="42" t="s">
        <v>160</v>
      </c>
      <c r="E2595" s="42" t="s">
        <v>808</v>
      </c>
      <c r="F2595" s="45">
        <v>-49055942.7999161</v>
      </c>
      <c r="G2595" s="42" t="s">
        <v>1001</v>
      </c>
      <c r="H2595" s="42" t="s">
        <v>1038</v>
      </c>
      <c r="I2595" s="42" t="s">
        <v>893</v>
      </c>
    </row>
    <row r="2596" spans="1:9">
      <c r="A2596" s="42" t="s">
        <v>897</v>
      </c>
      <c r="B2596" s="42" t="s">
        <v>388</v>
      </c>
      <c r="C2596" s="42" t="s">
        <v>1024</v>
      </c>
      <c r="D2596" s="42" t="s">
        <v>160</v>
      </c>
      <c r="E2596" s="42" t="s">
        <v>808</v>
      </c>
      <c r="F2596" s="45">
        <v>-2606837.54009216</v>
      </c>
      <c r="G2596" s="42" t="s">
        <v>1001</v>
      </c>
      <c r="H2596" s="42" t="s">
        <v>1020</v>
      </c>
      <c r="I2596" s="42" t="s">
        <v>860</v>
      </c>
    </row>
    <row r="2597" spans="1:9">
      <c r="A2597" s="42" t="s">
        <v>897</v>
      </c>
      <c r="B2597" s="42" t="s">
        <v>389</v>
      </c>
      <c r="C2597" s="42" t="s">
        <v>998</v>
      </c>
      <c r="D2597" s="42" t="s">
        <v>160</v>
      </c>
      <c r="E2597" s="42" t="s">
        <v>808</v>
      </c>
      <c r="F2597" s="45">
        <v>53988197.91838592</v>
      </c>
      <c r="G2597" s="42" t="s">
        <v>1001</v>
      </c>
      <c r="H2597" s="42" t="s">
        <v>1020</v>
      </c>
      <c r="I2597" s="42" t="s">
        <v>865</v>
      </c>
    </row>
    <row r="2598" spans="1:9">
      <c r="A2598" s="42" t="s">
        <v>897</v>
      </c>
      <c r="B2598" s="42" t="s">
        <v>337</v>
      </c>
      <c r="C2598" s="42" t="s">
        <v>991</v>
      </c>
      <c r="D2598" s="42" t="s">
        <v>160</v>
      </c>
      <c r="E2598" s="42" t="s">
        <v>808</v>
      </c>
      <c r="F2598" s="45">
        <v>-860448938.7305331</v>
      </c>
      <c r="G2598" s="42" t="s">
        <v>1001</v>
      </c>
      <c r="H2598" s="42" t="s">
        <v>1038</v>
      </c>
      <c r="I2598" s="42" t="s">
        <v>893</v>
      </c>
    </row>
    <row r="2599" spans="1:9">
      <c r="A2599" s="42" t="s">
        <v>897</v>
      </c>
      <c r="B2599" s="42" t="s">
        <v>338</v>
      </c>
      <c r="C2599" s="42" t="s">
        <v>972</v>
      </c>
      <c r="D2599" s="42" t="s">
        <v>160</v>
      </c>
      <c r="E2599" s="42" t="s">
        <v>808</v>
      </c>
      <c r="F2599" s="45">
        <v>-200607997.9716375</v>
      </c>
      <c r="G2599" s="42" t="s">
        <v>1001</v>
      </c>
      <c r="H2599" s="42" t="s">
        <v>1038</v>
      </c>
      <c r="I2599" s="42" t="s">
        <v>893</v>
      </c>
    </row>
    <row r="2600" spans="1:9">
      <c r="A2600" s="42" t="s">
        <v>897</v>
      </c>
      <c r="B2600" s="42" t="s">
        <v>939</v>
      </c>
      <c r="C2600" s="42" t="s">
        <v>973</v>
      </c>
      <c r="D2600" s="42" t="s">
        <v>160</v>
      </c>
      <c r="E2600" s="42" t="s">
        <v>808</v>
      </c>
      <c r="F2600" s="45">
        <v>834884156.9453112</v>
      </c>
      <c r="G2600" s="42" t="s">
        <v>1001</v>
      </c>
      <c r="H2600" s="42" t="s">
        <v>1038</v>
      </c>
      <c r="I2600" s="42" t="s">
        <v>893</v>
      </c>
    </row>
    <row r="2601" spans="1:9">
      <c r="A2601" s="42" t="s">
        <v>897</v>
      </c>
      <c r="B2601" s="42" t="s">
        <v>342</v>
      </c>
      <c r="C2601" s="42" t="s">
        <v>1014</v>
      </c>
      <c r="D2601" s="42" t="s">
        <v>160</v>
      </c>
      <c r="E2601" s="42" t="s">
        <v>808</v>
      </c>
      <c r="F2601" s="45">
        <v>-61068131.69204531</v>
      </c>
      <c r="G2601" s="42" t="s">
        <v>1001</v>
      </c>
      <c r="H2601" s="42" t="s">
        <v>1038</v>
      </c>
      <c r="I2601" s="42" t="s">
        <v>893</v>
      </c>
    </row>
    <row r="2602" spans="1:9">
      <c r="A2602" s="42" t="s">
        <v>897</v>
      </c>
      <c r="B2602" s="42" t="s">
        <v>343</v>
      </c>
      <c r="C2602" s="42" t="s">
        <v>1016</v>
      </c>
      <c r="D2602" s="42" t="s">
        <v>160</v>
      </c>
      <c r="E2602" s="42" t="s">
        <v>808</v>
      </c>
      <c r="F2602" s="45">
        <v>-2606837.54009216</v>
      </c>
      <c r="G2602" s="42" t="s">
        <v>1001</v>
      </c>
      <c r="H2602" s="42" t="s">
        <v>1038</v>
      </c>
      <c r="I2602" s="42" t="s">
        <v>893</v>
      </c>
    </row>
    <row r="2603" spans="1:9">
      <c r="A2603" s="42" t="s">
        <v>897</v>
      </c>
      <c r="B2603" s="42" t="s">
        <v>344</v>
      </c>
      <c r="C2603" s="42" t="s">
        <v>980</v>
      </c>
      <c r="D2603" s="42" t="s">
        <v>160</v>
      </c>
      <c r="E2603" s="42" t="s">
        <v>808</v>
      </c>
      <c r="F2603" s="45">
        <v>-289847748.988997</v>
      </c>
      <c r="G2603" s="42" t="s">
        <v>1001</v>
      </c>
      <c r="H2603" s="42" t="s">
        <v>1038</v>
      </c>
      <c r="I2603" s="42" t="s">
        <v>893</v>
      </c>
    </row>
    <row r="2604" spans="1:9">
      <c r="A2604" s="42" t="s">
        <v>897</v>
      </c>
      <c r="B2604" s="42" t="s">
        <v>395</v>
      </c>
      <c r="C2604" s="42" t="s">
        <v>999</v>
      </c>
      <c r="D2604" s="42" t="s">
        <v>160</v>
      </c>
      <c r="E2604" s="42" t="s">
        <v>808</v>
      </c>
      <c r="F2604" s="45">
        <v>213420012.0181132</v>
      </c>
      <c r="G2604" s="42" t="s">
        <v>1001</v>
      </c>
      <c r="H2604" s="42" t="s">
        <v>1020</v>
      </c>
      <c r="I2604" s="42" t="s">
        <v>860</v>
      </c>
    </row>
    <row r="2605" spans="1:9">
      <c r="A2605" s="42" t="s">
        <v>897</v>
      </c>
      <c r="B2605" s="42" t="s">
        <v>346</v>
      </c>
      <c r="C2605" s="42" t="s">
        <v>956</v>
      </c>
      <c r="D2605" s="42" t="s">
        <v>160</v>
      </c>
      <c r="E2605" s="42" t="s">
        <v>808</v>
      </c>
      <c r="F2605" s="45">
        <v>213420012.0181132</v>
      </c>
      <c r="G2605" s="42" t="s">
        <v>1001</v>
      </c>
      <c r="H2605" s="42" t="s">
        <v>1020</v>
      </c>
      <c r="I2605" s="42" t="s">
        <v>893</v>
      </c>
    </row>
    <row r="2606" spans="1:9">
      <c r="A2606" s="42" t="s">
        <v>897</v>
      </c>
      <c r="B2606" s="42" t="s">
        <v>347</v>
      </c>
      <c r="C2606" s="42" t="s">
        <v>981</v>
      </c>
      <c r="D2606" s="42" t="s">
        <v>160</v>
      </c>
      <c r="E2606" s="42" t="s">
        <v>808</v>
      </c>
      <c r="F2606" s="45">
        <v>1074953823.084543</v>
      </c>
      <c r="G2606" s="42" t="s">
        <v>1039</v>
      </c>
      <c r="H2606" s="42" t="s">
        <v>100</v>
      </c>
      <c r="I2606" s="42" t="s">
        <v>893</v>
      </c>
    </row>
    <row r="2607" spans="1:9">
      <c r="A2607" s="42" t="s">
        <v>897</v>
      </c>
      <c r="B2607" s="42" t="s">
        <v>348</v>
      </c>
      <c r="C2607" s="42" t="s">
        <v>982</v>
      </c>
      <c r="D2607" s="42" t="s">
        <v>160</v>
      </c>
      <c r="E2607" s="42" t="s">
        <v>808</v>
      </c>
      <c r="F2607" s="45">
        <v>1186783446.507049</v>
      </c>
      <c r="G2607" s="42" t="s">
        <v>985</v>
      </c>
      <c r="H2607" s="42" t="s">
        <v>102</v>
      </c>
      <c r="I2607" s="42" t="s">
        <v>893</v>
      </c>
    </row>
    <row r="2608" spans="1:9">
      <c r="A2608" s="42" t="s">
        <v>897</v>
      </c>
      <c r="B2608" s="42" t="s">
        <v>346</v>
      </c>
      <c r="C2608" s="42" t="s">
        <v>961</v>
      </c>
      <c r="D2608" s="42" t="s">
        <v>160</v>
      </c>
      <c r="E2608" s="42" t="s">
        <v>808</v>
      </c>
      <c r="F2608" s="45">
        <v>213420012.0181132</v>
      </c>
      <c r="G2608" s="42" t="s">
        <v>1001</v>
      </c>
      <c r="H2608" s="42" t="s">
        <v>1020</v>
      </c>
      <c r="I2608" s="42" t="s">
        <v>893</v>
      </c>
    </row>
    <row r="2609" spans="1:9">
      <c r="A2609" s="42" t="s">
        <v>897</v>
      </c>
      <c r="B2609" s="42" t="s">
        <v>350</v>
      </c>
      <c r="C2609" s="42" t="s">
        <v>1003</v>
      </c>
      <c r="D2609" s="42" t="s">
        <v>161</v>
      </c>
      <c r="E2609" s="42" t="s">
        <v>808</v>
      </c>
      <c r="F2609" s="45">
        <v>-482461531.1101671</v>
      </c>
      <c r="G2609" s="42" t="s">
        <v>1022</v>
      </c>
      <c r="H2609" s="42" t="s">
        <v>1040</v>
      </c>
      <c r="I2609" s="42" t="s">
        <v>854</v>
      </c>
    </row>
    <row r="2610" spans="1:9">
      <c r="A2610" s="42" t="s">
        <v>897</v>
      </c>
      <c r="B2610" s="42" t="s">
        <v>351</v>
      </c>
      <c r="C2610" s="42" t="s">
        <v>899</v>
      </c>
      <c r="D2610" s="42" t="s">
        <v>161</v>
      </c>
      <c r="E2610" s="42" t="s">
        <v>808</v>
      </c>
      <c r="F2610" s="45">
        <v>-61857543.75436027</v>
      </c>
      <c r="G2610" s="42" t="s">
        <v>1022</v>
      </c>
      <c r="H2610" s="42" t="s">
        <v>1023</v>
      </c>
      <c r="I2610" s="42" t="s">
        <v>860</v>
      </c>
    </row>
    <row r="2611" spans="1:9">
      <c r="A2611" s="42" t="s">
        <v>897</v>
      </c>
      <c r="B2611" s="42" t="s">
        <v>201</v>
      </c>
      <c r="C2611" s="42" t="s">
        <v>966</v>
      </c>
      <c r="D2611" s="42" t="s">
        <v>161</v>
      </c>
      <c r="E2611" s="42" t="s">
        <v>808</v>
      </c>
      <c r="F2611" s="45">
        <v>-61857543.75436027</v>
      </c>
      <c r="G2611" s="42" t="s">
        <v>1022</v>
      </c>
      <c r="H2611" s="42" t="s">
        <v>1040</v>
      </c>
      <c r="I2611" s="42" t="s">
        <v>893</v>
      </c>
    </row>
    <row r="2612" spans="1:9">
      <c r="A2612" s="42" t="s">
        <v>897</v>
      </c>
      <c r="B2612" s="42" t="s">
        <v>314</v>
      </c>
      <c r="C2612" s="42" t="s">
        <v>900</v>
      </c>
      <c r="D2612" s="42" t="s">
        <v>161</v>
      </c>
      <c r="E2612" s="42" t="s">
        <v>808</v>
      </c>
      <c r="F2612" s="45">
        <v>646909742.9056993</v>
      </c>
      <c r="G2612" s="42" t="s">
        <v>1022</v>
      </c>
      <c r="H2612" s="42" t="s">
        <v>1040</v>
      </c>
      <c r="I2612" s="42" t="s">
        <v>893</v>
      </c>
    </row>
    <row r="2613" spans="1:9">
      <c r="A2613" s="42" t="s">
        <v>897</v>
      </c>
      <c r="B2613" s="42" t="s">
        <v>315</v>
      </c>
      <c r="C2613" s="42" t="s">
        <v>901</v>
      </c>
      <c r="D2613" s="42" t="s">
        <v>161</v>
      </c>
      <c r="E2613" s="42" t="s">
        <v>808</v>
      </c>
      <c r="F2613" s="45">
        <v>13655086.92149233</v>
      </c>
      <c r="G2613" s="42" t="s">
        <v>1022</v>
      </c>
      <c r="H2613" s="42" t="s">
        <v>1040</v>
      </c>
      <c r="I2613" s="42" t="s">
        <v>893</v>
      </c>
    </row>
    <row r="2614" spans="1:9">
      <c r="A2614" s="42" t="s">
        <v>897</v>
      </c>
      <c r="B2614" s="42" t="s">
        <v>316</v>
      </c>
      <c r="C2614" s="42" t="s">
        <v>1004</v>
      </c>
      <c r="D2614" s="42" t="s">
        <v>161</v>
      </c>
      <c r="E2614" s="42" t="s">
        <v>808</v>
      </c>
      <c r="F2614" s="45">
        <v>64219873.79177844</v>
      </c>
      <c r="G2614" s="42" t="s">
        <v>1022</v>
      </c>
      <c r="H2614" s="42" t="s">
        <v>1040</v>
      </c>
      <c r="I2614" s="42" t="s">
        <v>893</v>
      </c>
    </row>
    <row r="2615" spans="1:9">
      <c r="A2615" s="42" t="s">
        <v>897</v>
      </c>
      <c r="B2615" s="42" t="s">
        <v>317</v>
      </c>
      <c r="C2615" s="42" t="s">
        <v>967</v>
      </c>
      <c r="D2615" s="42" t="s">
        <v>161</v>
      </c>
      <c r="E2615" s="42" t="s">
        <v>808</v>
      </c>
      <c r="F2615" s="45">
        <v>137397484.6040559</v>
      </c>
      <c r="G2615" s="42" t="s">
        <v>1022</v>
      </c>
      <c r="H2615" s="42" t="s">
        <v>1040</v>
      </c>
      <c r="I2615" s="42" t="s">
        <v>893</v>
      </c>
    </row>
    <row r="2616" spans="1:9">
      <c r="A2616" s="42" t="s">
        <v>897</v>
      </c>
      <c r="B2616" s="42" t="s">
        <v>318</v>
      </c>
      <c r="C2616" s="42" t="s">
        <v>904</v>
      </c>
      <c r="D2616" s="42" t="s">
        <v>161</v>
      </c>
      <c r="E2616" s="42" t="s">
        <v>808</v>
      </c>
      <c r="F2616" s="45">
        <v>121844340.6004761</v>
      </c>
      <c r="G2616" s="42" t="s">
        <v>1022</v>
      </c>
      <c r="H2616" s="42" t="s">
        <v>1040</v>
      </c>
      <c r="I2616" s="42" t="s">
        <v>893</v>
      </c>
    </row>
    <row r="2617" spans="1:9">
      <c r="A2617" s="42" t="s">
        <v>897</v>
      </c>
      <c r="B2617" s="42" t="s">
        <v>319</v>
      </c>
      <c r="C2617" s="42" t="s">
        <v>907</v>
      </c>
      <c r="D2617" s="42" t="s">
        <v>161</v>
      </c>
      <c r="E2617" s="42" t="s">
        <v>808</v>
      </c>
      <c r="F2617" s="45">
        <v>102809149.4319158</v>
      </c>
      <c r="G2617" s="42" t="s">
        <v>1022</v>
      </c>
      <c r="H2617" s="42" t="s">
        <v>1040</v>
      </c>
      <c r="I2617" s="42" t="s">
        <v>893</v>
      </c>
    </row>
    <row r="2618" spans="1:9">
      <c r="A2618" s="42" t="s">
        <v>897</v>
      </c>
      <c r="B2618" s="42" t="s">
        <v>357</v>
      </c>
      <c r="C2618" s="42" t="s">
        <v>908</v>
      </c>
      <c r="D2618" s="42" t="s">
        <v>161</v>
      </c>
      <c r="E2618" s="42" t="s">
        <v>808</v>
      </c>
      <c r="F2618" s="45">
        <v>91352531.5047837</v>
      </c>
      <c r="G2618" s="42" t="s">
        <v>1022</v>
      </c>
      <c r="H2618" s="42" t="s">
        <v>1040</v>
      </c>
      <c r="I2618" s="42" t="s">
        <v>864</v>
      </c>
    </row>
    <row r="2619" spans="1:9">
      <c r="A2619" s="42" t="s">
        <v>897</v>
      </c>
      <c r="B2619" s="42" t="s">
        <v>358</v>
      </c>
      <c r="C2619" s="42" t="s">
        <v>996</v>
      </c>
      <c r="D2619" s="42" t="s">
        <v>161</v>
      </c>
      <c r="E2619" s="42" t="s">
        <v>808</v>
      </c>
      <c r="F2619" s="45">
        <v>928545.9106614786</v>
      </c>
      <c r="G2619" s="42" t="s">
        <v>1022</v>
      </c>
      <c r="H2619" s="42" t="s">
        <v>1023</v>
      </c>
      <c r="I2619" s="42" t="s">
        <v>860</v>
      </c>
    </row>
    <row r="2620" spans="1:9">
      <c r="A2620" s="42" t="s">
        <v>897</v>
      </c>
      <c r="B2620" s="42" t="s">
        <v>251</v>
      </c>
      <c r="C2620" s="42" t="s">
        <v>909</v>
      </c>
      <c r="D2620" s="42" t="s">
        <v>161</v>
      </c>
      <c r="E2620" s="42" t="s">
        <v>808</v>
      </c>
      <c r="F2620" s="45">
        <v>928545.9106614786</v>
      </c>
      <c r="G2620" s="42" t="s">
        <v>1022</v>
      </c>
      <c r="H2620" s="42" t="s">
        <v>1040</v>
      </c>
      <c r="I2620" s="42" t="s">
        <v>893</v>
      </c>
    </row>
    <row r="2621" spans="1:9">
      <c r="A2621" s="42" t="s">
        <v>897</v>
      </c>
      <c r="B2621" s="42" t="s">
        <v>359</v>
      </c>
      <c r="C2621" s="42" t="s">
        <v>969</v>
      </c>
      <c r="D2621" s="42" t="s">
        <v>161</v>
      </c>
      <c r="E2621" s="42" t="s">
        <v>808</v>
      </c>
      <c r="F2621" s="45">
        <v>0</v>
      </c>
      <c r="G2621" s="42" t="s">
        <v>1022</v>
      </c>
      <c r="H2621" s="42" t="s">
        <v>1040</v>
      </c>
      <c r="I2621" s="42" t="s">
        <v>853</v>
      </c>
    </row>
    <row r="2622" spans="1:9">
      <c r="A2622" s="42" t="s">
        <v>897</v>
      </c>
      <c r="B2622" s="42" t="s">
        <v>360</v>
      </c>
      <c r="C2622" s="42" t="s">
        <v>1036</v>
      </c>
      <c r="D2622" s="42" t="s">
        <v>161</v>
      </c>
      <c r="E2622" s="42" t="s">
        <v>808</v>
      </c>
      <c r="F2622" s="45">
        <v>0</v>
      </c>
      <c r="G2622" s="42" t="s">
        <v>1022</v>
      </c>
      <c r="H2622" s="42" t="s">
        <v>1023</v>
      </c>
      <c r="I2622" s="42" t="s">
        <v>860</v>
      </c>
    </row>
    <row r="2623" spans="1:9">
      <c r="A2623" s="42" t="s">
        <v>897</v>
      </c>
      <c r="B2623" s="42" t="s">
        <v>363</v>
      </c>
      <c r="C2623" s="42" t="s">
        <v>1006</v>
      </c>
      <c r="D2623" s="42" t="s">
        <v>161</v>
      </c>
      <c r="E2623" s="42" t="s">
        <v>808</v>
      </c>
      <c r="F2623" s="45">
        <v>0</v>
      </c>
      <c r="G2623" s="42" t="s">
        <v>1022</v>
      </c>
      <c r="H2623" s="42" t="s">
        <v>1040</v>
      </c>
      <c r="I2623" s="42" t="s">
        <v>864</v>
      </c>
    </row>
    <row r="2624" spans="1:9">
      <c r="A2624" s="42" t="s">
        <v>897</v>
      </c>
      <c r="B2624" s="42" t="s">
        <v>293</v>
      </c>
      <c r="C2624" s="42" t="s">
        <v>912</v>
      </c>
      <c r="D2624" s="42" t="s">
        <v>161</v>
      </c>
      <c r="E2624" s="42" t="s">
        <v>808</v>
      </c>
      <c r="F2624" s="45">
        <v>-118922151.9992767</v>
      </c>
      <c r="G2624" s="42" t="s">
        <v>1022</v>
      </c>
      <c r="H2624" s="42" t="s">
        <v>1040</v>
      </c>
      <c r="I2624" s="42" t="s">
        <v>893</v>
      </c>
    </row>
    <row r="2625" spans="1:9">
      <c r="A2625" s="42" t="s">
        <v>897</v>
      </c>
      <c r="B2625" s="42" t="s">
        <v>369</v>
      </c>
      <c r="C2625" s="42" t="s">
        <v>970</v>
      </c>
      <c r="D2625" s="42" t="s">
        <v>161</v>
      </c>
      <c r="E2625" s="42" t="s">
        <v>808</v>
      </c>
      <c r="F2625" s="45">
        <v>-3823424.338017853</v>
      </c>
      <c r="G2625" s="42" t="s">
        <v>1022</v>
      </c>
      <c r="H2625" s="42" t="s">
        <v>1040</v>
      </c>
      <c r="I2625" s="42" t="s">
        <v>886</v>
      </c>
    </row>
    <row r="2626" spans="1:9">
      <c r="A2626" s="42" t="s">
        <v>897</v>
      </c>
      <c r="B2626" s="42" t="s">
        <v>292</v>
      </c>
      <c r="C2626" s="42" t="s">
        <v>913</v>
      </c>
      <c r="D2626" s="42" t="s">
        <v>161</v>
      </c>
      <c r="E2626" s="42" t="s">
        <v>808</v>
      </c>
      <c r="F2626" s="45">
        <v>25671563.41240559</v>
      </c>
      <c r="G2626" s="42" t="s">
        <v>1022</v>
      </c>
      <c r="H2626" s="42" t="s">
        <v>1040</v>
      </c>
      <c r="I2626" s="42" t="s">
        <v>893</v>
      </c>
    </row>
    <row r="2627" spans="1:9">
      <c r="A2627" s="42" t="s">
        <v>897</v>
      </c>
      <c r="B2627" s="42" t="s">
        <v>241</v>
      </c>
      <c r="C2627" s="42" t="s">
        <v>914</v>
      </c>
      <c r="D2627" s="42" t="s">
        <v>161</v>
      </c>
      <c r="E2627" s="42" t="s">
        <v>808</v>
      </c>
      <c r="F2627" s="45">
        <v>60901687.6698558</v>
      </c>
      <c r="G2627" s="42" t="s">
        <v>1022</v>
      </c>
      <c r="H2627" s="42" t="s">
        <v>1040</v>
      </c>
      <c r="I2627" s="42" t="s">
        <v>893</v>
      </c>
    </row>
    <row r="2628" spans="1:9">
      <c r="A2628" s="42" t="s">
        <v>897</v>
      </c>
      <c r="B2628" s="42" t="s">
        <v>310</v>
      </c>
      <c r="C2628" s="42" t="s">
        <v>915</v>
      </c>
      <c r="D2628" s="42" t="s">
        <v>161</v>
      </c>
      <c r="E2628" s="42" t="s">
        <v>808</v>
      </c>
      <c r="F2628" s="45">
        <v>-136154871.6942</v>
      </c>
      <c r="G2628" s="42" t="s">
        <v>1022</v>
      </c>
      <c r="H2628" s="42" t="s">
        <v>1040</v>
      </c>
      <c r="I2628" s="42" t="s">
        <v>893</v>
      </c>
    </row>
    <row r="2629" spans="1:9">
      <c r="A2629" s="42" t="s">
        <v>897</v>
      </c>
      <c r="B2629" s="42" t="s">
        <v>305</v>
      </c>
      <c r="C2629" s="42" t="s">
        <v>916</v>
      </c>
      <c r="D2629" s="42" t="s">
        <v>161</v>
      </c>
      <c r="E2629" s="42" t="s">
        <v>808</v>
      </c>
      <c r="F2629" s="45">
        <v>22735719.72428473</v>
      </c>
      <c r="G2629" s="42" t="s">
        <v>1022</v>
      </c>
      <c r="H2629" s="42" t="s">
        <v>1040</v>
      </c>
      <c r="I2629" s="42" t="s">
        <v>893</v>
      </c>
    </row>
    <row r="2630" spans="1:9">
      <c r="A2630" s="42" t="s">
        <v>897</v>
      </c>
      <c r="B2630" s="42" t="s">
        <v>306</v>
      </c>
      <c r="C2630" s="42" t="s">
        <v>917</v>
      </c>
      <c r="D2630" s="42" t="s">
        <v>161</v>
      </c>
      <c r="E2630" s="42" t="s">
        <v>808</v>
      </c>
      <c r="F2630" s="45">
        <v>83473546.35108264</v>
      </c>
      <c r="G2630" s="42" t="s">
        <v>1022</v>
      </c>
      <c r="H2630" s="42" t="s">
        <v>1040</v>
      </c>
      <c r="I2630" s="42" t="s">
        <v>893</v>
      </c>
    </row>
    <row r="2631" spans="1:9">
      <c r="A2631" s="42" t="s">
        <v>897</v>
      </c>
      <c r="B2631" s="42" t="s">
        <v>309</v>
      </c>
      <c r="C2631" s="42" t="s">
        <v>918</v>
      </c>
      <c r="D2631" s="42" t="s">
        <v>161</v>
      </c>
      <c r="E2631" s="42" t="s">
        <v>808</v>
      </c>
      <c r="F2631" s="45">
        <v>832960.3022110322</v>
      </c>
      <c r="G2631" s="42" t="s">
        <v>1022</v>
      </c>
      <c r="H2631" s="42" t="s">
        <v>1040</v>
      </c>
      <c r="I2631" s="42" t="s">
        <v>893</v>
      </c>
    </row>
    <row r="2632" spans="1:9">
      <c r="A2632" s="42" t="s">
        <v>897</v>
      </c>
      <c r="B2632" s="42" t="s">
        <v>242</v>
      </c>
      <c r="C2632" s="42" t="s">
        <v>920</v>
      </c>
      <c r="D2632" s="42" t="s">
        <v>161</v>
      </c>
      <c r="E2632" s="42" t="s">
        <v>808</v>
      </c>
      <c r="F2632" s="45">
        <v>95585.60845044632</v>
      </c>
      <c r="G2632" s="42" t="s">
        <v>1022</v>
      </c>
      <c r="H2632" s="42" t="s">
        <v>1040</v>
      </c>
      <c r="I2632" s="42" t="s">
        <v>893</v>
      </c>
    </row>
    <row r="2633" spans="1:9">
      <c r="A2633" s="42" t="s">
        <v>897</v>
      </c>
      <c r="B2633" s="42" t="s">
        <v>302</v>
      </c>
      <c r="C2633" s="42" t="s">
        <v>921</v>
      </c>
      <c r="D2633" s="42" t="s">
        <v>161</v>
      </c>
      <c r="E2633" s="42" t="s">
        <v>808</v>
      </c>
      <c r="F2633" s="45">
        <v>42890628.02040741</v>
      </c>
      <c r="G2633" s="42" t="s">
        <v>1022</v>
      </c>
      <c r="H2633" s="42" t="s">
        <v>1040</v>
      </c>
      <c r="I2633" s="42" t="s">
        <v>893</v>
      </c>
    </row>
    <row r="2634" spans="1:9">
      <c r="A2634" s="42" t="s">
        <v>897</v>
      </c>
      <c r="B2634" s="42" t="s">
        <v>326</v>
      </c>
      <c r="C2634" s="42" t="s">
        <v>922</v>
      </c>
      <c r="D2634" s="42" t="s">
        <v>161</v>
      </c>
      <c r="E2634" s="42" t="s">
        <v>808</v>
      </c>
      <c r="F2634" s="45">
        <v>5434724.594753948</v>
      </c>
      <c r="G2634" s="42" t="s">
        <v>1022</v>
      </c>
      <c r="H2634" s="42" t="s">
        <v>1040</v>
      </c>
      <c r="I2634" s="42" t="s">
        <v>893</v>
      </c>
    </row>
    <row r="2635" spans="1:9">
      <c r="A2635" s="42" t="s">
        <v>897</v>
      </c>
      <c r="B2635" s="42" t="s">
        <v>370</v>
      </c>
      <c r="C2635" s="42" t="s">
        <v>1017</v>
      </c>
      <c r="D2635" s="42" t="s">
        <v>161</v>
      </c>
      <c r="E2635" s="42" t="s">
        <v>808</v>
      </c>
      <c r="F2635" s="45">
        <v>27719826.45062944</v>
      </c>
      <c r="G2635" s="42" t="s">
        <v>1022</v>
      </c>
      <c r="H2635" s="42" t="s">
        <v>1023</v>
      </c>
      <c r="I2635" s="42" t="s">
        <v>860</v>
      </c>
    </row>
    <row r="2636" spans="1:9">
      <c r="A2636" s="42" t="s">
        <v>897</v>
      </c>
      <c r="B2636" s="42" t="s">
        <v>328</v>
      </c>
      <c r="C2636" s="42" t="s">
        <v>924</v>
      </c>
      <c r="D2636" s="42" t="s">
        <v>161</v>
      </c>
      <c r="E2636" s="42" t="s">
        <v>808</v>
      </c>
      <c r="F2636" s="45">
        <v>-9667801.54041657</v>
      </c>
      <c r="G2636" s="42" t="s">
        <v>1022</v>
      </c>
      <c r="H2636" s="42" t="s">
        <v>1040</v>
      </c>
      <c r="I2636" s="42" t="s">
        <v>893</v>
      </c>
    </row>
    <row r="2637" spans="1:9">
      <c r="A2637" s="42" t="s">
        <v>897</v>
      </c>
      <c r="B2637" s="42" t="s">
        <v>329</v>
      </c>
      <c r="C2637" s="42" t="s">
        <v>925</v>
      </c>
      <c r="D2637" s="42" t="s">
        <v>161</v>
      </c>
      <c r="E2637" s="42" t="s">
        <v>808</v>
      </c>
      <c r="F2637" s="45">
        <v>665644522.1619867</v>
      </c>
      <c r="G2637" s="42" t="s">
        <v>1022</v>
      </c>
      <c r="H2637" s="42" t="s">
        <v>1040</v>
      </c>
      <c r="I2637" s="42" t="s">
        <v>893</v>
      </c>
    </row>
    <row r="2638" spans="1:9">
      <c r="A2638" s="42" t="s">
        <v>897</v>
      </c>
      <c r="B2638" s="42" t="s">
        <v>372</v>
      </c>
      <c r="C2638" s="42" t="s">
        <v>926</v>
      </c>
      <c r="D2638" s="42" t="s">
        <v>161</v>
      </c>
      <c r="E2638" s="42" t="s">
        <v>808</v>
      </c>
      <c r="F2638" s="45">
        <v>37046250.81800869</v>
      </c>
      <c r="G2638" s="42" t="s">
        <v>1022</v>
      </c>
      <c r="H2638" s="42" t="s">
        <v>1040</v>
      </c>
      <c r="I2638" s="42" t="s">
        <v>896</v>
      </c>
    </row>
    <row r="2639" spans="1:9">
      <c r="A2639" s="42" t="s">
        <v>897</v>
      </c>
      <c r="B2639" s="42" t="s">
        <v>373</v>
      </c>
      <c r="C2639" s="42" t="s">
        <v>1032</v>
      </c>
      <c r="D2639" s="42" t="s">
        <v>161</v>
      </c>
      <c r="E2639" s="42" t="s">
        <v>808</v>
      </c>
      <c r="F2639" s="45">
        <v>-125517558.9823575</v>
      </c>
      <c r="G2639" s="42" t="s">
        <v>1022</v>
      </c>
      <c r="H2639" s="42" t="s">
        <v>1040</v>
      </c>
      <c r="I2639" s="42" t="s">
        <v>896</v>
      </c>
    </row>
    <row r="2640" spans="1:9">
      <c r="A2640" s="42" t="s">
        <v>897</v>
      </c>
      <c r="B2640" s="42" t="s">
        <v>330</v>
      </c>
      <c r="C2640" s="42" t="s">
        <v>927</v>
      </c>
      <c r="D2640" s="42" t="s">
        <v>161</v>
      </c>
      <c r="E2640" s="42" t="s">
        <v>808</v>
      </c>
      <c r="F2640" s="45">
        <v>-191089286.3793637</v>
      </c>
      <c r="G2640" s="42" t="s">
        <v>1022</v>
      </c>
      <c r="H2640" s="42" t="s">
        <v>1040</v>
      </c>
      <c r="I2640" s="42" t="s">
        <v>893</v>
      </c>
    </row>
    <row r="2641" spans="1:9">
      <c r="A2641" s="42" t="s">
        <v>897</v>
      </c>
      <c r="B2641" s="42" t="s">
        <v>378</v>
      </c>
      <c r="C2641" s="42" t="s">
        <v>1041</v>
      </c>
      <c r="D2641" s="42" t="s">
        <v>161</v>
      </c>
      <c r="E2641" s="42" t="s">
        <v>808</v>
      </c>
      <c r="F2641" s="45">
        <v>-125517558.9823575</v>
      </c>
      <c r="G2641" s="42" t="s">
        <v>1022</v>
      </c>
      <c r="H2641" s="42" t="s">
        <v>1023</v>
      </c>
      <c r="I2641" s="42" t="s">
        <v>860</v>
      </c>
    </row>
    <row r="2642" spans="1:9">
      <c r="A2642" s="42" t="s">
        <v>897</v>
      </c>
      <c r="B2642" s="42" t="s">
        <v>381</v>
      </c>
      <c r="C2642" s="42" t="s">
        <v>1037</v>
      </c>
      <c r="D2642" s="42" t="s">
        <v>161</v>
      </c>
      <c r="E2642" s="42" t="s">
        <v>808</v>
      </c>
      <c r="F2642" s="45">
        <v>0</v>
      </c>
      <c r="G2642" s="42" t="s">
        <v>1022</v>
      </c>
      <c r="H2642" s="42" t="s">
        <v>1023</v>
      </c>
      <c r="I2642" s="42" t="s">
        <v>860</v>
      </c>
    </row>
    <row r="2643" spans="1:9">
      <c r="A2643" s="42" t="s">
        <v>897</v>
      </c>
      <c r="B2643" s="42" t="s">
        <v>336</v>
      </c>
      <c r="C2643" s="42" t="s">
        <v>938</v>
      </c>
      <c r="D2643" s="42" t="s">
        <v>161</v>
      </c>
      <c r="E2643" s="42" t="s">
        <v>808</v>
      </c>
      <c r="F2643" s="45">
        <v>-279355768.2398902</v>
      </c>
      <c r="G2643" s="42" t="s">
        <v>1022</v>
      </c>
      <c r="H2643" s="42" t="s">
        <v>1040</v>
      </c>
      <c r="I2643" s="42" t="s">
        <v>893</v>
      </c>
    </row>
    <row r="2644" spans="1:9">
      <c r="A2644" s="42" t="s">
        <v>897</v>
      </c>
      <c r="B2644" s="42" t="s">
        <v>936</v>
      </c>
      <c r="C2644" s="42" t="s">
        <v>997</v>
      </c>
      <c r="D2644" s="42" t="s">
        <v>161</v>
      </c>
      <c r="E2644" s="42" t="s">
        <v>808</v>
      </c>
      <c r="F2644" s="45">
        <v>-250625465.3570703</v>
      </c>
      <c r="G2644" s="42" t="s">
        <v>1022</v>
      </c>
      <c r="H2644" s="42" t="s">
        <v>1023</v>
      </c>
      <c r="I2644" s="42" t="s">
        <v>861</v>
      </c>
    </row>
    <row r="2645" spans="1:9">
      <c r="A2645" s="42" t="s">
        <v>897</v>
      </c>
      <c r="B2645" s="42" t="s">
        <v>388</v>
      </c>
      <c r="C2645" s="42" t="s">
        <v>1024</v>
      </c>
      <c r="D2645" s="42" t="s">
        <v>161</v>
      </c>
      <c r="E2645" s="42" t="s">
        <v>808</v>
      </c>
      <c r="F2645" s="45">
        <v>-2294054.602810712</v>
      </c>
      <c r="G2645" s="42" t="s">
        <v>1022</v>
      </c>
      <c r="H2645" s="42" t="s">
        <v>1023</v>
      </c>
      <c r="I2645" s="42" t="s">
        <v>860</v>
      </c>
    </row>
    <row r="2646" spans="1:9">
      <c r="A2646" s="42" t="s">
        <v>897</v>
      </c>
      <c r="B2646" s="42" t="s">
        <v>389</v>
      </c>
      <c r="C2646" s="42" t="s">
        <v>998</v>
      </c>
      <c r="D2646" s="42" t="s">
        <v>161</v>
      </c>
      <c r="E2646" s="42" t="s">
        <v>808</v>
      </c>
      <c r="F2646" s="45">
        <v>17191754.43415885</v>
      </c>
      <c r="G2646" s="42" t="s">
        <v>1022</v>
      </c>
      <c r="H2646" s="42" t="s">
        <v>1023</v>
      </c>
      <c r="I2646" s="42" t="s">
        <v>865</v>
      </c>
    </row>
    <row r="2647" spans="1:9">
      <c r="A2647" s="42" t="s">
        <v>897</v>
      </c>
      <c r="B2647" s="42" t="s">
        <v>337</v>
      </c>
      <c r="C2647" s="42" t="s">
        <v>991</v>
      </c>
      <c r="D2647" s="42" t="s">
        <v>161</v>
      </c>
      <c r="E2647" s="42" t="s">
        <v>808</v>
      </c>
      <c r="F2647" s="45">
        <v>-691097604.1836483</v>
      </c>
      <c r="G2647" s="42" t="s">
        <v>1022</v>
      </c>
      <c r="H2647" s="42" t="s">
        <v>1040</v>
      </c>
      <c r="I2647" s="42" t="s">
        <v>893</v>
      </c>
    </row>
    <row r="2648" spans="1:9">
      <c r="A2648" s="42" t="s">
        <v>897</v>
      </c>
      <c r="B2648" s="42" t="s">
        <v>338</v>
      </c>
      <c r="C2648" s="42" t="s">
        <v>972</v>
      </c>
      <c r="D2648" s="42" t="s">
        <v>161</v>
      </c>
      <c r="E2648" s="42" t="s">
        <v>808</v>
      </c>
      <c r="F2648" s="45">
        <v>-250625465.3570703</v>
      </c>
      <c r="G2648" s="42" t="s">
        <v>1022</v>
      </c>
      <c r="H2648" s="42" t="s">
        <v>1040</v>
      </c>
      <c r="I2648" s="42" t="s">
        <v>893</v>
      </c>
    </row>
    <row r="2649" spans="1:9">
      <c r="A2649" s="42" t="s">
        <v>897</v>
      </c>
      <c r="B2649" s="42" t="s">
        <v>939</v>
      </c>
      <c r="C2649" s="42" t="s">
        <v>973</v>
      </c>
      <c r="D2649" s="42" t="s">
        <v>161</v>
      </c>
      <c r="E2649" s="42" t="s">
        <v>808</v>
      </c>
      <c r="F2649" s="45">
        <v>288067713.6958022</v>
      </c>
      <c r="G2649" s="42" t="s">
        <v>1022</v>
      </c>
      <c r="H2649" s="42" t="s">
        <v>1040</v>
      </c>
      <c r="I2649" s="42" t="s">
        <v>893</v>
      </c>
    </row>
    <row r="2650" spans="1:9">
      <c r="A2650" s="42" t="s">
        <v>897</v>
      </c>
      <c r="B2650" s="42" t="s">
        <v>342</v>
      </c>
      <c r="C2650" s="42" t="s">
        <v>1014</v>
      </c>
      <c r="D2650" s="42" t="s">
        <v>161</v>
      </c>
      <c r="E2650" s="42" t="s">
        <v>808</v>
      </c>
      <c r="F2650" s="45">
        <v>-73887675.33219501</v>
      </c>
      <c r="G2650" s="42" t="s">
        <v>1022</v>
      </c>
      <c r="H2650" s="42" t="s">
        <v>1040</v>
      </c>
      <c r="I2650" s="42" t="s">
        <v>893</v>
      </c>
    </row>
    <row r="2651" spans="1:9">
      <c r="A2651" s="42" t="s">
        <v>897</v>
      </c>
      <c r="B2651" s="42" t="s">
        <v>392</v>
      </c>
      <c r="C2651" s="42" t="s">
        <v>1015</v>
      </c>
      <c r="D2651" s="42" t="s">
        <v>161</v>
      </c>
      <c r="E2651" s="42" t="s">
        <v>808</v>
      </c>
      <c r="F2651" s="45">
        <v>17191754.43415885</v>
      </c>
      <c r="G2651" s="42" t="s">
        <v>1022</v>
      </c>
      <c r="H2651" s="42" t="s">
        <v>1040</v>
      </c>
      <c r="I2651" s="42" t="s">
        <v>864</v>
      </c>
    </row>
    <row r="2652" spans="1:9">
      <c r="A2652" s="42" t="s">
        <v>897</v>
      </c>
      <c r="B2652" s="42" t="s">
        <v>343</v>
      </c>
      <c r="C2652" s="42" t="s">
        <v>1016</v>
      </c>
      <c r="D2652" s="42" t="s">
        <v>161</v>
      </c>
      <c r="E2652" s="42" t="s">
        <v>808</v>
      </c>
      <c r="F2652" s="45">
        <v>-2294054.602810712</v>
      </c>
      <c r="G2652" s="42" t="s">
        <v>1022</v>
      </c>
      <c r="H2652" s="42" t="s">
        <v>1040</v>
      </c>
      <c r="I2652" s="42" t="s">
        <v>893</v>
      </c>
    </row>
    <row r="2653" spans="1:9">
      <c r="A2653" s="42" t="s">
        <v>897</v>
      </c>
      <c r="B2653" s="42" t="s">
        <v>394</v>
      </c>
      <c r="C2653" s="42" t="s">
        <v>992</v>
      </c>
      <c r="D2653" s="42" t="s">
        <v>161</v>
      </c>
      <c r="E2653" s="42" t="s">
        <v>808</v>
      </c>
      <c r="F2653" s="45">
        <v>-326356577.4236668</v>
      </c>
      <c r="G2653" s="42" t="s">
        <v>1022</v>
      </c>
      <c r="H2653" s="42" t="s">
        <v>1042</v>
      </c>
      <c r="I2653" s="42" t="s">
        <v>891</v>
      </c>
    </row>
    <row r="2654" spans="1:9">
      <c r="A2654" s="42" t="s">
        <v>897</v>
      </c>
      <c r="B2654" s="42" t="s">
        <v>344</v>
      </c>
      <c r="C2654" s="42" t="s">
        <v>980</v>
      </c>
      <c r="D2654" s="42" t="s">
        <v>161</v>
      </c>
      <c r="E2654" s="42" t="s">
        <v>808</v>
      </c>
      <c r="F2654" s="45">
        <v>-729837085.7799221</v>
      </c>
      <c r="G2654" s="42" t="s">
        <v>1022</v>
      </c>
      <c r="H2654" s="42" t="s">
        <v>1040</v>
      </c>
      <c r="I2654" s="42" t="s">
        <v>893</v>
      </c>
    </row>
    <row r="2655" spans="1:9">
      <c r="A2655" s="42" t="s">
        <v>897</v>
      </c>
      <c r="B2655" s="42" t="s">
        <v>395</v>
      </c>
      <c r="C2655" s="42" t="s">
        <v>999</v>
      </c>
      <c r="D2655" s="42" t="s">
        <v>161</v>
      </c>
      <c r="E2655" s="42" t="s">
        <v>808</v>
      </c>
      <c r="F2655" s="45">
        <v>-326356577.4236668</v>
      </c>
      <c r="G2655" s="42" t="s">
        <v>1022</v>
      </c>
      <c r="H2655" s="42" t="s">
        <v>1023</v>
      </c>
      <c r="I2655" s="42" t="s">
        <v>860</v>
      </c>
    </row>
    <row r="2656" spans="1:9">
      <c r="A2656" s="42" t="s">
        <v>897</v>
      </c>
      <c r="B2656" s="42" t="s">
        <v>394</v>
      </c>
      <c r="C2656" s="42" t="s">
        <v>993</v>
      </c>
      <c r="D2656" s="42" t="s">
        <v>161</v>
      </c>
      <c r="E2656" s="42" t="s">
        <v>808</v>
      </c>
      <c r="F2656" s="45">
        <v>-326356577.4236668</v>
      </c>
      <c r="G2656" s="42" t="s">
        <v>1022</v>
      </c>
      <c r="H2656" s="42" t="s">
        <v>1042</v>
      </c>
      <c r="I2656" s="42" t="s">
        <v>891</v>
      </c>
    </row>
    <row r="2657" spans="1:9">
      <c r="A2657" s="42" t="s">
        <v>897</v>
      </c>
      <c r="B2657" s="42" t="s">
        <v>346</v>
      </c>
      <c r="C2657" s="42" t="s">
        <v>956</v>
      </c>
      <c r="D2657" s="42" t="s">
        <v>161</v>
      </c>
      <c r="E2657" s="42" t="s">
        <v>808</v>
      </c>
      <c r="F2657" s="45">
        <v>-326356577.4236668</v>
      </c>
      <c r="G2657" s="42" t="s">
        <v>1022</v>
      </c>
      <c r="H2657" s="42" t="s">
        <v>1043</v>
      </c>
      <c r="I2657" s="42" t="s">
        <v>893</v>
      </c>
    </row>
    <row r="2658" spans="1:9">
      <c r="A2658" s="42" t="s">
        <v>897</v>
      </c>
      <c r="B2658" s="42" t="s">
        <v>347</v>
      </c>
      <c r="C2658" s="42" t="s">
        <v>981</v>
      </c>
      <c r="D2658" s="42" t="s">
        <v>161</v>
      </c>
      <c r="E2658" s="42" t="s">
        <v>808</v>
      </c>
      <c r="F2658" s="45">
        <v>1186783446.507049</v>
      </c>
      <c r="G2658" s="42" t="s">
        <v>1039</v>
      </c>
      <c r="H2658" s="42" t="s">
        <v>102</v>
      </c>
      <c r="I2658" s="42" t="s">
        <v>893</v>
      </c>
    </row>
    <row r="2659" spans="1:9">
      <c r="A2659" s="42" t="s">
        <v>897</v>
      </c>
      <c r="B2659" s="42" t="s">
        <v>348</v>
      </c>
      <c r="C2659" s="42" t="s">
        <v>982</v>
      </c>
      <c r="D2659" s="42" t="s">
        <v>161</v>
      </c>
      <c r="E2659" s="42" t="s">
        <v>808</v>
      </c>
      <c r="F2659" s="45">
        <v>782991359.4420427</v>
      </c>
      <c r="G2659" s="42" t="s">
        <v>985</v>
      </c>
      <c r="H2659" s="42" t="s">
        <v>104</v>
      </c>
      <c r="I2659" s="42" t="s">
        <v>893</v>
      </c>
    </row>
    <row r="2660" spans="1:9">
      <c r="A2660" s="42" t="s">
        <v>897</v>
      </c>
      <c r="B2660" s="42" t="s">
        <v>346</v>
      </c>
      <c r="C2660" s="42" t="s">
        <v>961</v>
      </c>
      <c r="D2660" s="42" t="s">
        <v>161</v>
      </c>
      <c r="E2660" s="42" t="s">
        <v>808</v>
      </c>
      <c r="F2660" s="45">
        <v>-326356577.4236668</v>
      </c>
      <c r="G2660" s="42" t="s">
        <v>1022</v>
      </c>
      <c r="H2660" s="42" t="s">
        <v>1043</v>
      </c>
      <c r="I2660" s="42" t="s">
        <v>893</v>
      </c>
    </row>
    <row r="2661" spans="1:9">
      <c r="A2661" s="42" t="s">
        <v>897</v>
      </c>
      <c r="B2661" s="42" t="s">
        <v>350</v>
      </c>
      <c r="C2661" s="42" t="s">
        <v>1003</v>
      </c>
      <c r="D2661" s="42" t="s">
        <v>162</v>
      </c>
      <c r="E2661" s="42" t="s">
        <v>808</v>
      </c>
      <c r="F2661" s="45">
        <v>537695266.395995</v>
      </c>
      <c r="G2661" s="42" t="s">
        <v>1025</v>
      </c>
      <c r="H2661" s="42" t="s">
        <v>1044</v>
      </c>
      <c r="I2661" s="42" t="s">
        <v>854</v>
      </c>
    </row>
    <row r="2662" spans="1:9">
      <c r="A2662" s="42" t="s">
        <v>897</v>
      </c>
      <c r="B2662" s="42" t="s">
        <v>201</v>
      </c>
      <c r="C2662" s="42" t="s">
        <v>966</v>
      </c>
      <c r="D2662" s="42" t="s">
        <v>162</v>
      </c>
      <c r="E2662" s="42" t="s">
        <v>808</v>
      </c>
      <c r="F2662" s="45">
        <v>-62755283.11419826</v>
      </c>
      <c r="G2662" s="42" t="s">
        <v>1025</v>
      </c>
      <c r="H2662" s="42" t="s">
        <v>1044</v>
      </c>
      <c r="I2662" s="42" t="s">
        <v>893</v>
      </c>
    </row>
    <row r="2663" spans="1:9">
      <c r="A2663" s="42" t="s">
        <v>897</v>
      </c>
      <c r="B2663" s="42" t="s">
        <v>314</v>
      </c>
      <c r="C2663" s="42" t="s">
        <v>900</v>
      </c>
      <c r="D2663" s="42" t="s">
        <v>162</v>
      </c>
      <c r="E2663" s="42" t="s">
        <v>808</v>
      </c>
      <c r="F2663" s="45">
        <v>468851970.7565748</v>
      </c>
      <c r="G2663" s="42" t="s">
        <v>1025</v>
      </c>
      <c r="H2663" s="42" t="s">
        <v>1044</v>
      </c>
      <c r="I2663" s="42" t="s">
        <v>893</v>
      </c>
    </row>
    <row r="2664" spans="1:9">
      <c r="A2664" s="42" t="s">
        <v>897</v>
      </c>
      <c r="B2664" s="42" t="s">
        <v>315</v>
      </c>
      <c r="C2664" s="42" t="s">
        <v>901</v>
      </c>
      <c r="D2664" s="42" t="s">
        <v>162</v>
      </c>
      <c r="E2664" s="42" t="s">
        <v>808</v>
      </c>
      <c r="F2664" s="45">
        <v>12738572.40903745</v>
      </c>
      <c r="G2664" s="42" t="s">
        <v>1025</v>
      </c>
      <c r="H2664" s="42" t="s">
        <v>1044</v>
      </c>
      <c r="I2664" s="42" t="s">
        <v>893</v>
      </c>
    </row>
    <row r="2665" spans="1:9">
      <c r="A2665" s="42" t="s">
        <v>897</v>
      </c>
      <c r="B2665" s="42" t="s">
        <v>316</v>
      </c>
      <c r="C2665" s="42" t="s">
        <v>1004</v>
      </c>
      <c r="D2665" s="42" t="s">
        <v>162</v>
      </c>
      <c r="E2665" s="42" t="s">
        <v>808</v>
      </c>
      <c r="F2665" s="45">
        <v>56142226.38762239</v>
      </c>
      <c r="G2665" s="42" t="s">
        <v>1025</v>
      </c>
      <c r="H2665" s="42" t="s">
        <v>1044</v>
      </c>
      <c r="I2665" s="42" t="s">
        <v>893</v>
      </c>
    </row>
    <row r="2666" spans="1:9">
      <c r="A2666" s="42" t="s">
        <v>897</v>
      </c>
      <c r="B2666" s="42" t="s">
        <v>317</v>
      </c>
      <c r="C2666" s="42" t="s">
        <v>967</v>
      </c>
      <c r="D2666" s="42" t="s">
        <v>162</v>
      </c>
      <c r="E2666" s="42" t="s">
        <v>808</v>
      </c>
      <c r="F2666" s="45">
        <v>86157253.23168413</v>
      </c>
      <c r="G2666" s="42" t="s">
        <v>1025</v>
      </c>
      <c r="H2666" s="42" t="s">
        <v>1044</v>
      </c>
      <c r="I2666" s="42" t="s">
        <v>893</v>
      </c>
    </row>
    <row r="2667" spans="1:9">
      <c r="A2667" s="42" t="s">
        <v>897</v>
      </c>
      <c r="B2667" s="42" t="s">
        <v>318</v>
      </c>
      <c r="C2667" s="42" t="s">
        <v>904</v>
      </c>
      <c r="D2667" s="42" t="s">
        <v>162</v>
      </c>
      <c r="E2667" s="42" t="s">
        <v>808</v>
      </c>
      <c r="F2667" s="45">
        <v>91307686.82591714</v>
      </c>
      <c r="G2667" s="42" t="s">
        <v>1025</v>
      </c>
      <c r="H2667" s="42" t="s">
        <v>1044</v>
      </c>
      <c r="I2667" s="42" t="s">
        <v>893</v>
      </c>
    </row>
    <row r="2668" spans="1:9">
      <c r="A2668" s="42" t="s">
        <v>897</v>
      </c>
      <c r="B2668" s="42" t="s">
        <v>319</v>
      </c>
      <c r="C2668" s="42" t="s">
        <v>907</v>
      </c>
      <c r="D2668" s="42" t="s">
        <v>162</v>
      </c>
      <c r="E2668" s="42" t="s">
        <v>808</v>
      </c>
      <c r="F2668" s="45">
        <v>56067220.07314326</v>
      </c>
      <c r="G2668" s="42" t="s">
        <v>1025</v>
      </c>
      <c r="H2668" s="42" t="s">
        <v>1044</v>
      </c>
      <c r="I2668" s="42" t="s">
        <v>893</v>
      </c>
    </row>
    <row r="2669" spans="1:9">
      <c r="A2669" s="42" t="s">
        <v>897</v>
      </c>
      <c r="B2669" s="42" t="s">
        <v>357</v>
      </c>
      <c r="C2669" s="42" t="s">
        <v>908</v>
      </c>
      <c r="D2669" s="42" t="s">
        <v>162</v>
      </c>
      <c r="E2669" s="42" t="s">
        <v>808</v>
      </c>
      <c r="F2669" s="45">
        <v>-72343590.31511261</v>
      </c>
      <c r="G2669" s="42" t="s">
        <v>1025</v>
      </c>
      <c r="H2669" s="42" t="s">
        <v>1044</v>
      </c>
      <c r="I2669" s="42" t="s">
        <v>864</v>
      </c>
    </row>
    <row r="2670" spans="1:9">
      <c r="A2670" s="42" t="s">
        <v>897</v>
      </c>
      <c r="B2670" s="42" t="s">
        <v>251</v>
      </c>
      <c r="C2670" s="42" t="s">
        <v>909</v>
      </c>
      <c r="D2670" s="42" t="s">
        <v>162</v>
      </c>
      <c r="E2670" s="42" t="s">
        <v>808</v>
      </c>
      <c r="F2670" s="45">
        <v>2162682.067481334</v>
      </c>
      <c r="G2670" s="42" t="s">
        <v>1025</v>
      </c>
      <c r="H2670" s="42" t="s">
        <v>1044</v>
      </c>
      <c r="I2670" s="42" t="s">
        <v>893</v>
      </c>
    </row>
    <row r="2671" spans="1:9">
      <c r="A2671" s="42" t="s">
        <v>897</v>
      </c>
      <c r="B2671" s="42" t="s">
        <v>359</v>
      </c>
      <c r="C2671" s="42" t="s">
        <v>969</v>
      </c>
      <c r="D2671" s="42" t="s">
        <v>162</v>
      </c>
      <c r="E2671" s="42" t="s">
        <v>808</v>
      </c>
      <c r="F2671" s="45">
        <v>-5675477.795586854</v>
      </c>
      <c r="G2671" s="42" t="s">
        <v>1025</v>
      </c>
      <c r="H2671" s="42" t="s">
        <v>1027</v>
      </c>
      <c r="I2671" s="42" t="s">
        <v>853</v>
      </c>
    </row>
    <row r="2672" spans="1:9">
      <c r="A2672" s="42" t="s">
        <v>897</v>
      </c>
      <c r="B2672" s="42" t="s">
        <v>361</v>
      </c>
      <c r="C2672" s="42" t="s">
        <v>1029</v>
      </c>
      <c r="D2672" s="42" t="s">
        <v>162</v>
      </c>
      <c r="E2672" s="42" t="s">
        <v>808</v>
      </c>
      <c r="F2672" s="45">
        <v>0</v>
      </c>
      <c r="G2672" s="42" t="s">
        <v>1025</v>
      </c>
      <c r="H2672" s="42" t="s">
        <v>1044</v>
      </c>
      <c r="I2672" s="42" t="s">
        <v>861</v>
      </c>
    </row>
    <row r="2673" spans="1:9">
      <c r="A2673" s="42" t="s">
        <v>897</v>
      </c>
      <c r="B2673" s="42" t="s">
        <v>363</v>
      </c>
      <c r="C2673" s="42" t="s">
        <v>1006</v>
      </c>
      <c r="D2673" s="42" t="s">
        <v>162</v>
      </c>
      <c r="E2673" s="42" t="s">
        <v>808</v>
      </c>
      <c r="F2673" s="45">
        <v>0</v>
      </c>
      <c r="G2673" s="42" t="s">
        <v>1025</v>
      </c>
      <c r="H2673" s="42" t="s">
        <v>1044</v>
      </c>
      <c r="I2673" s="42" t="s">
        <v>864</v>
      </c>
    </row>
    <row r="2674" spans="1:9">
      <c r="A2674" s="42" t="s">
        <v>897</v>
      </c>
      <c r="B2674" s="42" t="s">
        <v>365</v>
      </c>
      <c r="C2674" s="42" t="s">
        <v>1030</v>
      </c>
      <c r="D2674" s="42" t="s">
        <v>162</v>
      </c>
      <c r="E2674" s="42" t="s">
        <v>808</v>
      </c>
      <c r="F2674" s="45">
        <v>0</v>
      </c>
      <c r="G2674" s="42" t="s">
        <v>1025</v>
      </c>
      <c r="H2674" s="42" t="s">
        <v>1044</v>
      </c>
      <c r="I2674" s="42" t="s">
        <v>854</v>
      </c>
    </row>
    <row r="2675" spans="1:9">
      <c r="A2675" s="42" t="s">
        <v>897</v>
      </c>
      <c r="B2675" s="42" t="s">
        <v>293</v>
      </c>
      <c r="C2675" s="42" t="s">
        <v>912</v>
      </c>
      <c r="D2675" s="42" t="s">
        <v>162</v>
      </c>
      <c r="E2675" s="42" t="s">
        <v>808</v>
      </c>
      <c r="F2675" s="45">
        <v>207054931.1196147</v>
      </c>
      <c r="G2675" s="42" t="s">
        <v>1025</v>
      </c>
      <c r="H2675" s="42" t="s">
        <v>1044</v>
      </c>
      <c r="I2675" s="42" t="s">
        <v>893</v>
      </c>
    </row>
    <row r="2676" spans="1:9">
      <c r="A2676" s="42" t="s">
        <v>897</v>
      </c>
      <c r="B2676" s="42" t="s">
        <v>369</v>
      </c>
      <c r="C2676" s="42" t="s">
        <v>970</v>
      </c>
      <c r="D2676" s="42" t="s">
        <v>162</v>
      </c>
      <c r="E2676" s="42" t="s">
        <v>808</v>
      </c>
      <c r="F2676" s="45">
        <v>-11050930.33325722</v>
      </c>
      <c r="G2676" s="42" t="s">
        <v>1025</v>
      </c>
      <c r="H2676" s="42" t="s">
        <v>1044</v>
      </c>
      <c r="I2676" s="42" t="s">
        <v>886</v>
      </c>
    </row>
    <row r="2677" spans="1:9">
      <c r="A2677" s="42" t="s">
        <v>897</v>
      </c>
      <c r="B2677" s="42" t="s">
        <v>292</v>
      </c>
      <c r="C2677" s="42" t="s">
        <v>913</v>
      </c>
      <c r="D2677" s="42" t="s">
        <v>162</v>
      </c>
      <c r="E2677" s="42" t="s">
        <v>808</v>
      </c>
      <c r="F2677" s="45">
        <v>-45816357.09433</v>
      </c>
      <c r="G2677" s="42" t="s">
        <v>1025</v>
      </c>
      <c r="H2677" s="42" t="s">
        <v>1044</v>
      </c>
      <c r="I2677" s="42" t="s">
        <v>893</v>
      </c>
    </row>
    <row r="2678" spans="1:9">
      <c r="A2678" s="42" t="s">
        <v>897</v>
      </c>
      <c r="B2678" s="42" t="s">
        <v>241</v>
      </c>
      <c r="C2678" s="42" t="s">
        <v>914</v>
      </c>
      <c r="D2678" s="42" t="s">
        <v>162</v>
      </c>
      <c r="E2678" s="42" t="s">
        <v>808</v>
      </c>
      <c r="F2678" s="45">
        <v>178277508.4644584</v>
      </c>
      <c r="G2678" s="42" t="s">
        <v>1025</v>
      </c>
      <c r="H2678" s="42" t="s">
        <v>1044</v>
      </c>
      <c r="I2678" s="42" t="s">
        <v>893</v>
      </c>
    </row>
    <row r="2679" spans="1:9">
      <c r="A2679" s="42" t="s">
        <v>897</v>
      </c>
      <c r="B2679" s="42" t="s">
        <v>310</v>
      </c>
      <c r="C2679" s="42" t="s">
        <v>915</v>
      </c>
      <c r="D2679" s="42" t="s">
        <v>162</v>
      </c>
      <c r="E2679" s="42" t="s">
        <v>808</v>
      </c>
      <c r="F2679" s="45">
        <v>53929540.1104883</v>
      </c>
      <c r="G2679" s="42" t="s">
        <v>1025</v>
      </c>
      <c r="H2679" s="42" t="s">
        <v>1044</v>
      </c>
      <c r="I2679" s="42" t="s">
        <v>893</v>
      </c>
    </row>
    <row r="2680" spans="1:9">
      <c r="A2680" s="42" t="s">
        <v>897</v>
      </c>
      <c r="B2680" s="42" t="s">
        <v>305</v>
      </c>
      <c r="C2680" s="42" t="s">
        <v>916</v>
      </c>
      <c r="D2680" s="42" t="s">
        <v>162</v>
      </c>
      <c r="E2680" s="42" t="s">
        <v>808</v>
      </c>
      <c r="F2680" s="45">
        <v>-14751241.84756055</v>
      </c>
      <c r="G2680" s="42" t="s">
        <v>1025</v>
      </c>
      <c r="H2680" s="42" t="s">
        <v>1044</v>
      </c>
      <c r="I2680" s="42" t="s">
        <v>893</v>
      </c>
    </row>
    <row r="2681" spans="1:9">
      <c r="A2681" s="42" t="s">
        <v>897</v>
      </c>
      <c r="B2681" s="42" t="s">
        <v>306</v>
      </c>
      <c r="C2681" s="42" t="s">
        <v>917</v>
      </c>
      <c r="D2681" s="42" t="s">
        <v>162</v>
      </c>
      <c r="E2681" s="42" t="s">
        <v>808</v>
      </c>
      <c r="F2681" s="45">
        <v>41766016.11245744</v>
      </c>
      <c r="G2681" s="42" t="s">
        <v>1025</v>
      </c>
      <c r="H2681" s="42" t="s">
        <v>1044</v>
      </c>
      <c r="I2681" s="42" t="s">
        <v>893</v>
      </c>
    </row>
    <row r="2682" spans="1:9">
      <c r="A2682" s="42" t="s">
        <v>897</v>
      </c>
      <c r="B2682" s="42" t="s">
        <v>309</v>
      </c>
      <c r="C2682" s="42" t="s">
        <v>918</v>
      </c>
      <c r="D2682" s="42" t="s">
        <v>162</v>
      </c>
      <c r="E2682" s="42" t="s">
        <v>808</v>
      </c>
      <c r="F2682" s="45">
        <v>109709235.9781283</v>
      </c>
      <c r="G2682" s="42" t="s">
        <v>1025</v>
      </c>
      <c r="H2682" s="42" t="s">
        <v>1044</v>
      </c>
      <c r="I2682" s="42" t="s">
        <v>893</v>
      </c>
    </row>
    <row r="2683" spans="1:9">
      <c r="A2683" s="42" t="s">
        <v>897</v>
      </c>
      <c r="B2683" s="42" t="s">
        <v>242</v>
      </c>
      <c r="C2683" s="42" t="s">
        <v>920</v>
      </c>
      <c r="D2683" s="42" t="s">
        <v>162</v>
      </c>
      <c r="E2683" s="42" t="s">
        <v>808</v>
      </c>
      <c r="F2683" s="45">
        <v>-6225524.101767078</v>
      </c>
      <c r="G2683" s="42" t="s">
        <v>1025</v>
      </c>
      <c r="H2683" s="42" t="s">
        <v>1044</v>
      </c>
      <c r="I2683" s="42" t="s">
        <v>893</v>
      </c>
    </row>
    <row r="2684" spans="1:9">
      <c r="A2684" s="42" t="s">
        <v>897</v>
      </c>
      <c r="B2684" s="42" t="s">
        <v>302</v>
      </c>
      <c r="C2684" s="42" t="s">
        <v>921</v>
      </c>
      <c r="D2684" s="42" t="s">
        <v>162</v>
      </c>
      <c r="E2684" s="42" t="s">
        <v>808</v>
      </c>
      <c r="F2684" s="45">
        <v>-17451469.16880891</v>
      </c>
      <c r="G2684" s="42" t="s">
        <v>1025</v>
      </c>
      <c r="H2684" s="42" t="s">
        <v>1044</v>
      </c>
      <c r="I2684" s="42" t="s">
        <v>893</v>
      </c>
    </row>
    <row r="2685" spans="1:9">
      <c r="A2685" s="42" t="s">
        <v>897</v>
      </c>
      <c r="B2685" s="42" t="s">
        <v>326</v>
      </c>
      <c r="C2685" s="42" t="s">
        <v>922</v>
      </c>
      <c r="D2685" s="42" t="s">
        <v>162</v>
      </c>
      <c r="E2685" s="42" t="s">
        <v>808</v>
      </c>
      <c r="F2685" s="45">
        <v>1525128.394408802</v>
      </c>
      <c r="G2685" s="42" t="s">
        <v>1025</v>
      </c>
      <c r="H2685" s="42" t="s">
        <v>1044</v>
      </c>
      <c r="I2685" s="42" t="s">
        <v>893</v>
      </c>
    </row>
    <row r="2686" spans="1:9">
      <c r="A2686" s="42" t="s">
        <v>897</v>
      </c>
      <c r="B2686" s="42" t="s">
        <v>327</v>
      </c>
      <c r="C2686" s="42" t="s">
        <v>1009</v>
      </c>
      <c r="D2686" s="42" t="s">
        <v>162</v>
      </c>
      <c r="E2686" s="42" t="s">
        <v>808</v>
      </c>
      <c r="F2686" s="45">
        <v>9025759.842320945</v>
      </c>
      <c r="G2686" s="42" t="s">
        <v>1025</v>
      </c>
      <c r="H2686" s="42" t="s">
        <v>1044</v>
      </c>
      <c r="I2686" s="42" t="s">
        <v>893</v>
      </c>
    </row>
    <row r="2687" spans="1:9">
      <c r="A2687" s="42" t="s">
        <v>897</v>
      </c>
      <c r="B2687" s="42" t="s">
        <v>328</v>
      </c>
      <c r="C2687" s="42" t="s">
        <v>924</v>
      </c>
      <c r="D2687" s="42" t="s">
        <v>162</v>
      </c>
      <c r="E2687" s="42" t="s">
        <v>808</v>
      </c>
      <c r="F2687" s="45">
        <v>-6775570.407947302</v>
      </c>
      <c r="G2687" s="42" t="s">
        <v>1025</v>
      </c>
      <c r="H2687" s="42" t="s">
        <v>1044</v>
      </c>
      <c r="I2687" s="42" t="s">
        <v>893</v>
      </c>
    </row>
    <row r="2688" spans="1:9">
      <c r="A2688" s="42" t="s">
        <v>897</v>
      </c>
      <c r="B2688" s="42" t="s">
        <v>329</v>
      </c>
      <c r="C2688" s="42" t="s">
        <v>925</v>
      </c>
      <c r="D2688" s="42" t="s">
        <v>162</v>
      </c>
      <c r="E2688" s="42" t="s">
        <v>808</v>
      </c>
      <c r="F2688" s="45">
        <v>848433926.230582</v>
      </c>
      <c r="G2688" s="42" t="s">
        <v>1025</v>
      </c>
      <c r="H2688" s="42" t="s">
        <v>1044</v>
      </c>
      <c r="I2688" s="42" t="s">
        <v>893</v>
      </c>
    </row>
    <row r="2689" spans="1:9">
      <c r="A2689" s="42" t="s">
        <v>897</v>
      </c>
      <c r="B2689" s="42" t="s">
        <v>372</v>
      </c>
      <c r="C2689" s="42" t="s">
        <v>926</v>
      </c>
      <c r="D2689" s="42" t="s">
        <v>162</v>
      </c>
      <c r="E2689" s="42" t="s">
        <v>808</v>
      </c>
      <c r="F2689" s="45">
        <v>93095337.32100287</v>
      </c>
      <c r="G2689" s="42" t="s">
        <v>1025</v>
      </c>
      <c r="H2689" s="42" t="s">
        <v>1044</v>
      </c>
      <c r="I2689" s="42" t="s">
        <v>896</v>
      </c>
    </row>
    <row r="2690" spans="1:9">
      <c r="A2690" s="42" t="s">
        <v>897</v>
      </c>
      <c r="B2690" s="42" t="s">
        <v>373</v>
      </c>
      <c r="C2690" s="42" t="s">
        <v>1032</v>
      </c>
      <c r="D2690" s="42" t="s">
        <v>162</v>
      </c>
      <c r="E2690" s="42" t="s">
        <v>808</v>
      </c>
      <c r="F2690" s="45">
        <v>-224031360.2967225</v>
      </c>
      <c r="G2690" s="42" t="s">
        <v>1025</v>
      </c>
      <c r="H2690" s="42" t="s">
        <v>1044</v>
      </c>
      <c r="I2690" s="42" t="s">
        <v>896</v>
      </c>
    </row>
    <row r="2691" spans="1:9">
      <c r="A2691" s="42" t="s">
        <v>897</v>
      </c>
      <c r="B2691" s="42" t="s">
        <v>330</v>
      </c>
      <c r="C2691" s="42" t="s">
        <v>927</v>
      </c>
      <c r="D2691" s="42" t="s">
        <v>162</v>
      </c>
      <c r="E2691" s="42" t="s">
        <v>808</v>
      </c>
      <c r="F2691" s="45">
        <v>-409234451.7980865</v>
      </c>
      <c r="G2691" s="42" t="s">
        <v>1025</v>
      </c>
      <c r="H2691" s="42" t="s">
        <v>1044</v>
      </c>
      <c r="I2691" s="42" t="s">
        <v>893</v>
      </c>
    </row>
    <row r="2692" spans="1:9">
      <c r="A2692" s="42" t="s">
        <v>897</v>
      </c>
      <c r="B2692" s="42" t="s">
        <v>384</v>
      </c>
      <c r="C2692" s="42" t="s">
        <v>1012</v>
      </c>
      <c r="D2692" s="42" t="s">
        <v>162</v>
      </c>
      <c r="E2692" s="42" t="s">
        <v>808</v>
      </c>
      <c r="F2692" s="45">
        <v>0</v>
      </c>
      <c r="G2692" s="42" t="s">
        <v>1025</v>
      </c>
      <c r="H2692" s="42" t="s">
        <v>1044</v>
      </c>
      <c r="I2692" s="42" t="s">
        <v>822</v>
      </c>
    </row>
    <row r="2693" spans="1:9">
      <c r="A2693" s="42" t="s">
        <v>897</v>
      </c>
      <c r="B2693" s="42" t="s">
        <v>334</v>
      </c>
      <c r="C2693" s="42" t="s">
        <v>933</v>
      </c>
      <c r="D2693" s="42" t="s">
        <v>162</v>
      </c>
      <c r="E2693" s="42" t="s">
        <v>808</v>
      </c>
      <c r="F2693" s="45">
        <v>37503.15723956071</v>
      </c>
      <c r="G2693" s="42" t="s">
        <v>1025</v>
      </c>
      <c r="H2693" s="42" t="s">
        <v>1044</v>
      </c>
      <c r="I2693" s="42" t="s">
        <v>893</v>
      </c>
    </row>
    <row r="2694" spans="1:9">
      <c r="A2694" s="42" t="s">
        <v>897</v>
      </c>
      <c r="B2694" s="42" t="s">
        <v>336</v>
      </c>
      <c r="C2694" s="42" t="s">
        <v>938</v>
      </c>
      <c r="D2694" s="42" t="s">
        <v>162</v>
      </c>
      <c r="E2694" s="42" t="s">
        <v>808</v>
      </c>
      <c r="F2694" s="45">
        <v>-540132971.6165665</v>
      </c>
      <c r="G2694" s="42" t="s">
        <v>1025</v>
      </c>
      <c r="H2694" s="42" t="s">
        <v>1044</v>
      </c>
      <c r="I2694" s="42" t="s">
        <v>893</v>
      </c>
    </row>
    <row r="2695" spans="1:9">
      <c r="A2695" s="42" t="s">
        <v>897</v>
      </c>
      <c r="B2695" s="42" t="s">
        <v>337</v>
      </c>
      <c r="C2695" s="42" t="s">
        <v>991</v>
      </c>
      <c r="D2695" s="42" t="s">
        <v>162</v>
      </c>
      <c r="E2695" s="42" t="s">
        <v>808</v>
      </c>
      <c r="F2695" s="45">
        <v>-565610116.4346415</v>
      </c>
      <c r="G2695" s="42" t="s">
        <v>1025</v>
      </c>
      <c r="H2695" s="42" t="s">
        <v>1044</v>
      </c>
      <c r="I2695" s="42" t="s">
        <v>893</v>
      </c>
    </row>
    <row r="2696" spans="1:9">
      <c r="A2696" s="42" t="s">
        <v>897</v>
      </c>
      <c r="B2696" s="42" t="s">
        <v>338</v>
      </c>
      <c r="C2696" s="42" t="s">
        <v>972</v>
      </c>
      <c r="D2696" s="42" t="s">
        <v>162</v>
      </c>
      <c r="E2696" s="42" t="s">
        <v>808</v>
      </c>
      <c r="F2696" s="45">
        <v>-159263407.7440012</v>
      </c>
      <c r="G2696" s="42" t="s">
        <v>1025</v>
      </c>
      <c r="H2696" s="42" t="s">
        <v>1044</v>
      </c>
      <c r="I2696" s="42" t="s">
        <v>893</v>
      </c>
    </row>
    <row r="2697" spans="1:9">
      <c r="A2697" s="42" t="s">
        <v>897</v>
      </c>
      <c r="B2697" s="42" t="s">
        <v>939</v>
      </c>
      <c r="C2697" s="42" t="s">
        <v>973</v>
      </c>
      <c r="D2697" s="42" t="s">
        <v>162</v>
      </c>
      <c r="E2697" s="42" t="s">
        <v>808</v>
      </c>
      <c r="F2697" s="45">
        <v>454213238.380733</v>
      </c>
      <c r="G2697" s="42" t="s">
        <v>1025</v>
      </c>
      <c r="H2697" s="42" t="s">
        <v>1044</v>
      </c>
      <c r="I2697" s="42" t="s">
        <v>893</v>
      </c>
    </row>
    <row r="2698" spans="1:9">
      <c r="A2698" s="42" t="s">
        <v>897</v>
      </c>
      <c r="B2698" s="42" t="s">
        <v>342</v>
      </c>
      <c r="C2698" s="42" t="s">
        <v>1014</v>
      </c>
      <c r="D2698" s="42" t="s">
        <v>162</v>
      </c>
      <c r="E2698" s="42" t="s">
        <v>808</v>
      </c>
      <c r="F2698" s="45">
        <v>-97758229.87112159</v>
      </c>
      <c r="G2698" s="42" t="s">
        <v>1025</v>
      </c>
      <c r="H2698" s="42" t="s">
        <v>1044</v>
      </c>
      <c r="I2698" s="42" t="s">
        <v>893</v>
      </c>
    </row>
    <row r="2699" spans="1:9">
      <c r="A2699" s="42" t="s">
        <v>897</v>
      </c>
      <c r="B2699" s="42" t="s">
        <v>392</v>
      </c>
      <c r="C2699" s="42" t="s">
        <v>1015</v>
      </c>
      <c r="D2699" s="42" t="s">
        <v>162</v>
      </c>
      <c r="E2699" s="42" t="s">
        <v>808</v>
      </c>
      <c r="F2699" s="45">
        <v>5300446.223191246</v>
      </c>
      <c r="G2699" s="42" t="s">
        <v>1025</v>
      </c>
      <c r="H2699" s="42" t="s">
        <v>1044</v>
      </c>
      <c r="I2699" s="42" t="s">
        <v>864</v>
      </c>
    </row>
    <row r="2700" spans="1:9">
      <c r="A2700" s="42" t="s">
        <v>897</v>
      </c>
      <c r="B2700" s="42" t="s">
        <v>343</v>
      </c>
      <c r="C2700" s="42" t="s">
        <v>1016</v>
      </c>
      <c r="D2700" s="42" t="s">
        <v>162</v>
      </c>
      <c r="E2700" s="42" t="s">
        <v>808</v>
      </c>
      <c r="F2700" s="45">
        <v>-1100092.612360448</v>
      </c>
      <c r="G2700" s="42" t="s">
        <v>1025</v>
      </c>
      <c r="H2700" s="42" t="s">
        <v>1044</v>
      </c>
      <c r="I2700" s="42" t="s">
        <v>893</v>
      </c>
    </row>
    <row r="2701" spans="1:9">
      <c r="A2701" s="42" t="s">
        <v>897</v>
      </c>
      <c r="B2701" s="42" t="s">
        <v>394</v>
      </c>
      <c r="C2701" s="42" t="s">
        <v>992</v>
      </c>
      <c r="D2701" s="42" t="s">
        <v>162</v>
      </c>
      <c r="E2701" s="42" t="s">
        <v>808</v>
      </c>
      <c r="F2701" s="45">
        <v>-62792786.27143782</v>
      </c>
      <c r="G2701" s="42" t="s">
        <v>1025</v>
      </c>
      <c r="H2701" s="42" t="s">
        <v>1027</v>
      </c>
      <c r="I2701" s="42" t="s">
        <v>891</v>
      </c>
    </row>
    <row r="2702" spans="1:9">
      <c r="A2702" s="42" t="s">
        <v>897</v>
      </c>
      <c r="B2702" s="42" t="s">
        <v>344</v>
      </c>
      <c r="C2702" s="42" t="s">
        <v>980</v>
      </c>
      <c r="D2702" s="42" t="s">
        <v>162</v>
      </c>
      <c r="E2702" s="42" t="s">
        <v>808</v>
      </c>
      <c r="F2702" s="45">
        <v>-376394187.1086445</v>
      </c>
      <c r="G2702" s="42" t="s">
        <v>1025</v>
      </c>
      <c r="H2702" s="42" t="s">
        <v>1044</v>
      </c>
      <c r="I2702" s="42" t="s">
        <v>893</v>
      </c>
    </row>
    <row r="2703" spans="1:9">
      <c r="A2703" s="42" t="s">
        <v>897</v>
      </c>
      <c r="B2703" s="42" t="s">
        <v>394</v>
      </c>
      <c r="C2703" s="42" t="s">
        <v>993</v>
      </c>
      <c r="D2703" s="42" t="s">
        <v>162</v>
      </c>
      <c r="E2703" s="42" t="s">
        <v>808</v>
      </c>
      <c r="F2703" s="45">
        <v>-62792786.27143782</v>
      </c>
      <c r="G2703" s="42" t="s">
        <v>1025</v>
      </c>
      <c r="H2703" s="42" t="s">
        <v>1027</v>
      </c>
      <c r="I2703" s="42" t="s">
        <v>891</v>
      </c>
    </row>
    <row r="2704" spans="1:9">
      <c r="A2704" s="42" t="s">
        <v>897</v>
      </c>
      <c r="B2704" s="42" t="s">
        <v>346</v>
      </c>
      <c r="C2704" s="42" t="s">
        <v>956</v>
      </c>
      <c r="D2704" s="42" t="s">
        <v>162</v>
      </c>
      <c r="E2704" s="42" t="s">
        <v>808</v>
      </c>
      <c r="F2704" s="45">
        <v>-62792786.27143782</v>
      </c>
      <c r="G2704" s="42" t="s">
        <v>1025</v>
      </c>
      <c r="H2704" s="42" t="s">
        <v>1044</v>
      </c>
      <c r="I2704" s="42" t="s">
        <v>893</v>
      </c>
    </row>
    <row r="2705" spans="1:9">
      <c r="A2705" s="42" t="s">
        <v>897</v>
      </c>
      <c r="B2705" s="42" t="s">
        <v>347</v>
      </c>
      <c r="C2705" s="42" t="s">
        <v>981</v>
      </c>
      <c r="D2705" s="42" t="s">
        <v>162</v>
      </c>
      <c r="E2705" s="42" t="s">
        <v>808</v>
      </c>
      <c r="F2705" s="45">
        <v>782991359.4420427</v>
      </c>
      <c r="G2705" s="42" t="s">
        <v>1039</v>
      </c>
      <c r="H2705" s="42" t="s">
        <v>104</v>
      </c>
      <c r="I2705" s="42" t="s">
        <v>893</v>
      </c>
    </row>
    <row r="2706" spans="1:9">
      <c r="A2706" s="42" t="s">
        <v>897</v>
      </c>
      <c r="B2706" s="42" t="s">
        <v>348</v>
      </c>
      <c r="C2706" s="42" t="s">
        <v>982</v>
      </c>
      <c r="D2706" s="42" t="s">
        <v>162</v>
      </c>
      <c r="E2706" s="42" t="s">
        <v>808</v>
      </c>
      <c r="F2706" s="45">
        <v>650000000</v>
      </c>
      <c r="G2706" s="42" t="s">
        <v>985</v>
      </c>
      <c r="H2706" s="42" t="s">
        <v>119</v>
      </c>
      <c r="I2706" s="42" t="s">
        <v>893</v>
      </c>
    </row>
    <row r="2707" spans="1:9">
      <c r="A2707" s="42" t="s">
        <v>897</v>
      </c>
      <c r="B2707" s="42" t="s">
        <v>346</v>
      </c>
      <c r="C2707" s="42" t="s">
        <v>961</v>
      </c>
      <c r="D2707" s="42" t="s">
        <v>162</v>
      </c>
      <c r="E2707" s="42" t="s">
        <v>808</v>
      </c>
      <c r="F2707" s="45">
        <v>-62792786.27143782</v>
      </c>
      <c r="G2707" s="42" t="s">
        <v>1025</v>
      </c>
      <c r="H2707" s="42" t="s">
        <v>1044</v>
      </c>
      <c r="I2707" s="42" t="s">
        <v>893</v>
      </c>
    </row>
    <row r="2708" spans="1:9">
      <c r="A2708" s="42" t="s">
        <v>897</v>
      </c>
      <c r="B2708" s="42" t="s">
        <v>350</v>
      </c>
      <c r="C2708" s="42" t="s">
        <v>1003</v>
      </c>
      <c r="D2708" s="42" t="s">
        <v>691</v>
      </c>
      <c r="E2708" s="42" t="s">
        <v>762</v>
      </c>
      <c r="F2708" s="45">
        <v>16000000</v>
      </c>
      <c r="G2708" s="42" t="s">
        <v>763</v>
      </c>
      <c r="H2708" s="42" t="s">
        <v>119</v>
      </c>
      <c r="I2708" s="42" t="s">
        <v>854</v>
      </c>
    </row>
    <row r="2709" spans="1:9">
      <c r="A2709" s="42" t="s">
        <v>897</v>
      </c>
      <c r="B2709" s="42" t="s">
        <v>313</v>
      </c>
      <c r="C2709" s="42" t="s">
        <v>994</v>
      </c>
      <c r="D2709" s="42" t="s">
        <v>691</v>
      </c>
      <c r="E2709" s="42" t="s">
        <v>762</v>
      </c>
      <c r="F2709" s="45">
        <v>16000000</v>
      </c>
      <c r="G2709" s="42" t="s">
        <v>763</v>
      </c>
      <c r="H2709" s="42" t="s">
        <v>129</v>
      </c>
      <c r="I2709" s="42" t="s">
        <v>893</v>
      </c>
    </row>
    <row r="2710" spans="1:9">
      <c r="A2710" s="42" t="s">
        <v>897</v>
      </c>
      <c r="B2710" s="42" t="s">
        <v>201</v>
      </c>
      <c r="C2710" s="42" t="s">
        <v>966</v>
      </c>
      <c r="D2710" s="42" t="s">
        <v>691</v>
      </c>
      <c r="E2710" s="42" t="s">
        <v>762</v>
      </c>
      <c r="F2710" s="45">
        <v>-287000000</v>
      </c>
      <c r="G2710" s="42" t="s">
        <v>763</v>
      </c>
      <c r="H2710" s="42" t="s">
        <v>129</v>
      </c>
      <c r="I2710" s="42" t="s">
        <v>893</v>
      </c>
    </row>
    <row r="2711" spans="1:9">
      <c r="A2711" s="42" t="s">
        <v>897</v>
      </c>
      <c r="B2711" s="42" t="s">
        <v>314</v>
      </c>
      <c r="C2711" s="42" t="s">
        <v>900</v>
      </c>
      <c r="D2711" s="42" t="s">
        <v>691</v>
      </c>
      <c r="E2711" s="42" t="s">
        <v>762</v>
      </c>
      <c r="F2711" s="45">
        <v>2816000000</v>
      </c>
      <c r="G2711" s="42" t="s">
        <v>763</v>
      </c>
      <c r="H2711" s="42" t="s">
        <v>129</v>
      </c>
      <c r="I2711" s="42" t="s">
        <v>893</v>
      </c>
    </row>
    <row r="2712" spans="1:9">
      <c r="A2712" s="42" t="s">
        <v>897</v>
      </c>
      <c r="B2712" s="42" t="s">
        <v>315</v>
      </c>
      <c r="C2712" s="42" t="s">
        <v>901</v>
      </c>
      <c r="D2712" s="42" t="s">
        <v>691</v>
      </c>
      <c r="E2712" s="42" t="s">
        <v>762</v>
      </c>
      <c r="F2712" s="45">
        <v>51000000</v>
      </c>
      <c r="G2712" s="42" t="s">
        <v>763</v>
      </c>
      <c r="H2712" s="42" t="s">
        <v>129</v>
      </c>
      <c r="I2712" s="42" t="s">
        <v>893</v>
      </c>
    </row>
    <row r="2713" spans="1:9">
      <c r="A2713" s="42" t="s">
        <v>897</v>
      </c>
      <c r="B2713" s="42" t="s">
        <v>316</v>
      </c>
      <c r="C2713" s="42" t="s">
        <v>1004</v>
      </c>
      <c r="D2713" s="42" t="s">
        <v>691</v>
      </c>
      <c r="E2713" s="42" t="s">
        <v>762</v>
      </c>
      <c r="F2713" s="45">
        <v>201000000</v>
      </c>
      <c r="G2713" s="42" t="s">
        <v>763</v>
      </c>
      <c r="H2713" s="42" t="s">
        <v>129</v>
      </c>
      <c r="I2713" s="42" t="s">
        <v>893</v>
      </c>
    </row>
    <row r="2714" spans="1:9">
      <c r="A2714" s="42" t="s">
        <v>897</v>
      </c>
      <c r="B2714" s="42" t="s">
        <v>317</v>
      </c>
      <c r="C2714" s="42" t="s">
        <v>967</v>
      </c>
      <c r="D2714" s="42" t="s">
        <v>691</v>
      </c>
      <c r="E2714" s="42" t="s">
        <v>762</v>
      </c>
      <c r="F2714" s="45">
        <v>342000000</v>
      </c>
      <c r="G2714" s="42" t="s">
        <v>763</v>
      </c>
      <c r="H2714" s="42" t="s">
        <v>129</v>
      </c>
      <c r="I2714" s="42" t="s">
        <v>893</v>
      </c>
    </row>
    <row r="2715" spans="1:9">
      <c r="A2715" s="42" t="s">
        <v>897</v>
      </c>
      <c r="B2715" s="42" t="s">
        <v>318</v>
      </c>
      <c r="C2715" s="42" t="s">
        <v>904</v>
      </c>
      <c r="D2715" s="42" t="s">
        <v>691</v>
      </c>
      <c r="E2715" s="42" t="s">
        <v>762</v>
      </c>
      <c r="F2715" s="45">
        <v>699000000</v>
      </c>
      <c r="G2715" s="42" t="s">
        <v>763</v>
      </c>
      <c r="H2715" s="42" t="s">
        <v>129</v>
      </c>
      <c r="I2715" s="42" t="s">
        <v>893</v>
      </c>
    </row>
    <row r="2716" spans="1:9">
      <c r="A2716" s="42" t="s">
        <v>897</v>
      </c>
      <c r="B2716" s="42" t="s">
        <v>319</v>
      </c>
      <c r="C2716" s="42" t="s">
        <v>907</v>
      </c>
      <c r="D2716" s="42" t="s">
        <v>691</v>
      </c>
      <c r="E2716" s="42" t="s">
        <v>762</v>
      </c>
      <c r="F2716" s="45">
        <v>510000000</v>
      </c>
      <c r="G2716" s="42" t="s">
        <v>763</v>
      </c>
      <c r="H2716" s="42" t="s">
        <v>129</v>
      </c>
      <c r="I2716" s="42" t="s">
        <v>893</v>
      </c>
    </row>
    <row r="2717" spans="1:9">
      <c r="A2717" s="42" t="s">
        <v>897</v>
      </c>
      <c r="B2717" s="42" t="s">
        <v>352</v>
      </c>
      <c r="C2717" s="42" t="s">
        <v>1045</v>
      </c>
      <c r="D2717" s="42" t="s">
        <v>691</v>
      </c>
      <c r="E2717" s="42" t="s">
        <v>762</v>
      </c>
      <c r="F2717" s="45">
        <v>118447059.0646758</v>
      </c>
      <c r="G2717" s="42" t="s">
        <v>763</v>
      </c>
      <c r="H2717" s="42" t="s">
        <v>127</v>
      </c>
      <c r="I2717" s="42" t="s">
        <v>1046</v>
      </c>
    </row>
    <row r="2718" spans="1:9">
      <c r="A2718" s="42" t="s">
        <v>897</v>
      </c>
      <c r="B2718" s="42" t="s">
        <v>223</v>
      </c>
      <c r="C2718" s="42" t="s">
        <v>1047</v>
      </c>
      <c r="D2718" s="42" t="s">
        <v>691</v>
      </c>
      <c r="E2718" s="42" t="s">
        <v>762</v>
      </c>
      <c r="F2718" s="45">
        <v>115000000</v>
      </c>
      <c r="G2718" s="42" t="s">
        <v>763</v>
      </c>
      <c r="H2718" s="42" t="s">
        <v>129</v>
      </c>
      <c r="I2718" s="42" t="s">
        <v>861</v>
      </c>
    </row>
    <row r="2719" spans="1:9">
      <c r="A2719" s="42" t="s">
        <v>897</v>
      </c>
      <c r="B2719" s="42" t="s">
        <v>353</v>
      </c>
      <c r="C2719" s="42" t="s">
        <v>1005</v>
      </c>
      <c r="D2719" s="42" t="s">
        <v>691</v>
      </c>
      <c r="E2719" s="42" t="s">
        <v>762</v>
      </c>
      <c r="F2719" s="45">
        <v>115000000</v>
      </c>
      <c r="G2719" s="42" t="s">
        <v>763</v>
      </c>
      <c r="H2719" s="42" t="s">
        <v>119</v>
      </c>
      <c r="I2719" s="42" t="s">
        <v>854</v>
      </c>
    </row>
    <row r="2720" spans="1:9">
      <c r="A2720" s="42" t="s">
        <v>897</v>
      </c>
      <c r="B2720" s="42" t="s">
        <v>356</v>
      </c>
      <c r="C2720" s="42" t="s">
        <v>1028</v>
      </c>
      <c r="D2720" s="42" t="s">
        <v>691</v>
      </c>
      <c r="E2720" s="42" t="s">
        <v>762</v>
      </c>
      <c r="F2720" s="45">
        <v>440000000</v>
      </c>
      <c r="G2720" s="42" t="s">
        <v>763</v>
      </c>
      <c r="H2720" s="42" t="s">
        <v>119</v>
      </c>
      <c r="I2720" s="42" t="s">
        <v>854</v>
      </c>
    </row>
    <row r="2721" spans="1:9">
      <c r="A2721" s="42" t="s">
        <v>897</v>
      </c>
      <c r="B2721" s="42" t="s">
        <v>320</v>
      </c>
      <c r="C2721" s="42" t="s">
        <v>1048</v>
      </c>
      <c r="D2721" s="42" t="s">
        <v>691</v>
      </c>
      <c r="E2721" s="42" t="s">
        <v>762</v>
      </c>
      <c r="F2721" s="45">
        <v>440000000</v>
      </c>
      <c r="G2721" s="42" t="s">
        <v>763</v>
      </c>
      <c r="H2721" s="42" t="s">
        <v>129</v>
      </c>
      <c r="I2721" s="42" t="s">
        <v>893</v>
      </c>
    </row>
    <row r="2722" spans="1:9">
      <c r="A2722" s="42" t="s">
        <v>897</v>
      </c>
      <c r="B2722" s="42" t="s">
        <v>357</v>
      </c>
      <c r="C2722" s="42" t="s">
        <v>908</v>
      </c>
      <c r="D2722" s="42" t="s">
        <v>691</v>
      </c>
      <c r="E2722" s="42" t="s">
        <v>762</v>
      </c>
      <c r="F2722" s="45">
        <v>352837144.5010631</v>
      </c>
      <c r="G2722" s="42" t="s">
        <v>763</v>
      </c>
      <c r="H2722" s="42" t="s">
        <v>108</v>
      </c>
      <c r="I2722" s="42" t="s">
        <v>864</v>
      </c>
    </row>
    <row r="2723" spans="1:9">
      <c r="A2723" s="42" t="s">
        <v>897</v>
      </c>
      <c r="B2723" s="42" t="s">
        <v>251</v>
      </c>
      <c r="C2723" s="42" t="s">
        <v>909</v>
      </c>
      <c r="D2723" s="42" t="s">
        <v>691</v>
      </c>
      <c r="E2723" s="42" t="s">
        <v>762</v>
      </c>
      <c r="F2723" s="45">
        <v>6000000</v>
      </c>
      <c r="G2723" s="42" t="s">
        <v>763</v>
      </c>
      <c r="H2723" s="42" t="s">
        <v>129</v>
      </c>
      <c r="I2723" s="42" t="s">
        <v>893</v>
      </c>
    </row>
    <row r="2724" spans="1:9">
      <c r="A2724" s="42" t="s">
        <v>897</v>
      </c>
      <c r="B2724" s="42" t="s">
        <v>321</v>
      </c>
      <c r="C2724" s="42" t="s">
        <v>1049</v>
      </c>
      <c r="D2724" s="42" t="s">
        <v>691</v>
      </c>
      <c r="E2724" s="42" t="s">
        <v>762</v>
      </c>
      <c r="F2724" s="45">
        <v>-57000000</v>
      </c>
      <c r="G2724" s="42" t="s">
        <v>763</v>
      </c>
      <c r="H2724" s="42" t="s">
        <v>129</v>
      </c>
      <c r="I2724" s="42" t="s">
        <v>893</v>
      </c>
    </row>
    <row r="2725" spans="1:9">
      <c r="A2725" s="42" t="s">
        <v>897</v>
      </c>
      <c r="B2725" s="42" t="s">
        <v>361</v>
      </c>
      <c r="C2725" s="42" t="s">
        <v>1029</v>
      </c>
      <c r="D2725" s="42" t="s">
        <v>691</v>
      </c>
      <c r="E2725" s="42" t="s">
        <v>762</v>
      </c>
      <c r="F2725" s="45">
        <v>-21000000</v>
      </c>
      <c r="G2725" s="42" t="s">
        <v>763</v>
      </c>
      <c r="H2725" s="42" t="s">
        <v>129</v>
      </c>
      <c r="I2725" s="42" t="s">
        <v>861</v>
      </c>
    </row>
    <row r="2726" spans="1:9">
      <c r="A2726" s="42" t="s">
        <v>897</v>
      </c>
      <c r="B2726" s="42" t="s">
        <v>362</v>
      </c>
      <c r="C2726" s="42" t="s">
        <v>1050</v>
      </c>
      <c r="D2726" s="42" t="s">
        <v>691</v>
      </c>
      <c r="E2726" s="42" t="s">
        <v>762</v>
      </c>
      <c r="F2726" s="45">
        <v>-58381837.87083729</v>
      </c>
      <c r="G2726" s="42" t="s">
        <v>763</v>
      </c>
      <c r="H2726" s="42" t="s">
        <v>108</v>
      </c>
      <c r="I2726" s="42" t="s">
        <v>870</v>
      </c>
    </row>
    <row r="2727" spans="1:9">
      <c r="A2727" s="42" t="s">
        <v>897</v>
      </c>
      <c r="B2727" s="42" t="s">
        <v>363</v>
      </c>
      <c r="C2727" s="42" t="s">
        <v>1006</v>
      </c>
      <c r="D2727" s="42" t="s">
        <v>691</v>
      </c>
      <c r="E2727" s="42" t="s">
        <v>762</v>
      </c>
      <c r="F2727" s="45">
        <v>-21400010.49365346</v>
      </c>
      <c r="G2727" s="42" t="s">
        <v>763</v>
      </c>
      <c r="H2727" s="42" t="s">
        <v>108</v>
      </c>
      <c r="I2727" s="42" t="s">
        <v>864</v>
      </c>
    </row>
    <row r="2728" spans="1:9">
      <c r="A2728" s="42" t="s">
        <v>897</v>
      </c>
      <c r="B2728" s="42" t="s">
        <v>364</v>
      </c>
      <c r="C2728" s="42" t="s">
        <v>1051</v>
      </c>
      <c r="D2728" s="42" t="s">
        <v>691</v>
      </c>
      <c r="E2728" s="42" t="s">
        <v>762</v>
      </c>
      <c r="F2728" s="45">
        <v>-21000000</v>
      </c>
      <c r="G2728" s="42" t="s">
        <v>763</v>
      </c>
      <c r="H2728" s="42" t="s">
        <v>129</v>
      </c>
      <c r="I2728" s="42" t="s">
        <v>861</v>
      </c>
    </row>
    <row r="2729" spans="1:9">
      <c r="A2729" s="42" t="s">
        <v>897</v>
      </c>
      <c r="B2729" s="42" t="s">
        <v>368</v>
      </c>
      <c r="C2729" s="42" t="s">
        <v>1031</v>
      </c>
      <c r="D2729" s="42" t="s">
        <v>691</v>
      </c>
      <c r="E2729" s="42" t="s">
        <v>762</v>
      </c>
      <c r="F2729" s="45">
        <v>-21000000</v>
      </c>
      <c r="G2729" s="42" t="s">
        <v>763</v>
      </c>
      <c r="H2729" s="42" t="s">
        <v>119</v>
      </c>
      <c r="I2729" s="42" t="s">
        <v>854</v>
      </c>
    </row>
    <row r="2730" spans="1:9">
      <c r="A2730" s="42" t="s">
        <v>897</v>
      </c>
      <c r="B2730" s="42" t="s">
        <v>324</v>
      </c>
      <c r="C2730" s="42" t="s">
        <v>1008</v>
      </c>
      <c r="D2730" s="42" t="s">
        <v>691</v>
      </c>
      <c r="E2730" s="42" t="s">
        <v>762</v>
      </c>
      <c r="F2730" s="45">
        <v>-15000000</v>
      </c>
      <c r="G2730" s="42" t="s">
        <v>763</v>
      </c>
      <c r="H2730" s="42" t="s">
        <v>129</v>
      </c>
      <c r="I2730" s="42" t="s">
        <v>893</v>
      </c>
    </row>
    <row r="2731" spans="1:9">
      <c r="A2731" s="42" t="s">
        <v>897</v>
      </c>
      <c r="B2731" s="42" t="s">
        <v>293</v>
      </c>
      <c r="C2731" s="42" t="s">
        <v>912</v>
      </c>
      <c r="D2731" s="42" t="s">
        <v>691</v>
      </c>
      <c r="E2731" s="42" t="s">
        <v>762</v>
      </c>
      <c r="F2731" s="45">
        <v>117000000</v>
      </c>
      <c r="G2731" s="42" t="s">
        <v>763</v>
      </c>
      <c r="H2731" s="42" t="s">
        <v>129</v>
      </c>
      <c r="I2731" s="42" t="s">
        <v>893</v>
      </c>
    </row>
    <row r="2732" spans="1:9">
      <c r="A2732" s="42" t="s">
        <v>897</v>
      </c>
      <c r="B2732" s="42" t="s">
        <v>369</v>
      </c>
      <c r="C2732" s="42" t="s">
        <v>970</v>
      </c>
      <c r="D2732" s="42" t="s">
        <v>691</v>
      </c>
      <c r="E2732" s="42" t="s">
        <v>762</v>
      </c>
      <c r="F2732" s="45">
        <v>-81000000</v>
      </c>
      <c r="G2732" s="42" t="s">
        <v>763</v>
      </c>
      <c r="H2732" s="42" t="s">
        <v>119</v>
      </c>
      <c r="I2732" s="42" t="s">
        <v>886</v>
      </c>
    </row>
    <row r="2733" spans="1:9">
      <c r="A2733" s="42" t="s">
        <v>897</v>
      </c>
      <c r="B2733" s="42" t="s">
        <v>292</v>
      </c>
      <c r="C2733" s="42" t="s">
        <v>913</v>
      </c>
      <c r="D2733" s="42" t="s">
        <v>691</v>
      </c>
      <c r="E2733" s="42" t="s">
        <v>762</v>
      </c>
      <c r="F2733" s="45">
        <v>-241000000</v>
      </c>
      <c r="G2733" s="42" t="s">
        <v>763</v>
      </c>
      <c r="H2733" s="42" t="s">
        <v>129</v>
      </c>
      <c r="I2733" s="42" t="s">
        <v>893</v>
      </c>
    </row>
    <row r="2734" spans="1:9">
      <c r="A2734" s="42" t="s">
        <v>897</v>
      </c>
      <c r="B2734" s="42" t="s">
        <v>241</v>
      </c>
      <c r="C2734" s="42" t="s">
        <v>914</v>
      </c>
      <c r="D2734" s="42" t="s">
        <v>691</v>
      </c>
      <c r="E2734" s="42" t="s">
        <v>762</v>
      </c>
      <c r="F2734" s="45">
        <v>-303000000</v>
      </c>
      <c r="G2734" s="42" t="s">
        <v>763</v>
      </c>
      <c r="H2734" s="42" t="s">
        <v>129</v>
      </c>
      <c r="I2734" s="42" t="s">
        <v>893</v>
      </c>
    </row>
    <row r="2735" spans="1:9">
      <c r="A2735" s="42" t="s">
        <v>897</v>
      </c>
      <c r="B2735" s="42" t="s">
        <v>310</v>
      </c>
      <c r="C2735" s="42" t="s">
        <v>915</v>
      </c>
      <c r="D2735" s="42" t="s">
        <v>691</v>
      </c>
      <c r="E2735" s="42" t="s">
        <v>762</v>
      </c>
      <c r="F2735" s="45">
        <v>-91000000</v>
      </c>
      <c r="G2735" s="42" t="s">
        <v>763</v>
      </c>
      <c r="H2735" s="42" t="s">
        <v>129</v>
      </c>
      <c r="I2735" s="42" t="s">
        <v>893</v>
      </c>
    </row>
    <row r="2736" spans="1:9">
      <c r="A2736" s="42" t="s">
        <v>897</v>
      </c>
      <c r="B2736" s="42" t="s">
        <v>305</v>
      </c>
      <c r="C2736" s="42" t="s">
        <v>916</v>
      </c>
      <c r="D2736" s="42" t="s">
        <v>691</v>
      </c>
      <c r="E2736" s="42" t="s">
        <v>762</v>
      </c>
      <c r="F2736" s="45">
        <v>-33000000</v>
      </c>
      <c r="G2736" s="42" t="s">
        <v>763</v>
      </c>
      <c r="H2736" s="42" t="s">
        <v>129</v>
      </c>
      <c r="I2736" s="42" t="s">
        <v>893</v>
      </c>
    </row>
    <row r="2737" spans="1:9">
      <c r="A2737" s="42" t="s">
        <v>897</v>
      </c>
      <c r="B2737" s="42" t="s">
        <v>306</v>
      </c>
      <c r="C2737" s="42" t="s">
        <v>917</v>
      </c>
      <c r="D2737" s="42" t="s">
        <v>691</v>
      </c>
      <c r="E2737" s="42" t="s">
        <v>762</v>
      </c>
      <c r="F2737" s="45">
        <v>10000000</v>
      </c>
      <c r="G2737" s="42" t="s">
        <v>763</v>
      </c>
      <c r="H2737" s="42" t="s">
        <v>129</v>
      </c>
      <c r="I2737" s="42" t="s">
        <v>893</v>
      </c>
    </row>
    <row r="2738" spans="1:9">
      <c r="A2738" s="42" t="s">
        <v>897</v>
      </c>
      <c r="B2738" s="42" t="s">
        <v>309</v>
      </c>
      <c r="C2738" s="42" t="s">
        <v>918</v>
      </c>
      <c r="D2738" s="42" t="s">
        <v>691</v>
      </c>
      <c r="E2738" s="42" t="s">
        <v>762</v>
      </c>
      <c r="F2738" s="45">
        <v>-92000000</v>
      </c>
      <c r="G2738" s="42" t="s">
        <v>763</v>
      </c>
      <c r="H2738" s="42" t="s">
        <v>129</v>
      </c>
      <c r="I2738" s="42" t="s">
        <v>893</v>
      </c>
    </row>
    <row r="2739" spans="1:9">
      <c r="A2739" s="42" t="s">
        <v>897</v>
      </c>
      <c r="B2739" s="42" t="s">
        <v>325</v>
      </c>
      <c r="C2739" s="42" t="s">
        <v>919</v>
      </c>
      <c r="D2739" s="42" t="s">
        <v>691</v>
      </c>
      <c r="E2739" s="42" t="s">
        <v>762</v>
      </c>
      <c r="F2739" s="45">
        <v>-81000000</v>
      </c>
      <c r="G2739" s="42" t="s">
        <v>763</v>
      </c>
      <c r="H2739" s="42" t="s">
        <v>129</v>
      </c>
      <c r="I2739" s="42" t="s">
        <v>893</v>
      </c>
    </row>
    <row r="2740" spans="1:9">
      <c r="A2740" s="42" t="s">
        <v>897</v>
      </c>
      <c r="B2740" s="42" t="s">
        <v>242</v>
      </c>
      <c r="C2740" s="42" t="s">
        <v>920</v>
      </c>
      <c r="D2740" s="42" t="s">
        <v>691</v>
      </c>
      <c r="E2740" s="42" t="s">
        <v>762</v>
      </c>
      <c r="F2740" s="45">
        <v>-6000000</v>
      </c>
      <c r="G2740" s="42" t="s">
        <v>763</v>
      </c>
      <c r="H2740" s="42" t="s">
        <v>129</v>
      </c>
      <c r="I2740" s="42" t="s">
        <v>893</v>
      </c>
    </row>
    <row r="2741" spans="1:9">
      <c r="A2741" s="42" t="s">
        <v>897</v>
      </c>
      <c r="B2741" s="42" t="s">
        <v>302</v>
      </c>
      <c r="C2741" s="42" t="s">
        <v>921</v>
      </c>
      <c r="D2741" s="42" t="s">
        <v>691</v>
      </c>
      <c r="E2741" s="42" t="s">
        <v>762</v>
      </c>
      <c r="F2741" s="45">
        <v>56000000</v>
      </c>
      <c r="G2741" s="42" t="s">
        <v>763</v>
      </c>
      <c r="H2741" s="42" t="s">
        <v>129</v>
      </c>
      <c r="I2741" s="42" t="s">
        <v>893</v>
      </c>
    </row>
    <row r="2742" spans="1:9">
      <c r="A2742" s="42" t="s">
        <v>897</v>
      </c>
      <c r="B2742" s="42" t="s">
        <v>326</v>
      </c>
      <c r="C2742" s="42" t="s">
        <v>922</v>
      </c>
      <c r="D2742" s="42" t="s">
        <v>691</v>
      </c>
      <c r="E2742" s="42" t="s">
        <v>762</v>
      </c>
      <c r="F2742" s="45">
        <v>56000000</v>
      </c>
      <c r="G2742" s="42" t="s">
        <v>763</v>
      </c>
      <c r="H2742" s="42" t="s">
        <v>129</v>
      </c>
      <c r="I2742" s="42" t="s">
        <v>893</v>
      </c>
    </row>
    <row r="2743" spans="1:9">
      <c r="A2743" s="42" t="s">
        <v>897</v>
      </c>
      <c r="B2743" s="42" t="s">
        <v>327</v>
      </c>
      <c r="C2743" s="42" t="s">
        <v>1009</v>
      </c>
      <c r="D2743" s="42" t="s">
        <v>691</v>
      </c>
      <c r="E2743" s="42" t="s">
        <v>762</v>
      </c>
      <c r="F2743" s="45">
        <v>19000000</v>
      </c>
      <c r="G2743" s="42" t="s">
        <v>763</v>
      </c>
      <c r="H2743" s="42" t="s">
        <v>129</v>
      </c>
      <c r="I2743" s="42" t="s">
        <v>893</v>
      </c>
    </row>
    <row r="2744" spans="1:9">
      <c r="A2744" s="42" t="s">
        <v>897</v>
      </c>
      <c r="B2744" s="42" t="s">
        <v>328</v>
      </c>
      <c r="C2744" s="42" t="s">
        <v>924</v>
      </c>
      <c r="D2744" s="42" t="s">
        <v>691</v>
      </c>
      <c r="E2744" s="42" t="s">
        <v>762</v>
      </c>
      <c r="F2744" s="45">
        <v>-5000000</v>
      </c>
      <c r="G2744" s="42" t="s">
        <v>763</v>
      </c>
      <c r="H2744" s="42" t="s">
        <v>129</v>
      </c>
      <c r="I2744" s="42" t="s">
        <v>893</v>
      </c>
    </row>
    <row r="2745" spans="1:9">
      <c r="A2745" s="42" t="s">
        <v>897</v>
      </c>
      <c r="B2745" s="42" t="s">
        <v>329</v>
      </c>
      <c r="C2745" s="42" t="s">
        <v>925</v>
      </c>
      <c r="D2745" s="42" t="s">
        <v>691</v>
      </c>
      <c r="E2745" s="42" t="s">
        <v>762</v>
      </c>
      <c r="F2745" s="45">
        <v>4201000000</v>
      </c>
      <c r="G2745" s="42" t="s">
        <v>763</v>
      </c>
      <c r="H2745" s="42" t="s">
        <v>129</v>
      </c>
      <c r="I2745" s="42" t="s">
        <v>893</v>
      </c>
    </row>
    <row r="2746" spans="1:9">
      <c r="A2746" s="42" t="s">
        <v>897</v>
      </c>
      <c r="B2746" s="42" t="s">
        <v>372</v>
      </c>
      <c r="C2746" s="42" t="s">
        <v>926</v>
      </c>
      <c r="D2746" s="42" t="s">
        <v>691</v>
      </c>
      <c r="E2746" s="42" t="s">
        <v>762</v>
      </c>
      <c r="F2746" s="45">
        <v>406000000</v>
      </c>
      <c r="G2746" s="42" t="s">
        <v>763</v>
      </c>
      <c r="H2746" s="42" t="s">
        <v>129</v>
      </c>
      <c r="I2746" s="42" t="s">
        <v>896</v>
      </c>
    </row>
    <row r="2747" spans="1:9">
      <c r="A2747" s="42" t="s">
        <v>897</v>
      </c>
      <c r="B2747" s="42" t="s">
        <v>373</v>
      </c>
      <c r="C2747" s="42" t="s">
        <v>1032</v>
      </c>
      <c r="D2747" s="42" t="s">
        <v>691</v>
      </c>
      <c r="E2747" s="42" t="s">
        <v>762</v>
      </c>
      <c r="F2747" s="45">
        <v>-594000000</v>
      </c>
      <c r="G2747" s="42" t="s">
        <v>763</v>
      </c>
      <c r="H2747" s="42" t="s">
        <v>129</v>
      </c>
      <c r="I2747" s="42" t="s">
        <v>896</v>
      </c>
    </row>
    <row r="2748" spans="1:9">
      <c r="A2748" s="42" t="s">
        <v>897</v>
      </c>
      <c r="B2748" s="42" t="s">
        <v>375</v>
      </c>
      <c r="C2748" s="42" t="s">
        <v>1033</v>
      </c>
      <c r="D2748" s="42" t="s">
        <v>691</v>
      </c>
      <c r="E2748" s="42" t="s">
        <v>762</v>
      </c>
      <c r="F2748" s="45">
        <v>48000000</v>
      </c>
      <c r="G2748" s="42" t="s">
        <v>763</v>
      </c>
      <c r="H2748" s="42" t="s">
        <v>119</v>
      </c>
      <c r="I2748" s="42" t="s">
        <v>891</v>
      </c>
    </row>
    <row r="2749" spans="1:9">
      <c r="A2749" s="42" t="s">
        <v>897</v>
      </c>
      <c r="B2749" s="42" t="s">
        <v>330</v>
      </c>
      <c r="C2749" s="42" t="s">
        <v>927</v>
      </c>
      <c r="D2749" s="42" t="s">
        <v>691</v>
      </c>
      <c r="E2749" s="42" t="s">
        <v>762</v>
      </c>
      <c r="F2749" s="45">
        <v>-2448000000</v>
      </c>
      <c r="G2749" s="42" t="s">
        <v>763</v>
      </c>
      <c r="H2749" s="42" t="s">
        <v>129</v>
      </c>
      <c r="I2749" s="42" t="s">
        <v>893</v>
      </c>
    </row>
    <row r="2750" spans="1:9">
      <c r="A2750" s="42" t="s">
        <v>897</v>
      </c>
      <c r="B2750" s="42" t="s">
        <v>382</v>
      </c>
      <c r="C2750" s="42" t="s">
        <v>1052</v>
      </c>
      <c r="D2750" s="42" t="s">
        <v>691</v>
      </c>
      <c r="E2750" s="42" t="s">
        <v>762</v>
      </c>
      <c r="F2750" s="45">
        <v>41000000</v>
      </c>
      <c r="G2750" s="42" t="s">
        <v>763</v>
      </c>
      <c r="H2750" s="42" t="s">
        <v>129</v>
      </c>
      <c r="I2750" s="42" t="s">
        <v>861</v>
      </c>
    </row>
    <row r="2751" spans="1:9">
      <c r="A2751" s="42" t="s">
        <v>897</v>
      </c>
      <c r="B2751" s="42" t="s">
        <v>383</v>
      </c>
      <c r="C2751" s="42" t="s">
        <v>1053</v>
      </c>
      <c r="D2751" s="42" t="s">
        <v>691</v>
      </c>
      <c r="E2751" s="42" t="s">
        <v>762</v>
      </c>
      <c r="F2751" s="45">
        <v>48000000</v>
      </c>
      <c r="G2751" s="42" t="s">
        <v>763</v>
      </c>
      <c r="H2751" s="42" t="s">
        <v>129</v>
      </c>
      <c r="I2751" s="42" t="s">
        <v>861</v>
      </c>
    </row>
    <row r="2752" spans="1:9">
      <c r="A2752" s="42" t="s">
        <v>897</v>
      </c>
      <c r="B2752" s="42" t="s">
        <v>384</v>
      </c>
      <c r="C2752" s="42" t="s">
        <v>1012</v>
      </c>
      <c r="D2752" s="42" t="s">
        <v>691</v>
      </c>
      <c r="E2752" s="42" t="s">
        <v>762</v>
      </c>
      <c r="F2752" s="45">
        <v>47345155.9594103</v>
      </c>
      <c r="G2752" s="42" t="s">
        <v>763</v>
      </c>
      <c r="H2752" s="42" t="s">
        <v>108</v>
      </c>
      <c r="I2752" s="42" t="s">
        <v>822</v>
      </c>
    </row>
    <row r="2753" spans="1:9">
      <c r="A2753" s="42" t="s">
        <v>897</v>
      </c>
      <c r="B2753" s="42" t="s">
        <v>334</v>
      </c>
      <c r="C2753" s="42" t="s">
        <v>933</v>
      </c>
      <c r="D2753" s="42" t="s">
        <v>691</v>
      </c>
      <c r="E2753" s="42" t="s">
        <v>762</v>
      </c>
      <c r="F2753" s="45">
        <v>41000000</v>
      </c>
      <c r="G2753" s="42" t="s">
        <v>763</v>
      </c>
      <c r="H2753" s="42" t="s">
        <v>119</v>
      </c>
      <c r="I2753" s="42" t="s">
        <v>893</v>
      </c>
    </row>
    <row r="2754" spans="1:9">
      <c r="A2754" s="42" t="s">
        <v>897</v>
      </c>
      <c r="B2754" s="42" t="s">
        <v>336</v>
      </c>
      <c r="C2754" s="42" t="s">
        <v>938</v>
      </c>
      <c r="D2754" s="42" t="s">
        <v>691</v>
      </c>
      <c r="E2754" s="42" t="s">
        <v>762</v>
      </c>
      <c r="F2754" s="45">
        <v>-2547000000</v>
      </c>
      <c r="G2754" s="42" t="s">
        <v>763</v>
      </c>
      <c r="H2754" s="42" t="s">
        <v>129</v>
      </c>
      <c r="I2754" s="42" t="s">
        <v>893</v>
      </c>
    </row>
    <row r="2755" spans="1:9">
      <c r="A2755" s="42" t="s">
        <v>897</v>
      </c>
      <c r="B2755" s="42" t="s">
        <v>936</v>
      </c>
      <c r="C2755" s="42" t="s">
        <v>997</v>
      </c>
      <c r="D2755" s="42" t="s">
        <v>691</v>
      </c>
      <c r="E2755" s="42" t="s">
        <v>762</v>
      </c>
      <c r="F2755" s="45">
        <v>-615000000</v>
      </c>
      <c r="G2755" s="42" t="s">
        <v>763</v>
      </c>
      <c r="H2755" s="42" t="s">
        <v>129</v>
      </c>
      <c r="I2755" s="42" t="s">
        <v>861</v>
      </c>
    </row>
    <row r="2756" spans="1:9">
      <c r="A2756" s="42" t="s">
        <v>897</v>
      </c>
      <c r="B2756" s="42" t="s">
        <v>337</v>
      </c>
      <c r="C2756" s="42" t="s">
        <v>991</v>
      </c>
      <c r="D2756" s="42" t="s">
        <v>691</v>
      </c>
      <c r="E2756" s="42" t="s">
        <v>762</v>
      </c>
      <c r="F2756" s="45">
        <v>-1653000000</v>
      </c>
      <c r="G2756" s="42" t="s">
        <v>763</v>
      </c>
      <c r="H2756" s="42" t="s">
        <v>129</v>
      </c>
      <c r="I2756" s="42" t="s">
        <v>893</v>
      </c>
    </row>
    <row r="2757" spans="1:9">
      <c r="A2757" s="42" t="s">
        <v>897</v>
      </c>
      <c r="B2757" s="42" t="s">
        <v>338</v>
      </c>
      <c r="C2757" s="42" t="s">
        <v>972</v>
      </c>
      <c r="D2757" s="42" t="s">
        <v>691</v>
      </c>
      <c r="E2757" s="42" t="s">
        <v>762</v>
      </c>
      <c r="F2757" s="45">
        <v>-615000000</v>
      </c>
      <c r="G2757" s="42" t="s">
        <v>763</v>
      </c>
      <c r="H2757" s="42" t="s">
        <v>119</v>
      </c>
      <c r="I2757" s="42" t="s">
        <v>893</v>
      </c>
    </row>
    <row r="2758" spans="1:9">
      <c r="A2758" s="42" t="s">
        <v>897</v>
      </c>
      <c r="B2758" s="42" t="s">
        <v>939</v>
      </c>
      <c r="C2758" s="42" t="s">
        <v>973</v>
      </c>
      <c r="D2758" s="42" t="s">
        <v>691</v>
      </c>
      <c r="E2758" s="42" t="s">
        <v>762</v>
      </c>
      <c r="F2758" s="45">
        <v>963000000</v>
      </c>
      <c r="G2758" s="42" t="s">
        <v>763</v>
      </c>
      <c r="H2758" s="42" t="s">
        <v>129</v>
      </c>
      <c r="I2758" s="42" t="s">
        <v>893</v>
      </c>
    </row>
    <row r="2759" spans="1:9">
      <c r="A2759" s="42" t="s">
        <v>897</v>
      </c>
      <c r="B2759" s="42" t="s">
        <v>340</v>
      </c>
      <c r="C2759" s="42" t="s">
        <v>1034</v>
      </c>
      <c r="D2759" s="42" t="s">
        <v>691</v>
      </c>
      <c r="E2759" s="42" t="s">
        <v>762</v>
      </c>
      <c r="F2759" s="45">
        <v>8000000</v>
      </c>
      <c r="G2759" s="42" t="s">
        <v>763</v>
      </c>
      <c r="H2759" s="42" t="s">
        <v>129</v>
      </c>
      <c r="I2759" s="42" t="s">
        <v>893</v>
      </c>
    </row>
    <row r="2760" spans="1:9">
      <c r="A2760" s="42" t="s">
        <v>897</v>
      </c>
      <c r="B2760" s="42" t="s">
        <v>391</v>
      </c>
      <c r="C2760" s="42" t="s">
        <v>1054</v>
      </c>
      <c r="D2760" s="42" t="s">
        <v>691</v>
      </c>
      <c r="E2760" s="42" t="s">
        <v>762</v>
      </c>
      <c r="F2760" s="45">
        <v>-1000000</v>
      </c>
      <c r="G2760" s="42" t="s">
        <v>763</v>
      </c>
      <c r="H2760" s="42" t="s">
        <v>129</v>
      </c>
      <c r="I2760" s="42" t="s">
        <v>861</v>
      </c>
    </row>
    <row r="2761" spans="1:9">
      <c r="A2761" s="42" t="s">
        <v>897</v>
      </c>
      <c r="B2761" s="42" t="s">
        <v>342</v>
      </c>
      <c r="C2761" s="42" t="s">
        <v>1014</v>
      </c>
      <c r="D2761" s="42" t="s">
        <v>691</v>
      </c>
      <c r="E2761" s="42" t="s">
        <v>762</v>
      </c>
      <c r="F2761" s="45">
        <v>-302000000</v>
      </c>
      <c r="G2761" s="42" t="s">
        <v>763</v>
      </c>
      <c r="H2761" s="42" t="s">
        <v>129</v>
      </c>
      <c r="I2761" s="42" t="s">
        <v>893</v>
      </c>
    </row>
    <row r="2762" spans="1:9">
      <c r="A2762" s="42" t="s">
        <v>897</v>
      </c>
      <c r="B2762" s="42" t="s">
        <v>392</v>
      </c>
      <c r="C2762" s="42" t="s">
        <v>1015</v>
      </c>
      <c r="D2762" s="42" t="s">
        <v>691</v>
      </c>
      <c r="E2762" s="42" t="s">
        <v>762</v>
      </c>
      <c r="F2762" s="45">
        <v>28375530.13833991</v>
      </c>
      <c r="G2762" s="42" t="s">
        <v>763</v>
      </c>
      <c r="H2762" s="42" t="s">
        <v>108</v>
      </c>
      <c r="I2762" s="42" t="s">
        <v>864</v>
      </c>
    </row>
    <row r="2763" spans="1:9">
      <c r="A2763" s="42" t="s">
        <v>897</v>
      </c>
      <c r="B2763" s="42" t="s">
        <v>343</v>
      </c>
      <c r="C2763" s="42" t="s">
        <v>1016</v>
      </c>
      <c r="D2763" s="42" t="s">
        <v>691</v>
      </c>
      <c r="E2763" s="42" t="s">
        <v>762</v>
      </c>
      <c r="F2763" s="45">
        <v>-1000000</v>
      </c>
      <c r="G2763" s="42" t="s">
        <v>763</v>
      </c>
      <c r="H2763" s="42" t="s">
        <v>119</v>
      </c>
      <c r="I2763" s="42" t="s">
        <v>893</v>
      </c>
    </row>
    <row r="2764" spans="1:9">
      <c r="A2764" s="42" t="s">
        <v>897</v>
      </c>
      <c r="B2764" s="42" t="s">
        <v>344</v>
      </c>
      <c r="C2764" s="42" t="s">
        <v>980</v>
      </c>
      <c r="D2764" s="42" t="s">
        <v>691</v>
      </c>
      <c r="E2764" s="42" t="s">
        <v>762</v>
      </c>
      <c r="F2764" s="45">
        <v>-1600000000</v>
      </c>
      <c r="G2764" s="42" t="s">
        <v>763</v>
      </c>
      <c r="H2764" s="42" t="s">
        <v>129</v>
      </c>
      <c r="I2764" s="42" t="s">
        <v>893</v>
      </c>
    </row>
    <row r="2765" spans="1:9">
      <c r="A2765" s="42" t="s">
        <v>897</v>
      </c>
      <c r="B2765" s="42" t="s">
        <v>345</v>
      </c>
      <c r="C2765" s="42" t="s">
        <v>1035</v>
      </c>
      <c r="D2765" s="42" t="s">
        <v>691</v>
      </c>
      <c r="E2765" s="42" t="s">
        <v>762</v>
      </c>
      <c r="F2765" s="45">
        <v>-93000000</v>
      </c>
      <c r="G2765" s="42" t="s">
        <v>763</v>
      </c>
      <c r="H2765" s="42" t="s">
        <v>129</v>
      </c>
      <c r="I2765" s="42" t="s">
        <v>893</v>
      </c>
    </row>
    <row r="2766" spans="1:9">
      <c r="A2766" s="42" t="s">
        <v>897</v>
      </c>
      <c r="B2766" s="42" t="s">
        <v>346</v>
      </c>
      <c r="C2766" s="42" t="s">
        <v>956</v>
      </c>
      <c r="D2766" s="42" t="s">
        <v>691</v>
      </c>
      <c r="E2766" s="42" t="s">
        <v>762</v>
      </c>
      <c r="F2766" s="45">
        <v>-39000000</v>
      </c>
      <c r="G2766" s="42" t="s">
        <v>763</v>
      </c>
      <c r="H2766" s="42" t="s">
        <v>129</v>
      </c>
      <c r="I2766" s="42" t="s">
        <v>893</v>
      </c>
    </row>
    <row r="2767" spans="1:9">
      <c r="A2767" s="42" t="s">
        <v>897</v>
      </c>
      <c r="B2767" s="42" t="s">
        <v>347</v>
      </c>
      <c r="C2767" s="42" t="s">
        <v>981</v>
      </c>
      <c r="D2767" s="42" t="s">
        <v>691</v>
      </c>
      <c r="E2767" s="42" t="s">
        <v>762</v>
      </c>
      <c r="F2767" s="45">
        <v>650000000</v>
      </c>
      <c r="G2767" s="42" t="s">
        <v>763</v>
      </c>
      <c r="H2767" s="42" t="s">
        <v>129</v>
      </c>
      <c r="I2767" s="42" t="s">
        <v>893</v>
      </c>
    </row>
    <row r="2768" spans="1:9">
      <c r="A2768" s="42" t="s">
        <v>897</v>
      </c>
      <c r="B2768" s="42" t="s">
        <v>348</v>
      </c>
      <c r="C2768" s="42" t="s">
        <v>982</v>
      </c>
      <c r="D2768" s="42" t="s">
        <v>691</v>
      </c>
      <c r="E2768" s="42" t="s">
        <v>762</v>
      </c>
      <c r="F2768" s="45">
        <v>611000000</v>
      </c>
      <c r="G2768" s="42" t="s">
        <v>763</v>
      </c>
      <c r="H2768" s="42" t="s">
        <v>129</v>
      </c>
      <c r="I2768" s="42" t="s">
        <v>893</v>
      </c>
    </row>
    <row r="2769" spans="1:9">
      <c r="A2769" s="42" t="s">
        <v>897</v>
      </c>
      <c r="B2769" s="42" t="s">
        <v>346</v>
      </c>
      <c r="C2769" s="42" t="s">
        <v>961</v>
      </c>
      <c r="D2769" s="42" t="s">
        <v>691</v>
      </c>
      <c r="E2769" s="42" t="s">
        <v>762</v>
      </c>
      <c r="F2769" s="45">
        <v>-39000000</v>
      </c>
      <c r="G2769" s="42" t="s">
        <v>763</v>
      </c>
      <c r="H2769" s="42" t="s">
        <v>129</v>
      </c>
      <c r="I2769" s="42" t="s">
        <v>893</v>
      </c>
    </row>
    <row r="2770" spans="1:9">
      <c r="A2770" s="42" t="s">
        <v>897</v>
      </c>
      <c r="B2770" s="42" t="s">
        <v>396</v>
      </c>
      <c r="C2770" s="42" t="s">
        <v>1055</v>
      </c>
      <c r="D2770" s="42" t="s">
        <v>691</v>
      </c>
      <c r="E2770" s="42" t="s">
        <v>762</v>
      </c>
      <c r="F2770" s="45">
        <v>382664592.7554916</v>
      </c>
      <c r="G2770" s="42" t="s">
        <v>763</v>
      </c>
      <c r="H2770" s="42" t="s">
        <v>127</v>
      </c>
      <c r="I2770" s="42" t="s">
        <v>884</v>
      </c>
    </row>
    <row r="2771" spans="1:9">
      <c r="A2771" s="42" t="s">
        <v>897</v>
      </c>
      <c r="B2771" s="42" t="s">
        <v>398</v>
      </c>
      <c r="C2771" s="42" t="s">
        <v>1056</v>
      </c>
      <c r="D2771" s="42" t="s">
        <v>691</v>
      </c>
      <c r="E2771" s="42" t="s">
        <v>762</v>
      </c>
      <c r="F2771" s="45">
        <v>35235317.17957003</v>
      </c>
      <c r="G2771" s="42" t="s">
        <v>763</v>
      </c>
      <c r="H2771" s="42" t="s">
        <v>127</v>
      </c>
      <c r="I2771" s="42" t="s">
        <v>884</v>
      </c>
    </row>
    <row r="2772" spans="1:9">
      <c r="A2772" s="42" t="s">
        <v>897</v>
      </c>
      <c r="B2772" s="42" t="s">
        <v>399</v>
      </c>
      <c r="C2772" s="42" t="s">
        <v>1057</v>
      </c>
      <c r="D2772" s="42" t="s">
        <v>691</v>
      </c>
      <c r="E2772" s="42" t="s">
        <v>762</v>
      </c>
      <c r="F2772" s="45">
        <v>291909189.3541864</v>
      </c>
      <c r="G2772" s="42" t="s">
        <v>763</v>
      </c>
      <c r="H2772" s="42" t="s">
        <v>127</v>
      </c>
      <c r="I2772" s="42" t="s">
        <v>884</v>
      </c>
    </row>
    <row r="2773" spans="1:9">
      <c r="A2773" s="42" t="s">
        <v>897</v>
      </c>
      <c r="B2773" s="42" t="s">
        <v>400</v>
      </c>
      <c r="C2773" s="42" t="s">
        <v>1058</v>
      </c>
      <c r="D2773" s="42" t="s">
        <v>691</v>
      </c>
      <c r="E2773" s="42" t="s">
        <v>762</v>
      </c>
      <c r="F2773" s="45">
        <v>43831093.27264518</v>
      </c>
      <c r="G2773" s="42" t="s">
        <v>763</v>
      </c>
      <c r="H2773" s="42" t="s">
        <v>127</v>
      </c>
      <c r="I2773" s="42" t="s">
        <v>884</v>
      </c>
    </row>
    <row r="2774" spans="1:9">
      <c r="A2774" s="42" t="s">
        <v>897</v>
      </c>
      <c r="B2774" s="42" t="s">
        <v>401</v>
      </c>
      <c r="C2774" s="42" t="s">
        <v>1059</v>
      </c>
      <c r="D2774" s="42" t="s">
        <v>691</v>
      </c>
      <c r="E2774" s="42" t="s">
        <v>762</v>
      </c>
      <c r="F2774" s="45">
        <v>10731568.684133</v>
      </c>
      <c r="G2774" s="42" t="s">
        <v>763</v>
      </c>
      <c r="H2774" s="42" t="s">
        <v>127</v>
      </c>
      <c r="I2774" s="42" t="s">
        <v>884</v>
      </c>
    </row>
    <row r="2775" spans="1:9">
      <c r="A2775" s="42" t="s">
        <v>897</v>
      </c>
      <c r="B2775" s="42" t="s">
        <v>349</v>
      </c>
      <c r="C2775" s="42" t="s">
        <v>898</v>
      </c>
      <c r="D2775" s="42" t="s">
        <v>163</v>
      </c>
      <c r="E2775" s="42" t="s">
        <v>808</v>
      </c>
      <c r="F2775" s="45">
        <v>-25383776.71391719</v>
      </c>
      <c r="G2775" s="42" t="s">
        <v>763</v>
      </c>
      <c r="H2775" s="42" t="s">
        <v>100</v>
      </c>
      <c r="I2775" s="42" t="s">
        <v>865</v>
      </c>
    </row>
    <row r="2776" spans="1:9">
      <c r="A2776" s="42" t="s">
        <v>897</v>
      </c>
      <c r="B2776" s="42" t="s">
        <v>350</v>
      </c>
      <c r="C2776" s="42" t="s">
        <v>1003</v>
      </c>
      <c r="D2776" s="42" t="s">
        <v>163</v>
      </c>
      <c r="E2776" s="42" t="s">
        <v>808</v>
      </c>
      <c r="F2776" s="45">
        <v>-25383776.71391719</v>
      </c>
      <c r="G2776" s="42" t="s">
        <v>763</v>
      </c>
      <c r="H2776" s="42" t="s">
        <v>110</v>
      </c>
      <c r="I2776" s="42" t="s">
        <v>854</v>
      </c>
    </row>
    <row r="2777" spans="1:9">
      <c r="A2777" s="42" t="s">
        <v>897</v>
      </c>
      <c r="B2777" s="42" t="s">
        <v>201</v>
      </c>
      <c r="C2777" s="42" t="s">
        <v>966</v>
      </c>
      <c r="D2777" s="42" t="s">
        <v>163</v>
      </c>
      <c r="E2777" s="42" t="s">
        <v>808</v>
      </c>
      <c r="F2777" s="45">
        <v>-57794126.24316882</v>
      </c>
      <c r="G2777" s="42" t="s">
        <v>763</v>
      </c>
      <c r="H2777" s="42" t="s">
        <v>110</v>
      </c>
      <c r="I2777" s="42" t="s">
        <v>893</v>
      </c>
    </row>
    <row r="2778" spans="1:9">
      <c r="A2778" s="42" t="s">
        <v>897</v>
      </c>
      <c r="B2778" s="42" t="s">
        <v>314</v>
      </c>
      <c r="C2778" s="42" t="s">
        <v>900</v>
      </c>
      <c r="D2778" s="42" t="s">
        <v>163</v>
      </c>
      <c r="E2778" s="42" t="s">
        <v>808</v>
      </c>
      <c r="F2778" s="45">
        <v>687689099.8930614</v>
      </c>
      <c r="G2778" s="42" t="s">
        <v>763</v>
      </c>
      <c r="H2778" s="42" t="s">
        <v>110</v>
      </c>
      <c r="I2778" s="42" t="s">
        <v>893</v>
      </c>
    </row>
    <row r="2779" spans="1:9">
      <c r="A2779" s="42" t="s">
        <v>897</v>
      </c>
      <c r="B2779" s="42" t="s">
        <v>315</v>
      </c>
      <c r="C2779" s="42" t="s">
        <v>901</v>
      </c>
      <c r="D2779" s="42" t="s">
        <v>163</v>
      </c>
      <c r="E2779" s="42" t="s">
        <v>808</v>
      </c>
      <c r="F2779" s="45">
        <v>11771203.97681429</v>
      </c>
      <c r="G2779" s="42" t="s">
        <v>763</v>
      </c>
      <c r="H2779" s="42" t="s">
        <v>110</v>
      </c>
      <c r="I2779" s="42" t="s">
        <v>893</v>
      </c>
    </row>
    <row r="2780" spans="1:9">
      <c r="A2780" s="42" t="s">
        <v>897</v>
      </c>
      <c r="B2780" s="42" t="s">
        <v>316</v>
      </c>
      <c r="C2780" s="42" t="s">
        <v>1004</v>
      </c>
      <c r="D2780" s="42" t="s">
        <v>163</v>
      </c>
      <c r="E2780" s="42" t="s">
        <v>808</v>
      </c>
      <c r="F2780" s="45">
        <v>47604465.98684782</v>
      </c>
      <c r="G2780" s="42" t="s">
        <v>763</v>
      </c>
      <c r="H2780" s="42" t="s">
        <v>110</v>
      </c>
      <c r="I2780" s="42" t="s">
        <v>893</v>
      </c>
    </row>
    <row r="2781" spans="1:9">
      <c r="A2781" s="42" t="s">
        <v>897</v>
      </c>
      <c r="B2781" s="42" t="s">
        <v>317</v>
      </c>
      <c r="C2781" s="42" t="s">
        <v>967</v>
      </c>
      <c r="D2781" s="42" t="s">
        <v>163</v>
      </c>
      <c r="E2781" s="42" t="s">
        <v>808</v>
      </c>
      <c r="F2781" s="45">
        <v>83245683.40225001</v>
      </c>
      <c r="G2781" s="42" t="s">
        <v>763</v>
      </c>
      <c r="H2781" s="42" t="s">
        <v>110</v>
      </c>
      <c r="I2781" s="42" t="s">
        <v>893</v>
      </c>
    </row>
    <row r="2782" spans="1:9">
      <c r="A2782" s="42" t="s">
        <v>897</v>
      </c>
      <c r="B2782" s="42" t="s">
        <v>318</v>
      </c>
      <c r="C2782" s="42" t="s">
        <v>904</v>
      </c>
      <c r="D2782" s="42" t="s">
        <v>163</v>
      </c>
      <c r="E2782" s="42" t="s">
        <v>808</v>
      </c>
      <c r="F2782" s="45">
        <v>112131449.7829738</v>
      </c>
      <c r="G2782" s="42" t="s">
        <v>763</v>
      </c>
      <c r="H2782" s="42" t="s">
        <v>110</v>
      </c>
      <c r="I2782" s="42" t="s">
        <v>893</v>
      </c>
    </row>
    <row r="2783" spans="1:9">
      <c r="A2783" s="42" t="s">
        <v>897</v>
      </c>
      <c r="B2783" s="42" t="s">
        <v>319</v>
      </c>
      <c r="C2783" s="42" t="s">
        <v>907</v>
      </c>
      <c r="D2783" s="42" t="s">
        <v>163</v>
      </c>
      <c r="E2783" s="42" t="s">
        <v>808</v>
      </c>
      <c r="F2783" s="45">
        <v>64651247.94559327</v>
      </c>
      <c r="G2783" s="42" t="s">
        <v>763</v>
      </c>
      <c r="H2783" s="42" t="s">
        <v>110</v>
      </c>
      <c r="I2783" s="42" t="s">
        <v>893</v>
      </c>
    </row>
    <row r="2784" spans="1:9">
      <c r="A2784" s="42" t="s">
        <v>897</v>
      </c>
      <c r="B2784" s="42" t="s">
        <v>357</v>
      </c>
      <c r="C2784" s="42" t="s">
        <v>908</v>
      </c>
      <c r="D2784" s="42" t="s">
        <v>163</v>
      </c>
      <c r="E2784" s="42" t="s">
        <v>808</v>
      </c>
      <c r="F2784" s="45">
        <v>43085769.6425813</v>
      </c>
      <c r="G2784" s="42" t="s">
        <v>763</v>
      </c>
      <c r="H2784" s="42" t="s">
        <v>110</v>
      </c>
      <c r="I2784" s="42" t="s">
        <v>864</v>
      </c>
    </row>
    <row r="2785" spans="1:9">
      <c r="A2785" s="42" t="s">
        <v>897</v>
      </c>
      <c r="B2785" s="42" t="s">
        <v>251</v>
      </c>
      <c r="C2785" s="42" t="s">
        <v>909</v>
      </c>
      <c r="D2785" s="42" t="s">
        <v>163</v>
      </c>
      <c r="E2785" s="42" t="s">
        <v>808</v>
      </c>
      <c r="F2785" s="45">
        <v>1344312.162419291</v>
      </c>
      <c r="G2785" s="42" t="s">
        <v>763</v>
      </c>
      <c r="H2785" s="42" t="s">
        <v>110</v>
      </c>
      <c r="I2785" s="42" t="s">
        <v>893</v>
      </c>
    </row>
    <row r="2786" spans="1:9">
      <c r="A2786" s="42" t="s">
        <v>897</v>
      </c>
      <c r="B2786" s="42" t="s">
        <v>361</v>
      </c>
      <c r="C2786" s="42" t="s">
        <v>1029</v>
      </c>
      <c r="D2786" s="42" t="s">
        <v>163</v>
      </c>
      <c r="E2786" s="42" t="s">
        <v>808</v>
      </c>
      <c r="F2786" s="45">
        <v>-20955454.296536</v>
      </c>
      <c r="G2786" s="42" t="s">
        <v>763</v>
      </c>
      <c r="H2786" s="42" t="s">
        <v>110</v>
      </c>
      <c r="I2786" s="42" t="s">
        <v>861</v>
      </c>
    </row>
    <row r="2787" spans="1:9">
      <c r="A2787" s="42" t="s">
        <v>897</v>
      </c>
      <c r="B2787" s="42" t="s">
        <v>293</v>
      </c>
      <c r="C2787" s="42" t="s">
        <v>912</v>
      </c>
      <c r="D2787" s="42" t="s">
        <v>163</v>
      </c>
      <c r="E2787" s="42" t="s">
        <v>808</v>
      </c>
      <c r="F2787" s="45">
        <v>20514881.40297001</v>
      </c>
      <c r="G2787" s="42" t="s">
        <v>763</v>
      </c>
      <c r="H2787" s="42" t="s">
        <v>110</v>
      </c>
      <c r="I2787" s="42" t="s">
        <v>893</v>
      </c>
    </row>
    <row r="2788" spans="1:9">
      <c r="A2788" s="42" t="s">
        <v>897</v>
      </c>
      <c r="B2788" s="42" t="s">
        <v>369</v>
      </c>
      <c r="C2788" s="42" t="s">
        <v>970</v>
      </c>
      <c r="D2788" s="42" t="s">
        <v>163</v>
      </c>
      <c r="E2788" s="42" t="s">
        <v>808</v>
      </c>
      <c r="F2788" s="45">
        <v>-20571365.10727334</v>
      </c>
      <c r="G2788" s="42" t="s">
        <v>763</v>
      </c>
      <c r="H2788" s="42" t="s">
        <v>110</v>
      </c>
      <c r="I2788" s="42" t="s">
        <v>886</v>
      </c>
    </row>
    <row r="2789" spans="1:9">
      <c r="A2789" s="42" t="s">
        <v>897</v>
      </c>
      <c r="B2789" s="42" t="s">
        <v>292</v>
      </c>
      <c r="C2789" s="42" t="s">
        <v>913</v>
      </c>
      <c r="D2789" s="42" t="s">
        <v>163</v>
      </c>
      <c r="E2789" s="42" t="s">
        <v>808</v>
      </c>
      <c r="F2789" s="45">
        <v>-93344969.7316857</v>
      </c>
      <c r="G2789" s="42" t="s">
        <v>763</v>
      </c>
      <c r="H2789" s="42" t="s">
        <v>110</v>
      </c>
      <c r="I2789" s="42" t="s">
        <v>893</v>
      </c>
    </row>
    <row r="2790" spans="1:9">
      <c r="A2790" s="42" t="s">
        <v>897</v>
      </c>
      <c r="B2790" s="42" t="s">
        <v>241</v>
      </c>
      <c r="C2790" s="42" t="s">
        <v>914</v>
      </c>
      <c r="D2790" s="42" t="s">
        <v>163</v>
      </c>
      <c r="E2790" s="42" t="s">
        <v>808</v>
      </c>
      <c r="F2790" s="45">
        <v>-25383776.71391719</v>
      </c>
      <c r="G2790" s="42" t="s">
        <v>763</v>
      </c>
      <c r="H2790" s="42" t="s">
        <v>110</v>
      </c>
      <c r="I2790" s="42" t="s">
        <v>893</v>
      </c>
    </row>
    <row r="2791" spans="1:9">
      <c r="A2791" s="42" t="s">
        <v>897</v>
      </c>
      <c r="B2791" s="42" t="s">
        <v>310</v>
      </c>
      <c r="C2791" s="42" t="s">
        <v>915</v>
      </c>
      <c r="D2791" s="42" t="s">
        <v>163</v>
      </c>
      <c r="E2791" s="42" t="s">
        <v>808</v>
      </c>
      <c r="F2791" s="45">
        <v>190688985.7280473</v>
      </c>
      <c r="G2791" s="42" t="s">
        <v>763</v>
      </c>
      <c r="H2791" s="42" t="s">
        <v>110</v>
      </c>
      <c r="I2791" s="42" t="s">
        <v>893</v>
      </c>
    </row>
    <row r="2792" spans="1:9">
      <c r="A2792" s="42" t="s">
        <v>897</v>
      </c>
      <c r="B2792" s="42" t="s">
        <v>305</v>
      </c>
      <c r="C2792" s="42" t="s">
        <v>916</v>
      </c>
      <c r="D2792" s="42" t="s">
        <v>163</v>
      </c>
      <c r="E2792" s="42" t="s">
        <v>808</v>
      </c>
      <c r="F2792" s="45">
        <v>91130808.5229951</v>
      </c>
      <c r="G2792" s="42" t="s">
        <v>763</v>
      </c>
      <c r="H2792" s="42" t="s">
        <v>110</v>
      </c>
      <c r="I2792" s="42" t="s">
        <v>893</v>
      </c>
    </row>
    <row r="2793" spans="1:9">
      <c r="A2793" s="42" t="s">
        <v>897</v>
      </c>
      <c r="B2793" s="42" t="s">
        <v>306</v>
      </c>
      <c r="C2793" s="42" t="s">
        <v>917</v>
      </c>
      <c r="D2793" s="42" t="s">
        <v>163</v>
      </c>
      <c r="E2793" s="42" t="s">
        <v>808</v>
      </c>
      <c r="F2793" s="45">
        <v>-27665718.36777179</v>
      </c>
      <c r="G2793" s="42" t="s">
        <v>763</v>
      </c>
      <c r="H2793" s="42" t="s">
        <v>110</v>
      </c>
      <c r="I2793" s="42" t="s">
        <v>893</v>
      </c>
    </row>
    <row r="2794" spans="1:9">
      <c r="A2794" s="42" t="s">
        <v>897</v>
      </c>
      <c r="B2794" s="42" t="s">
        <v>309</v>
      </c>
      <c r="C2794" s="42" t="s">
        <v>918</v>
      </c>
      <c r="D2794" s="42" t="s">
        <v>163</v>
      </c>
      <c r="E2794" s="42" t="s">
        <v>808</v>
      </c>
      <c r="F2794" s="45">
        <v>-26852353.02580381</v>
      </c>
      <c r="G2794" s="42" t="s">
        <v>763</v>
      </c>
      <c r="H2794" s="42" t="s">
        <v>110</v>
      </c>
      <c r="I2794" s="42" t="s">
        <v>893</v>
      </c>
    </row>
    <row r="2795" spans="1:9">
      <c r="A2795" s="42" t="s">
        <v>897</v>
      </c>
      <c r="B2795" s="42" t="s">
        <v>242</v>
      </c>
      <c r="C2795" s="42" t="s">
        <v>920</v>
      </c>
      <c r="D2795" s="42" t="s">
        <v>163</v>
      </c>
      <c r="E2795" s="42" t="s">
        <v>808</v>
      </c>
      <c r="F2795" s="45">
        <v>5422435.613119827</v>
      </c>
      <c r="G2795" s="42" t="s">
        <v>763</v>
      </c>
      <c r="H2795" s="42" t="s">
        <v>110</v>
      </c>
      <c r="I2795" s="42" t="s">
        <v>893</v>
      </c>
    </row>
    <row r="2796" spans="1:9">
      <c r="A2796" s="42" t="s">
        <v>897</v>
      </c>
      <c r="B2796" s="42" t="s">
        <v>302</v>
      </c>
      <c r="C2796" s="42" t="s">
        <v>921</v>
      </c>
      <c r="D2796" s="42" t="s">
        <v>163</v>
      </c>
      <c r="E2796" s="42" t="s">
        <v>808</v>
      </c>
      <c r="F2796" s="45">
        <v>-6902308.665867114</v>
      </c>
      <c r="G2796" s="42" t="s">
        <v>763</v>
      </c>
      <c r="H2796" s="42" t="s">
        <v>110</v>
      </c>
      <c r="I2796" s="42" t="s">
        <v>893</v>
      </c>
    </row>
    <row r="2797" spans="1:9">
      <c r="A2797" s="42" t="s">
        <v>897</v>
      </c>
      <c r="B2797" s="42" t="s">
        <v>326</v>
      </c>
      <c r="C2797" s="42" t="s">
        <v>922</v>
      </c>
      <c r="D2797" s="42" t="s">
        <v>163</v>
      </c>
      <c r="E2797" s="42" t="s">
        <v>808</v>
      </c>
      <c r="F2797" s="45">
        <v>316308.7440986566</v>
      </c>
      <c r="G2797" s="42" t="s">
        <v>763</v>
      </c>
      <c r="H2797" s="42" t="s">
        <v>110</v>
      </c>
      <c r="I2797" s="42" t="s">
        <v>893</v>
      </c>
    </row>
    <row r="2798" spans="1:9">
      <c r="A2798" s="42" t="s">
        <v>897</v>
      </c>
      <c r="B2798" s="42" t="s">
        <v>371</v>
      </c>
      <c r="C2798" s="42" t="s">
        <v>923</v>
      </c>
      <c r="D2798" s="42" t="s">
        <v>163</v>
      </c>
      <c r="E2798" s="42" t="s">
        <v>808</v>
      </c>
      <c r="F2798" s="45">
        <v>135560.8903279957</v>
      </c>
      <c r="G2798" s="42" t="s">
        <v>763</v>
      </c>
      <c r="H2798" s="42" t="s">
        <v>100</v>
      </c>
      <c r="I2798" s="42" t="s">
        <v>866</v>
      </c>
    </row>
    <row r="2799" spans="1:9">
      <c r="A2799" s="42" t="s">
        <v>897</v>
      </c>
      <c r="B2799" s="42" t="s">
        <v>327</v>
      </c>
      <c r="C2799" s="42" t="s">
        <v>1009</v>
      </c>
      <c r="D2799" s="42" t="s">
        <v>163</v>
      </c>
      <c r="E2799" s="42" t="s">
        <v>808</v>
      </c>
      <c r="F2799" s="45">
        <v>135560.8903279957</v>
      </c>
      <c r="G2799" s="42" t="s">
        <v>763</v>
      </c>
      <c r="H2799" s="42" t="s">
        <v>110</v>
      </c>
      <c r="I2799" s="42" t="s">
        <v>893</v>
      </c>
    </row>
    <row r="2800" spans="1:9">
      <c r="A2800" s="42" t="s">
        <v>897</v>
      </c>
      <c r="B2800" s="42" t="s">
        <v>328</v>
      </c>
      <c r="C2800" s="42" t="s">
        <v>924</v>
      </c>
      <c r="D2800" s="42" t="s">
        <v>163</v>
      </c>
      <c r="E2800" s="42" t="s">
        <v>808</v>
      </c>
      <c r="F2800" s="45">
        <v>-1457279.571025954</v>
      </c>
      <c r="G2800" s="42" t="s">
        <v>763</v>
      </c>
      <c r="H2800" s="42" t="s">
        <v>110</v>
      </c>
      <c r="I2800" s="42" t="s">
        <v>893</v>
      </c>
    </row>
    <row r="2801" spans="1:9">
      <c r="A2801" s="42" t="s">
        <v>897</v>
      </c>
      <c r="B2801" s="42" t="s">
        <v>329</v>
      </c>
      <c r="C2801" s="42" t="s">
        <v>925</v>
      </c>
      <c r="D2801" s="42" t="s">
        <v>163</v>
      </c>
      <c r="E2801" s="42" t="s">
        <v>808</v>
      </c>
      <c r="F2801" s="45">
        <v>1053421085.257133</v>
      </c>
      <c r="G2801" s="42" t="s">
        <v>763</v>
      </c>
      <c r="H2801" s="42" t="s">
        <v>110</v>
      </c>
      <c r="I2801" s="42" t="s">
        <v>893</v>
      </c>
    </row>
    <row r="2802" spans="1:9">
      <c r="A2802" s="42" t="s">
        <v>897</v>
      </c>
      <c r="B2802" s="42" t="s">
        <v>372</v>
      </c>
      <c r="C2802" s="42" t="s">
        <v>926</v>
      </c>
      <c r="D2802" s="42" t="s">
        <v>163</v>
      </c>
      <c r="E2802" s="42" t="s">
        <v>808</v>
      </c>
      <c r="F2802" s="45">
        <v>104562633.4063273</v>
      </c>
      <c r="G2802" s="42" t="s">
        <v>763</v>
      </c>
      <c r="H2802" s="42" t="s">
        <v>110</v>
      </c>
      <c r="I2802" s="42" t="s">
        <v>896</v>
      </c>
    </row>
    <row r="2803" spans="1:9">
      <c r="A2803" s="42" t="s">
        <v>897</v>
      </c>
      <c r="B2803" s="42" t="s">
        <v>373</v>
      </c>
      <c r="C2803" s="42" t="s">
        <v>1032</v>
      </c>
      <c r="D2803" s="42" t="s">
        <v>163</v>
      </c>
      <c r="E2803" s="42" t="s">
        <v>808</v>
      </c>
      <c r="F2803" s="45">
        <v>-147919524.8295646</v>
      </c>
      <c r="G2803" s="42" t="s">
        <v>763</v>
      </c>
      <c r="H2803" s="42" t="s">
        <v>100</v>
      </c>
      <c r="I2803" s="42" t="s">
        <v>896</v>
      </c>
    </row>
    <row r="2804" spans="1:9">
      <c r="A2804" s="42" t="s">
        <v>897</v>
      </c>
      <c r="B2804" s="42" t="s">
        <v>374</v>
      </c>
      <c r="C2804" s="42" t="s">
        <v>1060</v>
      </c>
      <c r="D2804" s="42" t="s">
        <v>163</v>
      </c>
      <c r="E2804" s="42" t="s">
        <v>808</v>
      </c>
      <c r="F2804" s="45">
        <v>-147919524.8295646</v>
      </c>
      <c r="G2804" s="42" t="s">
        <v>763</v>
      </c>
      <c r="H2804" s="42" t="s">
        <v>110</v>
      </c>
      <c r="I2804" s="42" t="s">
        <v>864</v>
      </c>
    </row>
    <row r="2805" spans="1:9">
      <c r="A2805" s="42" t="s">
        <v>897</v>
      </c>
      <c r="B2805" s="42" t="s">
        <v>330</v>
      </c>
      <c r="C2805" s="42" t="s">
        <v>927</v>
      </c>
      <c r="D2805" s="42" t="s">
        <v>163</v>
      </c>
      <c r="E2805" s="42" t="s">
        <v>808</v>
      </c>
      <c r="F2805" s="45">
        <v>-492989771.1594777</v>
      </c>
      <c r="G2805" s="42" t="s">
        <v>763</v>
      </c>
      <c r="H2805" s="42" t="s">
        <v>110</v>
      </c>
      <c r="I2805" s="42" t="s">
        <v>893</v>
      </c>
    </row>
    <row r="2806" spans="1:9">
      <c r="A2806" s="42" t="s">
        <v>897</v>
      </c>
      <c r="B2806" s="42" t="s">
        <v>334</v>
      </c>
      <c r="C2806" s="42" t="s">
        <v>933</v>
      </c>
      <c r="D2806" s="42" t="s">
        <v>163</v>
      </c>
      <c r="E2806" s="42" t="s">
        <v>808</v>
      </c>
      <c r="F2806" s="45">
        <v>13239780.28870091</v>
      </c>
      <c r="G2806" s="42" t="s">
        <v>763</v>
      </c>
      <c r="H2806" s="42" t="s">
        <v>110</v>
      </c>
      <c r="I2806" s="42" t="s">
        <v>893</v>
      </c>
    </row>
    <row r="2807" spans="1:9">
      <c r="A2807" s="42" t="s">
        <v>897</v>
      </c>
      <c r="B2807" s="42" t="s">
        <v>336</v>
      </c>
      <c r="C2807" s="42" t="s">
        <v>938</v>
      </c>
      <c r="D2807" s="42" t="s">
        <v>163</v>
      </c>
      <c r="E2807" s="42" t="s">
        <v>808</v>
      </c>
      <c r="F2807" s="45">
        <v>-523106882.294014</v>
      </c>
      <c r="G2807" s="42" t="s">
        <v>763</v>
      </c>
      <c r="H2807" s="42" t="s">
        <v>110</v>
      </c>
      <c r="I2807" s="42" t="s">
        <v>893</v>
      </c>
    </row>
    <row r="2808" spans="1:9">
      <c r="A2808" s="42" t="s">
        <v>897</v>
      </c>
      <c r="B2808" s="42" t="s">
        <v>389</v>
      </c>
      <c r="C2808" s="42" t="s">
        <v>998</v>
      </c>
      <c r="D2808" s="42" t="s">
        <v>163</v>
      </c>
      <c r="E2808" s="42" t="s">
        <v>808</v>
      </c>
      <c r="F2808" s="45">
        <v>10415595.07353434</v>
      </c>
      <c r="G2808" s="42" t="s">
        <v>763</v>
      </c>
      <c r="H2808" s="42" t="s">
        <v>100</v>
      </c>
      <c r="I2808" s="42" t="s">
        <v>865</v>
      </c>
    </row>
    <row r="2809" spans="1:9">
      <c r="A2809" s="42" t="s">
        <v>897</v>
      </c>
      <c r="B2809" s="42" t="s">
        <v>337</v>
      </c>
      <c r="C2809" s="42" t="s">
        <v>991</v>
      </c>
      <c r="D2809" s="42" t="s">
        <v>163</v>
      </c>
      <c r="E2809" s="42" t="s">
        <v>808</v>
      </c>
      <c r="F2809" s="45">
        <v>-536233695.1741082</v>
      </c>
      <c r="G2809" s="42" t="s">
        <v>763</v>
      </c>
      <c r="H2809" s="42" t="s">
        <v>110</v>
      </c>
      <c r="I2809" s="42" t="s">
        <v>893</v>
      </c>
    </row>
    <row r="2810" spans="1:9">
      <c r="A2810" s="42" t="s">
        <v>897</v>
      </c>
      <c r="B2810" s="42" t="s">
        <v>338</v>
      </c>
      <c r="C2810" s="42" t="s">
        <v>972</v>
      </c>
      <c r="D2810" s="42" t="s">
        <v>163</v>
      </c>
      <c r="E2810" s="42" t="s">
        <v>808</v>
      </c>
      <c r="F2810" s="45">
        <v>-199534333.821949</v>
      </c>
      <c r="G2810" s="42" t="s">
        <v>763</v>
      </c>
      <c r="H2810" s="42" t="s">
        <v>110</v>
      </c>
      <c r="I2810" s="42" t="s">
        <v>893</v>
      </c>
    </row>
    <row r="2811" spans="1:9">
      <c r="A2811" s="42" t="s">
        <v>897</v>
      </c>
      <c r="B2811" s="42" t="s">
        <v>939</v>
      </c>
      <c r="C2811" s="42" t="s">
        <v>973</v>
      </c>
      <c r="D2811" s="42" t="s">
        <v>163</v>
      </c>
      <c r="E2811" s="42" t="s">
        <v>808</v>
      </c>
      <c r="F2811" s="45">
        <v>290473097.7503127</v>
      </c>
      <c r="G2811" s="42" t="s">
        <v>763</v>
      </c>
      <c r="H2811" s="42" t="s">
        <v>110</v>
      </c>
      <c r="I2811" s="42" t="s">
        <v>893</v>
      </c>
    </row>
    <row r="2812" spans="1:9">
      <c r="A2812" s="42" t="s">
        <v>897</v>
      </c>
      <c r="B2812" s="42" t="s">
        <v>342</v>
      </c>
      <c r="C2812" s="42" t="s">
        <v>1014</v>
      </c>
      <c r="D2812" s="42" t="s">
        <v>163</v>
      </c>
      <c r="E2812" s="42" t="s">
        <v>808</v>
      </c>
      <c r="F2812" s="45">
        <v>-76625793.25789955</v>
      </c>
      <c r="G2812" s="42" t="s">
        <v>763</v>
      </c>
      <c r="H2812" s="42" t="s">
        <v>110</v>
      </c>
      <c r="I2812" s="42" t="s">
        <v>893</v>
      </c>
    </row>
    <row r="2813" spans="1:9">
      <c r="A2813" s="42" t="s">
        <v>897</v>
      </c>
      <c r="B2813" s="42" t="s">
        <v>392</v>
      </c>
      <c r="C2813" s="42" t="s">
        <v>1015</v>
      </c>
      <c r="D2813" s="42" t="s">
        <v>163</v>
      </c>
      <c r="E2813" s="42" t="s">
        <v>808</v>
      </c>
      <c r="F2813" s="45">
        <v>10415595.07353434</v>
      </c>
      <c r="G2813" s="42" t="s">
        <v>763</v>
      </c>
      <c r="H2813" s="42" t="s">
        <v>110</v>
      </c>
      <c r="I2813" s="42" t="s">
        <v>864</v>
      </c>
    </row>
    <row r="2814" spans="1:9">
      <c r="A2814" s="42" t="s">
        <v>897</v>
      </c>
      <c r="B2814" s="42" t="s">
        <v>343</v>
      </c>
      <c r="C2814" s="42" t="s">
        <v>1016</v>
      </c>
      <c r="D2814" s="42" t="s">
        <v>163</v>
      </c>
      <c r="E2814" s="42" t="s">
        <v>808</v>
      </c>
      <c r="F2814" s="45">
        <v>-79077.18602466416</v>
      </c>
      <c r="G2814" s="42" t="s">
        <v>763</v>
      </c>
      <c r="H2814" s="42" t="s">
        <v>110</v>
      </c>
      <c r="I2814" s="42" t="s">
        <v>893</v>
      </c>
    </row>
    <row r="2815" spans="1:9">
      <c r="A2815" s="42" t="s">
        <v>897</v>
      </c>
      <c r="B2815" s="42" t="s">
        <v>344</v>
      </c>
      <c r="C2815" s="42" t="s">
        <v>980</v>
      </c>
      <c r="D2815" s="42" t="s">
        <v>163</v>
      </c>
      <c r="E2815" s="42" t="s">
        <v>808</v>
      </c>
      <c r="F2815" s="45">
        <v>-521999801.6896687</v>
      </c>
      <c r="G2815" s="42" t="s">
        <v>763</v>
      </c>
      <c r="H2815" s="42" t="s">
        <v>110</v>
      </c>
      <c r="I2815" s="42" t="s">
        <v>893</v>
      </c>
    </row>
    <row r="2816" spans="1:9">
      <c r="A2816" s="42" t="s">
        <v>897</v>
      </c>
      <c r="B2816" s="42" t="s">
        <v>346</v>
      </c>
      <c r="C2816" s="42" t="s">
        <v>956</v>
      </c>
      <c r="D2816" s="42" t="s">
        <v>163</v>
      </c>
      <c r="E2816" s="42" t="s">
        <v>808</v>
      </c>
      <c r="F2816" s="45">
        <v>18729996.34698474</v>
      </c>
      <c r="G2816" s="42" t="s">
        <v>763</v>
      </c>
      <c r="H2816" s="42" t="s">
        <v>110</v>
      </c>
      <c r="I2816" s="42" t="s">
        <v>893</v>
      </c>
    </row>
    <row r="2817" spans="1:9">
      <c r="A2817" s="42" t="s">
        <v>897</v>
      </c>
      <c r="B2817" s="42" t="s">
        <v>347</v>
      </c>
      <c r="C2817" s="42" t="s">
        <v>981</v>
      </c>
      <c r="D2817" s="42" t="s">
        <v>163</v>
      </c>
      <c r="E2817" s="42" t="s">
        <v>808</v>
      </c>
      <c r="F2817" s="45">
        <v>649132873.9734449</v>
      </c>
      <c r="G2817" s="42" t="s">
        <v>763</v>
      </c>
      <c r="H2817" s="42" t="s">
        <v>110</v>
      </c>
      <c r="I2817" s="42" t="s">
        <v>893</v>
      </c>
    </row>
    <row r="2818" spans="1:9">
      <c r="A2818" s="42" t="s">
        <v>897</v>
      </c>
      <c r="B2818" s="42" t="s">
        <v>348</v>
      </c>
      <c r="C2818" s="42" t="s">
        <v>982</v>
      </c>
      <c r="D2818" s="42" t="s">
        <v>163</v>
      </c>
      <c r="E2818" s="42" t="s">
        <v>808</v>
      </c>
      <c r="F2818" s="45">
        <v>611810011.8028892</v>
      </c>
      <c r="G2818" s="42" t="s">
        <v>763</v>
      </c>
      <c r="H2818" s="42" t="s">
        <v>110</v>
      </c>
      <c r="I2818" s="42" t="s">
        <v>893</v>
      </c>
    </row>
    <row r="2819" spans="1:9">
      <c r="A2819" s="42" t="s">
        <v>897</v>
      </c>
      <c r="B2819" s="42" t="s">
        <v>346</v>
      </c>
      <c r="C2819" s="42" t="s">
        <v>961</v>
      </c>
      <c r="D2819" s="42" t="s">
        <v>163</v>
      </c>
      <c r="E2819" s="42" t="s">
        <v>808</v>
      </c>
      <c r="F2819" s="45">
        <v>18729996.34698474</v>
      </c>
      <c r="G2819" s="42" t="s">
        <v>763</v>
      </c>
      <c r="H2819" s="42" t="s">
        <v>110</v>
      </c>
      <c r="I2819" s="42" t="s">
        <v>893</v>
      </c>
    </row>
    <row r="2820" spans="1:9">
      <c r="A2820" s="42" t="s">
        <v>897</v>
      </c>
      <c r="B2820" s="42" t="s">
        <v>350</v>
      </c>
      <c r="C2820" s="42" t="s">
        <v>1003</v>
      </c>
      <c r="D2820" s="42" t="s">
        <v>164</v>
      </c>
      <c r="E2820" s="42" t="s">
        <v>808</v>
      </c>
      <c r="F2820" s="45">
        <v>-492409846.4977632</v>
      </c>
      <c r="G2820" s="42" t="s">
        <v>1001</v>
      </c>
      <c r="H2820" s="42" t="s">
        <v>1061</v>
      </c>
      <c r="I2820" s="42" t="s">
        <v>854</v>
      </c>
    </row>
    <row r="2821" spans="1:9">
      <c r="A2821" s="42" t="s">
        <v>897</v>
      </c>
      <c r="B2821" s="42" t="s">
        <v>201</v>
      </c>
      <c r="C2821" s="42" t="s">
        <v>966</v>
      </c>
      <c r="D2821" s="42" t="s">
        <v>164</v>
      </c>
      <c r="E2821" s="42" t="s">
        <v>808</v>
      </c>
      <c r="F2821" s="45">
        <v>-15316626.36959667</v>
      </c>
      <c r="G2821" s="42" t="s">
        <v>1001</v>
      </c>
      <c r="H2821" s="42" t="s">
        <v>1061</v>
      </c>
      <c r="I2821" s="42" t="s">
        <v>893</v>
      </c>
    </row>
    <row r="2822" spans="1:9">
      <c r="A2822" s="42" t="s">
        <v>897</v>
      </c>
      <c r="B2822" s="42" t="s">
        <v>314</v>
      </c>
      <c r="C2822" s="42" t="s">
        <v>900</v>
      </c>
      <c r="D2822" s="42" t="s">
        <v>164</v>
      </c>
      <c r="E2822" s="42" t="s">
        <v>808</v>
      </c>
      <c r="F2822" s="45">
        <v>772238968.9833063</v>
      </c>
      <c r="G2822" s="42" t="s">
        <v>1001</v>
      </c>
      <c r="H2822" s="42" t="s">
        <v>1061</v>
      </c>
      <c r="I2822" s="42" t="s">
        <v>893</v>
      </c>
    </row>
    <row r="2823" spans="1:9">
      <c r="A2823" s="42" t="s">
        <v>897</v>
      </c>
      <c r="B2823" s="42" t="s">
        <v>315</v>
      </c>
      <c r="C2823" s="42" t="s">
        <v>901</v>
      </c>
      <c r="D2823" s="42" t="s">
        <v>164</v>
      </c>
      <c r="E2823" s="42" t="s">
        <v>808</v>
      </c>
      <c r="F2823" s="45">
        <v>12740793.44295151</v>
      </c>
      <c r="G2823" s="42" t="s">
        <v>1001</v>
      </c>
      <c r="H2823" s="42" t="s">
        <v>1061</v>
      </c>
      <c r="I2823" s="42" t="s">
        <v>893</v>
      </c>
    </row>
    <row r="2824" spans="1:9">
      <c r="A2824" s="42" t="s">
        <v>897</v>
      </c>
      <c r="B2824" s="42" t="s">
        <v>316</v>
      </c>
      <c r="C2824" s="42" t="s">
        <v>1004</v>
      </c>
      <c r="D2824" s="42" t="s">
        <v>164</v>
      </c>
      <c r="E2824" s="42" t="s">
        <v>808</v>
      </c>
      <c r="F2824" s="45">
        <v>50750295.01753783</v>
      </c>
      <c r="G2824" s="42" t="s">
        <v>1001</v>
      </c>
      <c r="H2824" s="42" t="s">
        <v>1061</v>
      </c>
      <c r="I2824" s="42" t="s">
        <v>893</v>
      </c>
    </row>
    <row r="2825" spans="1:9">
      <c r="A2825" s="42" t="s">
        <v>897</v>
      </c>
      <c r="B2825" s="42" t="s">
        <v>317</v>
      </c>
      <c r="C2825" s="42" t="s">
        <v>967</v>
      </c>
      <c r="D2825" s="42" t="s">
        <v>164</v>
      </c>
      <c r="E2825" s="42" t="s">
        <v>808</v>
      </c>
      <c r="F2825" s="45">
        <v>87131274.12197246</v>
      </c>
      <c r="G2825" s="42" t="s">
        <v>1001</v>
      </c>
      <c r="H2825" s="42" t="s">
        <v>1061</v>
      </c>
      <c r="I2825" s="42" t="s">
        <v>893</v>
      </c>
    </row>
    <row r="2826" spans="1:9">
      <c r="A2826" s="42" t="s">
        <v>897</v>
      </c>
      <c r="B2826" s="42" t="s">
        <v>318</v>
      </c>
      <c r="C2826" s="42" t="s">
        <v>904</v>
      </c>
      <c r="D2826" s="42" t="s">
        <v>164</v>
      </c>
      <c r="E2826" s="42" t="s">
        <v>808</v>
      </c>
      <c r="F2826" s="45">
        <v>702180570.9536432</v>
      </c>
      <c r="G2826" s="42" t="s">
        <v>1001</v>
      </c>
      <c r="H2826" s="42" t="s">
        <v>1061</v>
      </c>
      <c r="I2826" s="42" t="s">
        <v>893</v>
      </c>
    </row>
    <row r="2827" spans="1:9">
      <c r="A2827" s="42" t="s">
        <v>897</v>
      </c>
      <c r="B2827" s="42" t="s">
        <v>319</v>
      </c>
      <c r="C2827" s="42" t="s">
        <v>907</v>
      </c>
      <c r="D2827" s="42" t="s">
        <v>164</v>
      </c>
      <c r="E2827" s="42" t="s">
        <v>808</v>
      </c>
      <c r="F2827" s="45">
        <v>79350555.65346991</v>
      </c>
      <c r="G2827" s="42" t="s">
        <v>1001</v>
      </c>
      <c r="H2827" s="42" t="s">
        <v>1061</v>
      </c>
      <c r="I2827" s="42" t="s">
        <v>893</v>
      </c>
    </row>
    <row r="2828" spans="1:9">
      <c r="A2828" s="42" t="s">
        <v>897</v>
      </c>
      <c r="B2828" s="42" t="s">
        <v>357</v>
      </c>
      <c r="C2828" s="42" t="s">
        <v>908</v>
      </c>
      <c r="D2828" s="42" t="s">
        <v>164</v>
      </c>
      <c r="E2828" s="42" t="s">
        <v>808</v>
      </c>
      <c r="F2828" s="45">
        <v>121074791.4900362</v>
      </c>
      <c r="G2828" s="42" t="s">
        <v>1001</v>
      </c>
      <c r="H2828" s="42" t="s">
        <v>1061</v>
      </c>
      <c r="I2828" s="42" t="s">
        <v>864</v>
      </c>
    </row>
    <row r="2829" spans="1:9">
      <c r="A2829" s="42" t="s">
        <v>897</v>
      </c>
      <c r="B2829" s="42" t="s">
        <v>251</v>
      </c>
      <c r="C2829" s="42" t="s">
        <v>909</v>
      </c>
      <c r="D2829" s="42" t="s">
        <v>164</v>
      </c>
      <c r="E2829" s="42" t="s">
        <v>808</v>
      </c>
      <c r="F2829" s="45">
        <v>1298560.401035993</v>
      </c>
      <c r="G2829" s="42" t="s">
        <v>1001</v>
      </c>
      <c r="H2829" s="42" t="s">
        <v>1061</v>
      </c>
      <c r="I2829" s="42" t="s">
        <v>893</v>
      </c>
    </row>
    <row r="2830" spans="1:9">
      <c r="A2830" s="42" t="s">
        <v>897</v>
      </c>
      <c r="B2830" s="42" t="s">
        <v>361</v>
      </c>
      <c r="C2830" s="42" t="s">
        <v>1029</v>
      </c>
      <c r="D2830" s="42" t="s">
        <v>164</v>
      </c>
      <c r="E2830" s="42" t="s">
        <v>808</v>
      </c>
      <c r="F2830" s="45">
        <v>0</v>
      </c>
      <c r="G2830" s="42" t="s">
        <v>1001</v>
      </c>
      <c r="H2830" s="42" t="s">
        <v>1061</v>
      </c>
      <c r="I2830" s="42" t="s">
        <v>861</v>
      </c>
    </row>
    <row r="2831" spans="1:9">
      <c r="A2831" s="42" t="s">
        <v>897</v>
      </c>
      <c r="B2831" s="42" t="s">
        <v>293</v>
      </c>
      <c r="C2831" s="42" t="s">
        <v>912</v>
      </c>
      <c r="D2831" s="42" t="s">
        <v>164</v>
      </c>
      <c r="E2831" s="42" t="s">
        <v>808</v>
      </c>
      <c r="F2831" s="45">
        <v>-162341338.0049259</v>
      </c>
      <c r="G2831" s="42" t="s">
        <v>1001</v>
      </c>
      <c r="H2831" s="42" t="s">
        <v>1061</v>
      </c>
      <c r="I2831" s="42" t="s">
        <v>893</v>
      </c>
    </row>
    <row r="2832" spans="1:9">
      <c r="A2832" s="42" t="s">
        <v>897</v>
      </c>
      <c r="B2832" s="42" t="s">
        <v>369</v>
      </c>
      <c r="C2832" s="42" t="s">
        <v>970</v>
      </c>
      <c r="D2832" s="42" t="s">
        <v>164</v>
      </c>
      <c r="E2832" s="42" t="s">
        <v>808</v>
      </c>
      <c r="F2832" s="45">
        <v>-9930793.886611324</v>
      </c>
      <c r="G2832" s="42" t="s">
        <v>1001</v>
      </c>
      <c r="H2832" s="42" t="s">
        <v>1061</v>
      </c>
      <c r="I2832" s="42" t="s">
        <v>886</v>
      </c>
    </row>
    <row r="2833" spans="1:9">
      <c r="A2833" s="42" t="s">
        <v>897</v>
      </c>
      <c r="B2833" s="42" t="s">
        <v>292</v>
      </c>
      <c r="C2833" s="42" t="s">
        <v>913</v>
      </c>
      <c r="D2833" s="42" t="s">
        <v>164</v>
      </c>
      <c r="E2833" s="42" t="s">
        <v>808</v>
      </c>
      <c r="F2833" s="45">
        <v>55369763.98515768</v>
      </c>
      <c r="G2833" s="42" t="s">
        <v>1001</v>
      </c>
      <c r="H2833" s="42" t="s">
        <v>1061</v>
      </c>
      <c r="I2833" s="42" t="s">
        <v>893</v>
      </c>
    </row>
    <row r="2834" spans="1:9">
      <c r="A2834" s="42" t="s">
        <v>897</v>
      </c>
      <c r="B2834" s="42" t="s">
        <v>241</v>
      </c>
      <c r="C2834" s="42" t="s">
        <v>914</v>
      </c>
      <c r="D2834" s="42" t="s">
        <v>164</v>
      </c>
      <c r="E2834" s="42" t="s">
        <v>808</v>
      </c>
      <c r="F2834" s="45">
        <v>-86237183.35404603</v>
      </c>
      <c r="G2834" s="42" t="s">
        <v>1001</v>
      </c>
      <c r="H2834" s="42" t="s">
        <v>1061</v>
      </c>
      <c r="I2834" s="42" t="s">
        <v>893</v>
      </c>
    </row>
    <row r="2835" spans="1:9">
      <c r="A2835" s="42" t="s">
        <v>897</v>
      </c>
      <c r="B2835" s="42" t="s">
        <v>310</v>
      </c>
      <c r="C2835" s="42" t="s">
        <v>915</v>
      </c>
      <c r="D2835" s="42" t="s">
        <v>164</v>
      </c>
      <c r="E2835" s="42" t="s">
        <v>808</v>
      </c>
      <c r="F2835" s="45">
        <v>-63299497.58164796</v>
      </c>
      <c r="G2835" s="42" t="s">
        <v>1001</v>
      </c>
      <c r="H2835" s="42" t="s">
        <v>1061</v>
      </c>
      <c r="I2835" s="42" t="s">
        <v>893</v>
      </c>
    </row>
    <row r="2836" spans="1:9">
      <c r="A2836" s="42" t="s">
        <v>897</v>
      </c>
      <c r="B2836" s="42" t="s">
        <v>305</v>
      </c>
      <c r="C2836" s="42" t="s">
        <v>916</v>
      </c>
      <c r="D2836" s="42" t="s">
        <v>164</v>
      </c>
      <c r="E2836" s="42" t="s">
        <v>808</v>
      </c>
      <c r="F2836" s="45">
        <v>-56827983.45189482</v>
      </c>
      <c r="G2836" s="42" t="s">
        <v>1001</v>
      </c>
      <c r="H2836" s="42" t="s">
        <v>1061</v>
      </c>
      <c r="I2836" s="42" t="s">
        <v>893</v>
      </c>
    </row>
    <row r="2837" spans="1:9">
      <c r="A2837" s="42" t="s">
        <v>897</v>
      </c>
      <c r="B2837" s="42" t="s">
        <v>306</v>
      </c>
      <c r="C2837" s="42" t="s">
        <v>917</v>
      </c>
      <c r="D2837" s="42" t="s">
        <v>164</v>
      </c>
      <c r="E2837" s="42" t="s">
        <v>808</v>
      </c>
      <c r="F2837" s="45">
        <v>13262346.39090858</v>
      </c>
      <c r="G2837" s="42" t="s">
        <v>1001</v>
      </c>
      <c r="H2837" s="42" t="s">
        <v>1061</v>
      </c>
      <c r="I2837" s="42" t="s">
        <v>893</v>
      </c>
    </row>
    <row r="2838" spans="1:9">
      <c r="A2838" s="42" t="s">
        <v>897</v>
      </c>
      <c r="B2838" s="42" t="s">
        <v>309</v>
      </c>
      <c r="C2838" s="42" t="s">
        <v>918</v>
      </c>
      <c r="D2838" s="42" t="s">
        <v>164</v>
      </c>
      <c r="E2838" s="42" t="s">
        <v>808</v>
      </c>
      <c r="F2838" s="45">
        <v>-16955792.77746178</v>
      </c>
      <c r="G2838" s="42" t="s">
        <v>1001</v>
      </c>
      <c r="H2838" s="42" t="s">
        <v>1061</v>
      </c>
      <c r="I2838" s="42" t="s">
        <v>893</v>
      </c>
    </row>
    <row r="2839" spans="1:9">
      <c r="A2839" s="42" t="s">
        <v>897</v>
      </c>
      <c r="B2839" s="42" t="s">
        <v>242</v>
      </c>
      <c r="C2839" s="42" t="s">
        <v>920</v>
      </c>
      <c r="D2839" s="42" t="s">
        <v>164</v>
      </c>
      <c r="E2839" s="42" t="s">
        <v>808</v>
      </c>
      <c r="F2839" s="45">
        <v>-10941967.96938525</v>
      </c>
      <c r="G2839" s="42" t="s">
        <v>1001</v>
      </c>
      <c r="H2839" s="42" t="s">
        <v>1061</v>
      </c>
      <c r="I2839" s="42" t="s">
        <v>893</v>
      </c>
    </row>
    <row r="2840" spans="1:9">
      <c r="A2840" s="42" t="s">
        <v>897</v>
      </c>
      <c r="B2840" s="42" t="s">
        <v>302</v>
      </c>
      <c r="C2840" s="42" t="s">
        <v>921</v>
      </c>
      <c r="D2840" s="42" t="s">
        <v>164</v>
      </c>
      <c r="E2840" s="42" t="s">
        <v>808</v>
      </c>
      <c r="F2840" s="45">
        <v>14124505.34569478</v>
      </c>
      <c r="G2840" s="42" t="s">
        <v>1001</v>
      </c>
      <c r="H2840" s="42" t="s">
        <v>1061</v>
      </c>
      <c r="I2840" s="42" t="s">
        <v>893</v>
      </c>
    </row>
    <row r="2841" spans="1:9">
      <c r="A2841" s="42" t="s">
        <v>897</v>
      </c>
      <c r="B2841" s="42" t="s">
        <v>326</v>
      </c>
      <c r="C2841" s="42" t="s">
        <v>922</v>
      </c>
      <c r="D2841" s="42" t="s">
        <v>164</v>
      </c>
      <c r="E2841" s="42" t="s">
        <v>808</v>
      </c>
      <c r="F2841" s="45">
        <v>40085069.42870123</v>
      </c>
      <c r="G2841" s="42" t="s">
        <v>1001</v>
      </c>
      <c r="H2841" s="42" t="s">
        <v>1061</v>
      </c>
      <c r="I2841" s="42" t="s">
        <v>893</v>
      </c>
    </row>
    <row r="2842" spans="1:9">
      <c r="A2842" s="42" t="s">
        <v>897</v>
      </c>
      <c r="B2842" s="42" t="s">
        <v>371</v>
      </c>
      <c r="C2842" s="42" t="s">
        <v>923</v>
      </c>
      <c r="D2842" s="42" t="s">
        <v>164</v>
      </c>
      <c r="E2842" s="42" t="s">
        <v>808</v>
      </c>
      <c r="F2842" s="45">
        <v>5353900.669845119</v>
      </c>
      <c r="G2842" s="42" t="s">
        <v>1001</v>
      </c>
      <c r="H2842" s="42" t="s">
        <v>1038</v>
      </c>
      <c r="I2842" s="42" t="s">
        <v>866</v>
      </c>
    </row>
    <row r="2843" spans="1:9">
      <c r="A2843" s="42" t="s">
        <v>897</v>
      </c>
      <c r="B2843" s="42" t="s">
        <v>327</v>
      </c>
      <c r="C2843" s="42" t="s">
        <v>1009</v>
      </c>
      <c r="D2843" s="42" t="s">
        <v>164</v>
      </c>
      <c r="E2843" s="42" t="s">
        <v>808</v>
      </c>
      <c r="F2843" s="45">
        <v>5353900.669845119</v>
      </c>
      <c r="G2843" s="42" t="s">
        <v>1001</v>
      </c>
      <c r="H2843" s="42" t="s">
        <v>1061</v>
      </c>
      <c r="I2843" s="42" t="s">
        <v>893</v>
      </c>
    </row>
    <row r="2844" spans="1:9">
      <c r="A2844" s="42" t="s">
        <v>897</v>
      </c>
      <c r="B2844" s="42" t="s">
        <v>328</v>
      </c>
      <c r="C2844" s="42" t="s">
        <v>924</v>
      </c>
      <c r="D2844" s="42" t="s">
        <v>164</v>
      </c>
      <c r="E2844" s="42" t="s">
        <v>808</v>
      </c>
      <c r="F2844" s="45">
        <v>-1373067.965029862</v>
      </c>
      <c r="G2844" s="42" t="s">
        <v>1001</v>
      </c>
      <c r="H2844" s="42" t="s">
        <v>1061</v>
      </c>
      <c r="I2844" s="42" t="s">
        <v>893</v>
      </c>
    </row>
    <row r="2845" spans="1:9">
      <c r="A2845" s="42" t="s">
        <v>897</v>
      </c>
      <c r="B2845" s="42" t="s">
        <v>329</v>
      </c>
      <c r="C2845" s="42" t="s">
        <v>925</v>
      </c>
      <c r="D2845" s="42" t="s">
        <v>164</v>
      </c>
      <c r="E2845" s="42" t="s">
        <v>808</v>
      </c>
      <c r="F2845" s="45">
        <v>1001083629.821617</v>
      </c>
      <c r="G2845" s="42" t="s">
        <v>1001</v>
      </c>
      <c r="H2845" s="42" t="s">
        <v>1061</v>
      </c>
      <c r="I2845" s="42" t="s">
        <v>893</v>
      </c>
    </row>
    <row r="2846" spans="1:9">
      <c r="A2846" s="42" t="s">
        <v>897</v>
      </c>
      <c r="B2846" s="42" t="s">
        <v>372</v>
      </c>
      <c r="C2846" s="42" t="s">
        <v>926</v>
      </c>
      <c r="D2846" s="42" t="s">
        <v>164</v>
      </c>
      <c r="E2846" s="42" t="s">
        <v>808</v>
      </c>
      <c r="F2846" s="45">
        <v>120106193.158116</v>
      </c>
      <c r="G2846" s="42" t="s">
        <v>1001</v>
      </c>
      <c r="H2846" s="42" t="s">
        <v>1061</v>
      </c>
      <c r="I2846" s="42" t="s">
        <v>896</v>
      </c>
    </row>
    <row r="2847" spans="1:9">
      <c r="A2847" s="42" t="s">
        <v>897</v>
      </c>
      <c r="B2847" s="42" t="s">
        <v>373</v>
      </c>
      <c r="C2847" s="42" t="s">
        <v>1032</v>
      </c>
      <c r="D2847" s="42" t="s">
        <v>164</v>
      </c>
      <c r="E2847" s="42" t="s">
        <v>808</v>
      </c>
      <c r="F2847" s="45">
        <v>-190622280.5094557</v>
      </c>
      <c r="G2847" s="42" t="s">
        <v>1001</v>
      </c>
      <c r="H2847" s="42" t="s">
        <v>1038</v>
      </c>
      <c r="I2847" s="42" t="s">
        <v>896</v>
      </c>
    </row>
    <row r="2848" spans="1:9">
      <c r="A2848" s="42" t="s">
        <v>897</v>
      </c>
      <c r="B2848" s="42" t="s">
        <v>374</v>
      </c>
      <c r="C2848" s="42" t="s">
        <v>1060</v>
      </c>
      <c r="D2848" s="42" t="s">
        <v>164</v>
      </c>
      <c r="E2848" s="42" t="s">
        <v>808</v>
      </c>
      <c r="F2848" s="45">
        <v>-190622280.5094557</v>
      </c>
      <c r="G2848" s="42" t="s">
        <v>1001</v>
      </c>
      <c r="H2848" s="42" t="s">
        <v>1061</v>
      </c>
      <c r="I2848" s="42" t="s">
        <v>864</v>
      </c>
    </row>
    <row r="2849" spans="1:9">
      <c r="A2849" s="42" t="s">
        <v>897</v>
      </c>
      <c r="B2849" s="42" t="s">
        <v>330</v>
      </c>
      <c r="C2849" s="42" t="s">
        <v>927</v>
      </c>
      <c r="D2849" s="42" t="s">
        <v>164</v>
      </c>
      <c r="E2849" s="42" t="s">
        <v>808</v>
      </c>
      <c r="F2849" s="45">
        <v>-500009618.0251378</v>
      </c>
      <c r="G2849" s="42" t="s">
        <v>1001</v>
      </c>
      <c r="H2849" s="42" t="s">
        <v>1061</v>
      </c>
      <c r="I2849" s="42" t="s">
        <v>893</v>
      </c>
    </row>
    <row r="2850" spans="1:9">
      <c r="A2850" s="42" t="s">
        <v>897</v>
      </c>
      <c r="B2850" s="42" t="s">
        <v>334</v>
      </c>
      <c r="C2850" s="42" t="s">
        <v>933</v>
      </c>
      <c r="D2850" s="42" t="s">
        <v>164</v>
      </c>
      <c r="E2850" s="42" t="s">
        <v>808</v>
      </c>
      <c r="F2850" s="45">
        <v>21809428.37477664</v>
      </c>
      <c r="G2850" s="42" t="s">
        <v>1001</v>
      </c>
      <c r="H2850" s="42" t="s">
        <v>1061</v>
      </c>
      <c r="I2850" s="42" t="s">
        <v>893</v>
      </c>
    </row>
    <row r="2851" spans="1:9">
      <c r="A2851" s="42" t="s">
        <v>897</v>
      </c>
      <c r="B2851" s="42" t="s">
        <v>336</v>
      </c>
      <c r="C2851" s="42" t="s">
        <v>938</v>
      </c>
      <c r="D2851" s="42" t="s">
        <v>164</v>
      </c>
      <c r="E2851" s="42" t="s">
        <v>808</v>
      </c>
      <c r="F2851" s="45">
        <v>-531324082.7779894</v>
      </c>
      <c r="G2851" s="42" t="s">
        <v>1001</v>
      </c>
      <c r="H2851" s="42" t="s">
        <v>1061</v>
      </c>
      <c r="I2851" s="42" t="s">
        <v>893</v>
      </c>
    </row>
    <row r="2852" spans="1:9">
      <c r="A2852" s="42" t="s">
        <v>897</v>
      </c>
      <c r="B2852" s="42" t="s">
        <v>337</v>
      </c>
      <c r="C2852" s="42" t="s">
        <v>991</v>
      </c>
      <c r="D2852" s="42" t="s">
        <v>164</v>
      </c>
      <c r="E2852" s="42" t="s">
        <v>808</v>
      </c>
      <c r="F2852" s="45">
        <v>-543373020.2695693</v>
      </c>
      <c r="G2852" s="42" t="s">
        <v>1001</v>
      </c>
      <c r="H2852" s="42" t="s">
        <v>1061</v>
      </c>
      <c r="I2852" s="42" t="s">
        <v>893</v>
      </c>
    </row>
    <row r="2853" spans="1:9">
      <c r="A2853" s="42" t="s">
        <v>897</v>
      </c>
      <c r="B2853" s="42" t="s">
        <v>338</v>
      </c>
      <c r="C2853" s="42" t="s">
        <v>972</v>
      </c>
      <c r="D2853" s="42" t="s">
        <v>164</v>
      </c>
      <c r="E2853" s="42" t="s">
        <v>808</v>
      </c>
      <c r="F2853" s="45">
        <v>-130718199.0583855</v>
      </c>
      <c r="G2853" s="42" t="s">
        <v>1001</v>
      </c>
      <c r="H2853" s="42" t="s">
        <v>1061</v>
      </c>
      <c r="I2853" s="42" t="s">
        <v>893</v>
      </c>
    </row>
    <row r="2854" spans="1:9">
      <c r="A2854" s="42" t="s">
        <v>897</v>
      </c>
      <c r="B2854" s="42" t="s">
        <v>939</v>
      </c>
      <c r="C2854" s="42" t="s">
        <v>973</v>
      </c>
      <c r="D2854" s="42" t="s">
        <v>164</v>
      </c>
      <c r="E2854" s="42" t="s">
        <v>808</v>
      </c>
      <c r="F2854" s="45">
        <v>225736631.0259946</v>
      </c>
      <c r="G2854" s="42" t="s">
        <v>1001</v>
      </c>
      <c r="H2854" s="42" t="s">
        <v>1061</v>
      </c>
      <c r="I2854" s="42" t="s">
        <v>893</v>
      </c>
    </row>
    <row r="2855" spans="1:9">
      <c r="A2855" s="42" t="s">
        <v>897</v>
      </c>
      <c r="B2855" s="42" t="s">
        <v>342</v>
      </c>
      <c r="C2855" s="42" t="s">
        <v>1014</v>
      </c>
      <c r="D2855" s="42" t="s">
        <v>164</v>
      </c>
      <c r="E2855" s="42" t="s">
        <v>808</v>
      </c>
      <c r="F2855" s="45">
        <v>-76604419.72341019</v>
      </c>
      <c r="G2855" s="42" t="s">
        <v>1001</v>
      </c>
      <c r="H2855" s="42" t="s">
        <v>1061</v>
      </c>
      <c r="I2855" s="42" t="s">
        <v>893</v>
      </c>
    </row>
    <row r="2856" spans="1:9">
      <c r="A2856" s="42" t="s">
        <v>897</v>
      </c>
      <c r="B2856" s="42" t="s">
        <v>392</v>
      </c>
      <c r="C2856" s="42" t="s">
        <v>1015</v>
      </c>
      <c r="D2856" s="42" t="s">
        <v>164</v>
      </c>
      <c r="E2856" s="42" t="s">
        <v>808</v>
      </c>
      <c r="F2856" s="45">
        <v>6311855.064052</v>
      </c>
      <c r="G2856" s="42" t="s">
        <v>1001</v>
      </c>
      <c r="H2856" s="42" t="s">
        <v>1061</v>
      </c>
      <c r="I2856" s="42" t="s">
        <v>864</v>
      </c>
    </row>
    <row r="2857" spans="1:9">
      <c r="A2857" s="42" t="s">
        <v>897</v>
      </c>
      <c r="B2857" s="42" t="s">
        <v>343</v>
      </c>
      <c r="C2857" s="42" t="s">
        <v>1016</v>
      </c>
      <c r="D2857" s="42" t="s">
        <v>164</v>
      </c>
      <c r="E2857" s="42" t="s">
        <v>808</v>
      </c>
      <c r="F2857" s="45">
        <v>-149015.1279877369</v>
      </c>
      <c r="G2857" s="42" t="s">
        <v>1001</v>
      </c>
      <c r="H2857" s="42" t="s">
        <v>1061</v>
      </c>
      <c r="I2857" s="42" t="s">
        <v>893</v>
      </c>
    </row>
    <row r="2858" spans="1:9">
      <c r="A2858" s="42" t="s">
        <v>897</v>
      </c>
      <c r="B2858" s="42" t="s">
        <v>344</v>
      </c>
      <c r="C2858" s="42" t="s">
        <v>980</v>
      </c>
      <c r="D2858" s="42" t="s">
        <v>164</v>
      </c>
      <c r="E2858" s="42" t="s">
        <v>808</v>
      </c>
      <c r="F2858" s="45">
        <v>-525108023.1533581</v>
      </c>
      <c r="G2858" s="42" t="s">
        <v>1001</v>
      </c>
      <c r="H2858" s="42" t="s">
        <v>1061</v>
      </c>
      <c r="I2858" s="42" t="s">
        <v>893</v>
      </c>
    </row>
    <row r="2859" spans="1:9">
      <c r="A2859" s="42" t="s">
        <v>897</v>
      </c>
      <c r="B2859" s="42" t="s">
        <v>346</v>
      </c>
      <c r="C2859" s="42" t="s">
        <v>956</v>
      </c>
      <c r="D2859" s="42" t="s">
        <v>164</v>
      </c>
      <c r="E2859" s="42" t="s">
        <v>808</v>
      </c>
      <c r="F2859" s="45">
        <v>-49036621.04567885</v>
      </c>
      <c r="G2859" s="42" t="s">
        <v>1001</v>
      </c>
      <c r="H2859" s="42" t="s">
        <v>1061</v>
      </c>
      <c r="I2859" s="42" t="s">
        <v>893</v>
      </c>
    </row>
    <row r="2860" spans="1:9">
      <c r="A2860" s="42" t="s">
        <v>897</v>
      </c>
      <c r="B2860" s="42" t="s">
        <v>347</v>
      </c>
      <c r="C2860" s="42" t="s">
        <v>981</v>
      </c>
      <c r="D2860" s="42" t="s">
        <v>164</v>
      </c>
      <c r="E2860" s="42" t="s">
        <v>808</v>
      </c>
      <c r="F2860" s="45">
        <v>611810011.8028892</v>
      </c>
      <c r="G2860" s="42" t="s">
        <v>1039</v>
      </c>
      <c r="H2860" s="42" t="s">
        <v>110</v>
      </c>
      <c r="I2860" s="42" t="s">
        <v>893</v>
      </c>
    </row>
    <row r="2861" spans="1:9">
      <c r="A2861" s="42" t="s">
        <v>897</v>
      </c>
      <c r="B2861" s="42" t="s">
        <v>348</v>
      </c>
      <c r="C2861" s="42" t="s">
        <v>982</v>
      </c>
      <c r="D2861" s="42" t="s">
        <v>164</v>
      </c>
      <c r="E2861" s="42" t="s">
        <v>808</v>
      </c>
      <c r="F2861" s="45">
        <v>539893620.4492438</v>
      </c>
      <c r="G2861" s="42" t="s">
        <v>985</v>
      </c>
      <c r="H2861" s="42" t="s">
        <v>112</v>
      </c>
      <c r="I2861" s="42" t="s">
        <v>893</v>
      </c>
    </row>
    <row r="2862" spans="1:9">
      <c r="A2862" s="42" t="s">
        <v>897</v>
      </c>
      <c r="B2862" s="42" t="s">
        <v>346</v>
      </c>
      <c r="C2862" s="42" t="s">
        <v>961</v>
      </c>
      <c r="D2862" s="42" t="s">
        <v>164</v>
      </c>
      <c r="E2862" s="42" t="s">
        <v>808</v>
      </c>
      <c r="F2862" s="45">
        <v>-49036621.04567885</v>
      </c>
      <c r="G2862" s="42" t="s">
        <v>1001</v>
      </c>
      <c r="H2862" s="42" t="s">
        <v>1061</v>
      </c>
      <c r="I2862" s="42" t="s">
        <v>893</v>
      </c>
    </row>
    <row r="2863" spans="1:9">
      <c r="A2863" s="42" t="s">
        <v>897</v>
      </c>
      <c r="B2863" s="42" t="s">
        <v>350</v>
      </c>
      <c r="C2863" s="42" t="s">
        <v>1003</v>
      </c>
      <c r="D2863" s="42" t="s">
        <v>165</v>
      </c>
      <c r="E2863" s="42" t="s">
        <v>808</v>
      </c>
      <c r="F2863" s="45">
        <v>236347755.6858545</v>
      </c>
      <c r="G2863" s="42" t="s">
        <v>1022</v>
      </c>
      <c r="H2863" s="42" t="s">
        <v>1040</v>
      </c>
      <c r="I2863" s="42" t="s">
        <v>854</v>
      </c>
    </row>
    <row r="2864" spans="1:9">
      <c r="A2864" s="42" t="s">
        <v>897</v>
      </c>
      <c r="B2864" s="42" t="s">
        <v>201</v>
      </c>
      <c r="C2864" s="42" t="s">
        <v>966</v>
      </c>
      <c r="D2864" s="42" t="s">
        <v>165</v>
      </c>
      <c r="E2864" s="42" t="s">
        <v>808</v>
      </c>
      <c r="F2864" s="45">
        <v>-44839298.21422464</v>
      </c>
      <c r="G2864" s="42" t="s">
        <v>1022</v>
      </c>
      <c r="H2864" s="42" t="s">
        <v>1062</v>
      </c>
      <c r="I2864" s="42" t="s">
        <v>893</v>
      </c>
    </row>
    <row r="2865" spans="1:9">
      <c r="A2865" s="42" t="s">
        <v>897</v>
      </c>
      <c r="B2865" s="42" t="s">
        <v>314</v>
      </c>
      <c r="C2865" s="42" t="s">
        <v>900</v>
      </c>
      <c r="D2865" s="42" t="s">
        <v>165</v>
      </c>
      <c r="E2865" s="42" t="s">
        <v>808</v>
      </c>
      <c r="F2865" s="45">
        <v>715576758.1924953</v>
      </c>
      <c r="G2865" s="42" t="s">
        <v>1022</v>
      </c>
      <c r="H2865" s="42" t="s">
        <v>1062</v>
      </c>
      <c r="I2865" s="42" t="s">
        <v>893</v>
      </c>
    </row>
    <row r="2866" spans="1:9">
      <c r="A2866" s="42" t="s">
        <v>897</v>
      </c>
      <c r="B2866" s="42" t="s">
        <v>315</v>
      </c>
      <c r="C2866" s="42" t="s">
        <v>901</v>
      </c>
      <c r="D2866" s="42" t="s">
        <v>165</v>
      </c>
      <c r="E2866" s="42" t="s">
        <v>808</v>
      </c>
      <c r="F2866" s="45">
        <v>12820047.17185037</v>
      </c>
      <c r="G2866" s="42" t="s">
        <v>1022</v>
      </c>
      <c r="H2866" s="42" t="s">
        <v>1062</v>
      </c>
      <c r="I2866" s="42" t="s">
        <v>893</v>
      </c>
    </row>
    <row r="2867" spans="1:9">
      <c r="A2867" s="42" t="s">
        <v>897</v>
      </c>
      <c r="B2867" s="42" t="s">
        <v>316</v>
      </c>
      <c r="C2867" s="42" t="s">
        <v>1004</v>
      </c>
      <c r="D2867" s="42" t="s">
        <v>165</v>
      </c>
      <c r="E2867" s="42" t="s">
        <v>808</v>
      </c>
      <c r="F2867" s="45">
        <v>52391396.62846072</v>
      </c>
      <c r="G2867" s="42" t="s">
        <v>1022</v>
      </c>
      <c r="H2867" s="42" t="s">
        <v>1062</v>
      </c>
      <c r="I2867" s="42" t="s">
        <v>893</v>
      </c>
    </row>
    <row r="2868" spans="1:9">
      <c r="A2868" s="42" t="s">
        <v>897</v>
      </c>
      <c r="B2868" s="42" t="s">
        <v>317</v>
      </c>
      <c r="C2868" s="42" t="s">
        <v>967</v>
      </c>
      <c r="D2868" s="42" t="s">
        <v>165</v>
      </c>
      <c r="E2868" s="42" t="s">
        <v>808</v>
      </c>
      <c r="F2868" s="45">
        <v>73576370.2455072</v>
      </c>
      <c r="G2868" s="42" t="s">
        <v>1022</v>
      </c>
      <c r="H2868" s="42" t="s">
        <v>1062</v>
      </c>
      <c r="I2868" s="42" t="s">
        <v>893</v>
      </c>
    </row>
    <row r="2869" spans="1:9">
      <c r="A2869" s="42" t="s">
        <v>897</v>
      </c>
      <c r="B2869" s="42" t="s">
        <v>318</v>
      </c>
      <c r="C2869" s="42" t="s">
        <v>904</v>
      </c>
      <c r="D2869" s="42" t="s">
        <v>165</v>
      </c>
      <c r="E2869" s="42" t="s">
        <v>808</v>
      </c>
      <c r="F2869" s="45">
        <v>155054663.6274358</v>
      </c>
      <c r="G2869" s="42" t="s">
        <v>1022</v>
      </c>
      <c r="H2869" s="42" t="s">
        <v>1062</v>
      </c>
      <c r="I2869" s="42" t="s">
        <v>893</v>
      </c>
    </row>
    <row r="2870" spans="1:9">
      <c r="A2870" s="42" t="s">
        <v>897</v>
      </c>
      <c r="B2870" s="42" t="s">
        <v>319</v>
      </c>
      <c r="C2870" s="42" t="s">
        <v>907</v>
      </c>
      <c r="D2870" s="42" t="s">
        <v>165</v>
      </c>
      <c r="E2870" s="42" t="s">
        <v>808</v>
      </c>
      <c r="F2870" s="45">
        <v>49387019.60263383</v>
      </c>
      <c r="G2870" s="42" t="s">
        <v>1022</v>
      </c>
      <c r="H2870" s="42" t="s">
        <v>1062</v>
      </c>
      <c r="I2870" s="42" t="s">
        <v>893</v>
      </c>
    </row>
    <row r="2871" spans="1:9">
      <c r="A2871" s="42" t="s">
        <v>897</v>
      </c>
      <c r="B2871" s="42" t="s">
        <v>357</v>
      </c>
      <c r="C2871" s="42" t="s">
        <v>908</v>
      </c>
      <c r="D2871" s="42" t="s">
        <v>165</v>
      </c>
      <c r="E2871" s="42" t="s">
        <v>808</v>
      </c>
      <c r="F2871" s="45">
        <v>102539799.4499685</v>
      </c>
      <c r="G2871" s="42" t="s">
        <v>1022</v>
      </c>
      <c r="H2871" s="42" t="s">
        <v>1062</v>
      </c>
      <c r="I2871" s="42" t="s">
        <v>864</v>
      </c>
    </row>
    <row r="2872" spans="1:9">
      <c r="A2872" s="42" t="s">
        <v>897</v>
      </c>
      <c r="B2872" s="42" t="s">
        <v>251</v>
      </c>
      <c r="C2872" s="42" t="s">
        <v>909</v>
      </c>
      <c r="D2872" s="42" t="s">
        <v>165</v>
      </c>
      <c r="E2872" s="42" t="s">
        <v>808</v>
      </c>
      <c r="F2872" s="45">
        <v>524737.0832779844</v>
      </c>
      <c r="G2872" s="42" t="s">
        <v>1022</v>
      </c>
      <c r="H2872" s="42" t="s">
        <v>1062</v>
      </c>
      <c r="I2872" s="42" t="s">
        <v>893</v>
      </c>
    </row>
    <row r="2873" spans="1:9">
      <c r="A2873" s="42" t="s">
        <v>897</v>
      </c>
      <c r="B2873" s="42" t="s">
        <v>361</v>
      </c>
      <c r="C2873" s="42" t="s">
        <v>1029</v>
      </c>
      <c r="D2873" s="42" t="s">
        <v>165</v>
      </c>
      <c r="E2873" s="42" t="s">
        <v>808</v>
      </c>
      <c r="F2873" s="45">
        <v>0</v>
      </c>
      <c r="G2873" s="42" t="s">
        <v>1022</v>
      </c>
      <c r="H2873" s="42" t="s">
        <v>1062</v>
      </c>
      <c r="I2873" s="42" t="s">
        <v>861</v>
      </c>
    </row>
    <row r="2874" spans="1:9">
      <c r="A2874" s="42" t="s">
        <v>897</v>
      </c>
      <c r="B2874" s="42" t="s">
        <v>362</v>
      </c>
      <c r="C2874" s="42" t="s">
        <v>1050</v>
      </c>
      <c r="D2874" s="42" t="s">
        <v>165</v>
      </c>
      <c r="E2874" s="42" t="s">
        <v>808</v>
      </c>
      <c r="F2874" s="45">
        <v>-24981600.74899895</v>
      </c>
      <c r="G2874" s="42" t="s">
        <v>1022</v>
      </c>
      <c r="H2874" s="42" t="s">
        <v>1040</v>
      </c>
      <c r="I2874" s="42" t="s">
        <v>870</v>
      </c>
    </row>
    <row r="2875" spans="1:9">
      <c r="A2875" s="42" t="s">
        <v>897</v>
      </c>
      <c r="B2875" s="42" t="s">
        <v>363</v>
      </c>
      <c r="C2875" s="42" t="s">
        <v>1006</v>
      </c>
      <c r="D2875" s="42" t="s">
        <v>165</v>
      </c>
      <c r="E2875" s="42" t="s">
        <v>808</v>
      </c>
      <c r="F2875" s="45">
        <v>-10566764.4024802</v>
      </c>
      <c r="G2875" s="42" t="s">
        <v>1022</v>
      </c>
      <c r="H2875" s="42" t="s">
        <v>1062</v>
      </c>
      <c r="I2875" s="42" t="s">
        <v>864</v>
      </c>
    </row>
    <row r="2876" spans="1:9">
      <c r="A2876" s="42" t="s">
        <v>897</v>
      </c>
      <c r="B2876" s="42" t="s">
        <v>293</v>
      </c>
      <c r="C2876" s="42" t="s">
        <v>912</v>
      </c>
      <c r="D2876" s="42" t="s">
        <v>165</v>
      </c>
      <c r="E2876" s="42" t="s">
        <v>808</v>
      </c>
      <c r="F2876" s="45">
        <v>-122603276.1635385</v>
      </c>
      <c r="G2876" s="42" t="s">
        <v>1022</v>
      </c>
      <c r="H2876" s="42" t="s">
        <v>1062</v>
      </c>
      <c r="I2876" s="42" t="s">
        <v>893</v>
      </c>
    </row>
    <row r="2877" spans="1:9">
      <c r="A2877" s="42" t="s">
        <v>897</v>
      </c>
      <c r="B2877" s="42" t="s">
        <v>369</v>
      </c>
      <c r="C2877" s="42" t="s">
        <v>970</v>
      </c>
      <c r="D2877" s="42" t="s">
        <v>165</v>
      </c>
      <c r="E2877" s="42" t="s">
        <v>808</v>
      </c>
      <c r="F2877" s="45">
        <v>-14126745.39883672</v>
      </c>
      <c r="G2877" s="42" t="s">
        <v>1022</v>
      </c>
      <c r="H2877" s="42" t="s">
        <v>1062</v>
      </c>
      <c r="I2877" s="42" t="s">
        <v>886</v>
      </c>
    </row>
    <row r="2878" spans="1:9">
      <c r="A2878" s="42" t="s">
        <v>897</v>
      </c>
      <c r="B2878" s="42" t="s">
        <v>292</v>
      </c>
      <c r="C2878" s="42" t="s">
        <v>913</v>
      </c>
      <c r="D2878" s="42" t="s">
        <v>165</v>
      </c>
      <c r="E2878" s="42" t="s">
        <v>808</v>
      </c>
      <c r="F2878" s="45">
        <v>-29333831.85148105</v>
      </c>
      <c r="G2878" s="42" t="s">
        <v>1022</v>
      </c>
      <c r="H2878" s="42" t="s">
        <v>1062</v>
      </c>
      <c r="I2878" s="42" t="s">
        <v>893</v>
      </c>
    </row>
    <row r="2879" spans="1:9">
      <c r="A2879" s="42" t="s">
        <v>897</v>
      </c>
      <c r="B2879" s="42" t="s">
        <v>241</v>
      </c>
      <c r="C2879" s="42" t="s">
        <v>914</v>
      </c>
      <c r="D2879" s="42" t="s">
        <v>165</v>
      </c>
      <c r="E2879" s="42" t="s">
        <v>808</v>
      </c>
      <c r="F2879" s="45">
        <v>-94679032.16321594</v>
      </c>
      <c r="G2879" s="42" t="s">
        <v>1022</v>
      </c>
      <c r="H2879" s="42" t="s">
        <v>1062</v>
      </c>
      <c r="I2879" s="42" t="s">
        <v>893</v>
      </c>
    </row>
    <row r="2880" spans="1:9">
      <c r="A2880" s="42" t="s">
        <v>897</v>
      </c>
      <c r="B2880" s="42" t="s">
        <v>310</v>
      </c>
      <c r="C2880" s="42" t="s">
        <v>915</v>
      </c>
      <c r="D2880" s="42" t="s">
        <v>165</v>
      </c>
      <c r="E2880" s="42" t="s">
        <v>808</v>
      </c>
      <c r="F2880" s="45">
        <v>-52823533.04998376</v>
      </c>
      <c r="G2880" s="42" t="s">
        <v>1022</v>
      </c>
      <c r="H2880" s="42" t="s">
        <v>1062</v>
      </c>
      <c r="I2880" s="42" t="s">
        <v>893</v>
      </c>
    </row>
    <row r="2881" spans="1:9">
      <c r="A2881" s="42" t="s">
        <v>897</v>
      </c>
      <c r="B2881" s="42" t="s">
        <v>305</v>
      </c>
      <c r="C2881" s="42" t="s">
        <v>916</v>
      </c>
      <c r="D2881" s="42" t="s">
        <v>165</v>
      </c>
      <c r="E2881" s="42" t="s">
        <v>808</v>
      </c>
      <c r="F2881" s="45">
        <v>-14949862.39221395</v>
      </c>
      <c r="G2881" s="42" t="s">
        <v>1022</v>
      </c>
      <c r="H2881" s="42" t="s">
        <v>1062</v>
      </c>
      <c r="I2881" s="42" t="s">
        <v>893</v>
      </c>
    </row>
    <row r="2882" spans="1:9">
      <c r="A2882" s="42" t="s">
        <v>897</v>
      </c>
      <c r="B2882" s="42" t="s">
        <v>306</v>
      </c>
      <c r="C2882" s="42" t="s">
        <v>917</v>
      </c>
      <c r="D2882" s="42" t="s">
        <v>165</v>
      </c>
      <c r="E2882" s="42" t="s">
        <v>808</v>
      </c>
      <c r="F2882" s="45">
        <v>15505466.36274358</v>
      </c>
      <c r="G2882" s="42" t="s">
        <v>1022</v>
      </c>
      <c r="H2882" s="42" t="s">
        <v>1062</v>
      </c>
      <c r="I2882" s="42" t="s">
        <v>893</v>
      </c>
    </row>
    <row r="2883" spans="1:9">
      <c r="A2883" s="42" t="s">
        <v>897</v>
      </c>
      <c r="B2883" s="42" t="s">
        <v>309</v>
      </c>
      <c r="C2883" s="42" t="s">
        <v>918</v>
      </c>
      <c r="D2883" s="42" t="s">
        <v>165</v>
      </c>
      <c r="E2883" s="42" t="s">
        <v>808</v>
      </c>
      <c r="F2883" s="45">
        <v>-24374551.96638324</v>
      </c>
      <c r="G2883" s="42" t="s">
        <v>1022</v>
      </c>
      <c r="H2883" s="42" t="s">
        <v>1062</v>
      </c>
      <c r="I2883" s="42" t="s">
        <v>893</v>
      </c>
    </row>
    <row r="2884" spans="1:9">
      <c r="A2884" s="42" t="s">
        <v>897</v>
      </c>
      <c r="B2884" s="42" t="s">
        <v>242</v>
      </c>
      <c r="C2884" s="42" t="s">
        <v>920</v>
      </c>
      <c r="D2884" s="42" t="s">
        <v>165</v>
      </c>
      <c r="E2884" s="42" t="s">
        <v>808</v>
      </c>
      <c r="F2884" s="45">
        <v>2911776.364071953</v>
      </c>
      <c r="G2884" s="42" t="s">
        <v>1022</v>
      </c>
      <c r="H2884" s="42" t="s">
        <v>1062</v>
      </c>
      <c r="I2884" s="42" t="s">
        <v>893</v>
      </c>
    </row>
    <row r="2885" spans="1:9">
      <c r="A2885" s="42" t="s">
        <v>897</v>
      </c>
      <c r="B2885" s="42" t="s">
        <v>302</v>
      </c>
      <c r="C2885" s="42" t="s">
        <v>921</v>
      </c>
      <c r="D2885" s="42" t="s">
        <v>165</v>
      </c>
      <c r="E2885" s="42" t="s">
        <v>808</v>
      </c>
      <c r="F2885" s="45">
        <v>103908231.4514581</v>
      </c>
      <c r="G2885" s="42" t="s">
        <v>1022</v>
      </c>
      <c r="H2885" s="42" t="s">
        <v>1062</v>
      </c>
      <c r="I2885" s="42" t="s">
        <v>893</v>
      </c>
    </row>
    <row r="2886" spans="1:9">
      <c r="A2886" s="42" t="s">
        <v>897</v>
      </c>
      <c r="B2886" s="42" t="s">
        <v>326</v>
      </c>
      <c r="C2886" s="42" t="s">
        <v>922</v>
      </c>
      <c r="D2886" s="42" t="s">
        <v>165</v>
      </c>
      <c r="E2886" s="42" t="s">
        <v>808</v>
      </c>
      <c r="F2886" s="45">
        <v>0</v>
      </c>
      <c r="G2886" s="42" t="s">
        <v>1022</v>
      </c>
      <c r="H2886" s="42" t="s">
        <v>1062</v>
      </c>
      <c r="I2886" s="42" t="s">
        <v>893</v>
      </c>
    </row>
    <row r="2887" spans="1:9">
      <c r="A2887" s="42" t="s">
        <v>897</v>
      </c>
      <c r="B2887" s="42" t="s">
        <v>327</v>
      </c>
      <c r="C2887" s="42" t="s">
        <v>1009</v>
      </c>
      <c r="D2887" s="42" t="s">
        <v>165</v>
      </c>
      <c r="E2887" s="42" t="s">
        <v>808</v>
      </c>
      <c r="F2887" s="45">
        <v>0</v>
      </c>
      <c r="G2887" s="42" t="s">
        <v>1022</v>
      </c>
      <c r="H2887" s="42" t="s">
        <v>1062</v>
      </c>
      <c r="I2887" s="42" t="s">
        <v>893</v>
      </c>
    </row>
    <row r="2888" spans="1:9">
      <c r="A2888" s="42" t="s">
        <v>897</v>
      </c>
      <c r="B2888" s="42" t="s">
        <v>328</v>
      </c>
      <c r="C2888" s="42" t="s">
        <v>924</v>
      </c>
      <c r="D2888" s="42" t="s">
        <v>165</v>
      </c>
      <c r="E2888" s="42" t="s">
        <v>808</v>
      </c>
      <c r="F2888" s="45">
        <v>-1327276.151820784</v>
      </c>
      <c r="G2888" s="42" t="s">
        <v>1022</v>
      </c>
      <c r="H2888" s="42" t="s">
        <v>1062</v>
      </c>
      <c r="I2888" s="42" t="s">
        <v>893</v>
      </c>
    </row>
    <row r="2889" spans="1:9">
      <c r="A2889" s="42" t="s">
        <v>897</v>
      </c>
      <c r="B2889" s="42" t="s">
        <v>329</v>
      </c>
      <c r="C2889" s="42" t="s">
        <v>925</v>
      </c>
      <c r="D2889" s="42" t="s">
        <v>165</v>
      </c>
      <c r="E2889" s="42" t="s">
        <v>808</v>
      </c>
      <c r="F2889" s="45">
        <v>1085938249.36258</v>
      </c>
      <c r="G2889" s="42" t="s">
        <v>1022</v>
      </c>
      <c r="H2889" s="42" t="s">
        <v>1062</v>
      </c>
      <c r="I2889" s="42" t="s">
        <v>893</v>
      </c>
    </row>
    <row r="2890" spans="1:9">
      <c r="A2890" s="42" t="s">
        <v>897</v>
      </c>
      <c r="B2890" s="42" t="s">
        <v>372</v>
      </c>
      <c r="C2890" s="42" t="s">
        <v>926</v>
      </c>
      <c r="D2890" s="42" t="s">
        <v>165</v>
      </c>
      <c r="E2890" s="42" t="s">
        <v>808</v>
      </c>
      <c r="F2890" s="45">
        <v>102601533.2244718</v>
      </c>
      <c r="G2890" s="42" t="s">
        <v>1022</v>
      </c>
      <c r="H2890" s="42" t="s">
        <v>1040</v>
      </c>
      <c r="I2890" s="42" t="s">
        <v>896</v>
      </c>
    </row>
    <row r="2891" spans="1:9">
      <c r="A2891" s="42" t="s">
        <v>897</v>
      </c>
      <c r="B2891" s="42" t="s">
        <v>373</v>
      </c>
      <c r="C2891" s="42" t="s">
        <v>1032</v>
      </c>
      <c r="D2891" s="42" t="s">
        <v>165</v>
      </c>
      <c r="E2891" s="42" t="s">
        <v>808</v>
      </c>
      <c r="F2891" s="45">
        <v>-208701313.6707968</v>
      </c>
      <c r="G2891" s="42" t="s">
        <v>1022</v>
      </c>
      <c r="H2891" s="42" t="s">
        <v>1040</v>
      </c>
      <c r="I2891" s="42" t="s">
        <v>896</v>
      </c>
    </row>
    <row r="2892" spans="1:9">
      <c r="A2892" s="42" t="s">
        <v>897</v>
      </c>
      <c r="B2892" s="42" t="s">
        <v>374</v>
      </c>
      <c r="C2892" s="42" t="s">
        <v>1060</v>
      </c>
      <c r="D2892" s="42" t="s">
        <v>165</v>
      </c>
      <c r="E2892" s="42" t="s">
        <v>808</v>
      </c>
      <c r="F2892" s="45">
        <v>-208701313.6707968</v>
      </c>
      <c r="G2892" s="42" t="s">
        <v>1022</v>
      </c>
      <c r="H2892" s="42" t="s">
        <v>1062</v>
      </c>
      <c r="I2892" s="42" t="s">
        <v>864</v>
      </c>
    </row>
    <row r="2893" spans="1:9">
      <c r="A2893" s="42" t="s">
        <v>897</v>
      </c>
      <c r="B2893" s="42" t="s">
        <v>330</v>
      </c>
      <c r="C2893" s="42" t="s">
        <v>927</v>
      </c>
      <c r="D2893" s="42" t="s">
        <v>165</v>
      </c>
      <c r="E2893" s="42" t="s">
        <v>808</v>
      </c>
      <c r="F2893" s="45">
        <v>-701460301.7560759</v>
      </c>
      <c r="G2893" s="42" t="s">
        <v>1022</v>
      </c>
      <c r="H2893" s="42" t="s">
        <v>1062</v>
      </c>
      <c r="I2893" s="42" t="s">
        <v>893</v>
      </c>
    </row>
    <row r="2894" spans="1:9">
      <c r="A2894" s="42" t="s">
        <v>897</v>
      </c>
      <c r="B2894" s="42" t="s">
        <v>379</v>
      </c>
      <c r="C2894" s="42" t="s">
        <v>1063</v>
      </c>
      <c r="D2894" s="42" t="s">
        <v>165</v>
      </c>
      <c r="E2894" s="42" t="s">
        <v>808</v>
      </c>
      <c r="F2894" s="45">
        <v>14157612.28608836</v>
      </c>
      <c r="G2894" s="42" t="s">
        <v>1022</v>
      </c>
      <c r="H2894" s="42" t="s">
        <v>1062</v>
      </c>
      <c r="I2894" s="42" t="s">
        <v>864</v>
      </c>
    </row>
    <row r="2895" spans="1:9">
      <c r="A2895" s="42" t="s">
        <v>897</v>
      </c>
      <c r="B2895" s="42" t="s">
        <v>334</v>
      </c>
      <c r="C2895" s="42" t="s">
        <v>933</v>
      </c>
      <c r="D2895" s="42" t="s">
        <v>165</v>
      </c>
      <c r="E2895" s="42" t="s">
        <v>808</v>
      </c>
      <c r="F2895" s="45">
        <v>4887257.148177306</v>
      </c>
      <c r="G2895" s="42" t="s">
        <v>1022</v>
      </c>
      <c r="H2895" s="42" t="s">
        <v>1062</v>
      </c>
      <c r="I2895" s="42" t="s">
        <v>893</v>
      </c>
    </row>
    <row r="2896" spans="1:9">
      <c r="A2896" s="42" t="s">
        <v>897</v>
      </c>
      <c r="B2896" s="42" t="s">
        <v>336</v>
      </c>
      <c r="C2896" s="42" t="s">
        <v>938</v>
      </c>
      <c r="D2896" s="42" t="s">
        <v>165</v>
      </c>
      <c r="E2896" s="42" t="s">
        <v>808</v>
      </c>
      <c r="F2896" s="45">
        <v>-788515212.7681352</v>
      </c>
      <c r="G2896" s="42" t="s">
        <v>1022</v>
      </c>
      <c r="H2896" s="42" t="s">
        <v>1062</v>
      </c>
      <c r="I2896" s="42" t="s">
        <v>893</v>
      </c>
    </row>
    <row r="2897" spans="1:9">
      <c r="A2897" s="42" t="s">
        <v>897</v>
      </c>
      <c r="B2897" s="42" t="s">
        <v>337</v>
      </c>
      <c r="C2897" s="42" t="s">
        <v>991</v>
      </c>
      <c r="D2897" s="42" t="s">
        <v>165</v>
      </c>
      <c r="E2897" s="42" t="s">
        <v>808</v>
      </c>
      <c r="F2897" s="45">
        <v>-221490493.9553955</v>
      </c>
      <c r="G2897" s="42" t="s">
        <v>1022</v>
      </c>
      <c r="H2897" s="42" t="s">
        <v>1062</v>
      </c>
      <c r="I2897" s="42" t="s">
        <v>893</v>
      </c>
    </row>
    <row r="2898" spans="1:9">
      <c r="A2898" s="42" t="s">
        <v>897</v>
      </c>
      <c r="B2898" s="42" t="s">
        <v>338</v>
      </c>
      <c r="C2898" s="42" t="s">
        <v>972</v>
      </c>
      <c r="D2898" s="42" t="s">
        <v>165</v>
      </c>
      <c r="E2898" s="42" t="s">
        <v>808</v>
      </c>
      <c r="F2898" s="45">
        <v>-182423303.6572287</v>
      </c>
      <c r="G2898" s="42" t="s">
        <v>1022</v>
      </c>
      <c r="H2898" s="42" t="s">
        <v>1062</v>
      </c>
      <c r="I2898" s="42" t="s">
        <v>893</v>
      </c>
    </row>
    <row r="2899" spans="1:9">
      <c r="A2899" s="42" t="s">
        <v>897</v>
      </c>
      <c r="B2899" s="42" t="s">
        <v>939</v>
      </c>
      <c r="C2899" s="42" t="s">
        <v>973</v>
      </c>
      <c r="D2899" s="42" t="s">
        <v>165</v>
      </c>
      <c r="E2899" s="42" t="s">
        <v>808</v>
      </c>
      <c r="F2899" s="45">
        <v>276433553.2633257</v>
      </c>
      <c r="G2899" s="42" t="s">
        <v>1022</v>
      </c>
      <c r="H2899" s="42" t="s">
        <v>1062</v>
      </c>
      <c r="I2899" s="42" t="s">
        <v>893</v>
      </c>
    </row>
    <row r="2900" spans="1:9">
      <c r="A2900" s="42" t="s">
        <v>897</v>
      </c>
      <c r="B2900" s="42" t="s">
        <v>342</v>
      </c>
      <c r="C2900" s="42" t="s">
        <v>1014</v>
      </c>
      <c r="D2900" s="42" t="s">
        <v>165</v>
      </c>
      <c r="E2900" s="42" t="s">
        <v>808</v>
      </c>
      <c r="F2900" s="45">
        <v>-71930136.25875272</v>
      </c>
      <c r="G2900" s="42" t="s">
        <v>1022</v>
      </c>
      <c r="H2900" s="42" t="s">
        <v>1062</v>
      </c>
      <c r="I2900" s="42" t="s">
        <v>893</v>
      </c>
    </row>
    <row r="2901" spans="1:9">
      <c r="A2901" s="42" t="s">
        <v>897</v>
      </c>
      <c r="B2901" s="42" t="s">
        <v>392</v>
      </c>
      <c r="C2901" s="42" t="s">
        <v>1015</v>
      </c>
      <c r="D2901" s="42" t="s">
        <v>165</v>
      </c>
      <c r="E2901" s="42" t="s">
        <v>808</v>
      </c>
      <c r="F2901" s="45">
        <v>3385068.635263861</v>
      </c>
      <c r="G2901" s="42" t="s">
        <v>1022</v>
      </c>
      <c r="H2901" s="42" t="s">
        <v>1062</v>
      </c>
      <c r="I2901" s="42" t="s">
        <v>864</v>
      </c>
    </row>
    <row r="2902" spans="1:9">
      <c r="A2902" s="42" t="s">
        <v>897</v>
      </c>
      <c r="B2902" s="42" t="s">
        <v>343</v>
      </c>
      <c r="C2902" s="42" t="s">
        <v>1016</v>
      </c>
      <c r="D2902" s="42" t="s">
        <v>165</v>
      </c>
      <c r="E2902" s="42" t="s">
        <v>808</v>
      </c>
      <c r="F2902" s="45">
        <v>-267513.0228475999</v>
      </c>
      <c r="G2902" s="42" t="s">
        <v>1022</v>
      </c>
      <c r="H2902" s="42" t="s">
        <v>1062</v>
      </c>
      <c r="I2902" s="42" t="s">
        <v>893</v>
      </c>
    </row>
    <row r="2903" spans="1:9">
      <c r="A2903" s="42" t="s">
        <v>897</v>
      </c>
      <c r="B2903" s="42" t="s">
        <v>344</v>
      </c>
      <c r="C2903" s="42" t="s">
        <v>980</v>
      </c>
      <c r="D2903" s="42" t="s">
        <v>165</v>
      </c>
      <c r="E2903" s="42" t="s">
        <v>808</v>
      </c>
      <c r="F2903" s="45">
        <v>-199677893.6308989</v>
      </c>
      <c r="G2903" s="42" t="s">
        <v>1022</v>
      </c>
      <c r="H2903" s="42" t="s">
        <v>1062</v>
      </c>
      <c r="I2903" s="42" t="s">
        <v>893</v>
      </c>
    </row>
    <row r="2904" spans="1:9">
      <c r="A2904" s="42" t="s">
        <v>897</v>
      </c>
      <c r="B2904" s="42" t="s">
        <v>346</v>
      </c>
      <c r="C2904" s="42" t="s">
        <v>956</v>
      </c>
      <c r="D2904" s="42" t="s">
        <v>165</v>
      </c>
      <c r="E2904" s="42" t="s">
        <v>808</v>
      </c>
      <c r="F2904" s="45">
        <v>101130211.59881</v>
      </c>
      <c r="G2904" s="42" t="s">
        <v>1022</v>
      </c>
      <c r="H2904" s="42" t="s">
        <v>1062</v>
      </c>
      <c r="I2904" s="42" t="s">
        <v>893</v>
      </c>
    </row>
    <row r="2905" spans="1:9">
      <c r="A2905" s="42" t="s">
        <v>897</v>
      </c>
      <c r="B2905" s="42" t="s">
        <v>347</v>
      </c>
      <c r="C2905" s="42" t="s">
        <v>981</v>
      </c>
      <c r="D2905" s="42" t="s">
        <v>165</v>
      </c>
      <c r="E2905" s="42" t="s">
        <v>808</v>
      </c>
      <c r="F2905" s="45">
        <v>539893620.4492438</v>
      </c>
      <c r="G2905" s="42" t="s">
        <v>1039</v>
      </c>
      <c r="H2905" s="42" t="s">
        <v>112</v>
      </c>
      <c r="I2905" s="42" t="s">
        <v>893</v>
      </c>
    </row>
    <row r="2906" spans="1:9">
      <c r="A2906" s="42" t="s">
        <v>897</v>
      </c>
      <c r="B2906" s="42" t="s">
        <v>348</v>
      </c>
      <c r="C2906" s="42" t="s">
        <v>982</v>
      </c>
      <c r="D2906" s="42" t="s">
        <v>165</v>
      </c>
      <c r="E2906" s="42" t="s">
        <v>808</v>
      </c>
      <c r="F2906" s="45">
        <v>622827015.9731889</v>
      </c>
      <c r="G2906" s="42" t="s">
        <v>985</v>
      </c>
      <c r="H2906" s="42" t="s">
        <v>114</v>
      </c>
      <c r="I2906" s="42" t="s">
        <v>893</v>
      </c>
    </row>
    <row r="2907" spans="1:9">
      <c r="A2907" s="42" t="s">
        <v>897</v>
      </c>
      <c r="B2907" s="42" t="s">
        <v>346</v>
      </c>
      <c r="C2907" s="42" t="s">
        <v>961</v>
      </c>
      <c r="D2907" s="42" t="s">
        <v>165</v>
      </c>
      <c r="E2907" s="42" t="s">
        <v>808</v>
      </c>
      <c r="F2907" s="45">
        <v>101130211.59881</v>
      </c>
      <c r="G2907" s="42" t="s">
        <v>1022</v>
      </c>
      <c r="H2907" s="42" t="s">
        <v>1062</v>
      </c>
      <c r="I2907" s="42" t="s">
        <v>893</v>
      </c>
    </row>
    <row r="2908" spans="1:9">
      <c r="A2908" s="42" t="s">
        <v>897</v>
      </c>
      <c r="B2908" s="42" t="s">
        <v>350</v>
      </c>
      <c r="C2908" s="42" t="s">
        <v>1003</v>
      </c>
      <c r="D2908" s="42" t="s">
        <v>166</v>
      </c>
      <c r="E2908" s="42" t="s">
        <v>808</v>
      </c>
      <c r="F2908" s="45">
        <v>246166072.8516078</v>
      </c>
      <c r="G2908" s="42" t="s">
        <v>1025</v>
      </c>
      <c r="H2908" s="42" t="s">
        <v>1044</v>
      </c>
      <c r="I2908" s="42" t="s">
        <v>854</v>
      </c>
    </row>
    <row r="2909" spans="1:9">
      <c r="A2909" s="42" t="s">
        <v>897</v>
      </c>
      <c r="B2909" s="42" t="s">
        <v>313</v>
      </c>
      <c r="C2909" s="42" t="s">
        <v>994</v>
      </c>
      <c r="D2909" s="42" t="s">
        <v>166</v>
      </c>
      <c r="E2909" s="42" t="s">
        <v>808</v>
      </c>
      <c r="F2909" s="45">
        <v>246166072.8516078</v>
      </c>
      <c r="G2909" s="42" t="s">
        <v>1025</v>
      </c>
      <c r="H2909" s="42" t="s">
        <v>1064</v>
      </c>
      <c r="I2909" s="42" t="s">
        <v>893</v>
      </c>
    </row>
    <row r="2910" spans="1:9">
      <c r="A2910" s="42" t="s">
        <v>897</v>
      </c>
      <c r="B2910" s="42" t="s">
        <v>201</v>
      </c>
      <c r="C2910" s="42" t="s">
        <v>966</v>
      </c>
      <c r="D2910" s="42" t="s">
        <v>166</v>
      </c>
      <c r="E2910" s="42" t="s">
        <v>808</v>
      </c>
      <c r="F2910" s="45">
        <v>-159903428.8025971</v>
      </c>
      <c r="G2910" s="42" t="s">
        <v>1025</v>
      </c>
      <c r="H2910" s="42" t="s">
        <v>1044</v>
      </c>
      <c r="I2910" s="42" t="s">
        <v>893</v>
      </c>
    </row>
    <row r="2911" spans="1:9">
      <c r="A2911" s="42" t="s">
        <v>897</v>
      </c>
      <c r="B2911" s="42" t="s">
        <v>314</v>
      </c>
      <c r="C2911" s="42" t="s">
        <v>900</v>
      </c>
      <c r="D2911" s="42" t="s">
        <v>166</v>
      </c>
      <c r="E2911" s="42" t="s">
        <v>808</v>
      </c>
      <c r="F2911" s="45">
        <v>644142852.4181315</v>
      </c>
      <c r="G2911" s="42" t="s">
        <v>1025</v>
      </c>
      <c r="H2911" s="42" t="s">
        <v>1044</v>
      </c>
      <c r="I2911" s="42" t="s">
        <v>893</v>
      </c>
    </row>
    <row r="2912" spans="1:9">
      <c r="A2912" s="42" t="s">
        <v>897</v>
      </c>
      <c r="B2912" s="42" t="s">
        <v>315</v>
      </c>
      <c r="C2912" s="42" t="s">
        <v>901</v>
      </c>
      <c r="D2912" s="42" t="s">
        <v>166</v>
      </c>
      <c r="E2912" s="42" t="s">
        <v>808</v>
      </c>
      <c r="F2912" s="45">
        <v>13418191.11217013</v>
      </c>
      <c r="G2912" s="42" t="s">
        <v>1025</v>
      </c>
      <c r="H2912" s="42" t="s">
        <v>1044</v>
      </c>
      <c r="I2912" s="42" t="s">
        <v>893</v>
      </c>
    </row>
    <row r="2913" spans="1:9">
      <c r="A2913" s="42" t="s">
        <v>897</v>
      </c>
      <c r="B2913" s="42" t="s">
        <v>316</v>
      </c>
      <c r="C2913" s="42" t="s">
        <v>1004</v>
      </c>
      <c r="D2913" s="42" t="s">
        <v>166</v>
      </c>
      <c r="E2913" s="42" t="s">
        <v>808</v>
      </c>
      <c r="F2913" s="45">
        <v>51024961.15800006</v>
      </c>
      <c r="G2913" s="42" t="s">
        <v>1025</v>
      </c>
      <c r="H2913" s="42" t="s">
        <v>1044</v>
      </c>
      <c r="I2913" s="42" t="s">
        <v>893</v>
      </c>
    </row>
    <row r="2914" spans="1:9">
      <c r="A2914" s="42" t="s">
        <v>897</v>
      </c>
      <c r="B2914" s="42" t="s">
        <v>317</v>
      </c>
      <c r="C2914" s="42" t="s">
        <v>967</v>
      </c>
      <c r="D2914" s="42" t="s">
        <v>166</v>
      </c>
      <c r="E2914" s="42" t="s">
        <v>808</v>
      </c>
      <c r="F2914" s="45">
        <v>95191514.54427518</v>
      </c>
      <c r="G2914" s="42" t="s">
        <v>1025</v>
      </c>
      <c r="H2914" s="42" t="s">
        <v>1044</v>
      </c>
      <c r="I2914" s="42" t="s">
        <v>893</v>
      </c>
    </row>
    <row r="2915" spans="1:9">
      <c r="A2915" s="42" t="s">
        <v>897</v>
      </c>
      <c r="B2915" s="42" t="s">
        <v>318</v>
      </c>
      <c r="C2915" s="42" t="s">
        <v>904</v>
      </c>
      <c r="D2915" s="42" t="s">
        <v>166</v>
      </c>
      <c r="E2915" s="42" t="s">
        <v>808</v>
      </c>
      <c r="F2915" s="45">
        <v>-264352300.7165446</v>
      </c>
      <c r="G2915" s="42" t="s">
        <v>1025</v>
      </c>
      <c r="H2915" s="42" t="s">
        <v>1044</v>
      </c>
      <c r="I2915" s="42" t="s">
        <v>893</v>
      </c>
    </row>
    <row r="2916" spans="1:9">
      <c r="A2916" s="42" t="s">
        <v>897</v>
      </c>
      <c r="B2916" s="42" t="s">
        <v>319</v>
      </c>
      <c r="C2916" s="42" t="s">
        <v>907</v>
      </c>
      <c r="D2916" s="42" t="s">
        <v>166</v>
      </c>
      <c r="E2916" s="42" t="s">
        <v>808</v>
      </c>
      <c r="F2916" s="45">
        <v>316531943.0088264</v>
      </c>
      <c r="G2916" s="42" t="s">
        <v>1025</v>
      </c>
      <c r="H2916" s="42" t="s">
        <v>1044</v>
      </c>
      <c r="I2916" s="42" t="s">
        <v>893</v>
      </c>
    </row>
    <row r="2917" spans="1:9">
      <c r="A2917" s="42" t="s">
        <v>897</v>
      </c>
      <c r="B2917" s="42" t="s">
        <v>357</v>
      </c>
      <c r="C2917" s="42" t="s">
        <v>908</v>
      </c>
      <c r="D2917" s="42" t="s">
        <v>166</v>
      </c>
      <c r="E2917" s="42" t="s">
        <v>808</v>
      </c>
      <c r="F2917" s="45">
        <v>83425711.95185301</v>
      </c>
      <c r="G2917" s="42" t="s">
        <v>1025</v>
      </c>
      <c r="H2917" s="42" t="s">
        <v>1044</v>
      </c>
      <c r="I2917" s="42" t="s">
        <v>864</v>
      </c>
    </row>
    <row r="2918" spans="1:9">
      <c r="A2918" s="42" t="s">
        <v>897</v>
      </c>
      <c r="B2918" s="42" t="s">
        <v>251</v>
      </c>
      <c r="C2918" s="42" t="s">
        <v>909</v>
      </c>
      <c r="D2918" s="42" t="s">
        <v>166</v>
      </c>
      <c r="E2918" s="42" t="s">
        <v>808</v>
      </c>
      <c r="F2918" s="45">
        <v>497707.3854662511</v>
      </c>
      <c r="G2918" s="42" t="s">
        <v>1025</v>
      </c>
      <c r="H2918" s="42" t="s">
        <v>1044</v>
      </c>
      <c r="I2918" s="42" t="s">
        <v>893</v>
      </c>
    </row>
    <row r="2919" spans="1:9">
      <c r="A2919" s="42" t="s">
        <v>897</v>
      </c>
      <c r="B2919" s="42" t="s">
        <v>321</v>
      </c>
      <c r="C2919" s="42" t="s">
        <v>1049</v>
      </c>
      <c r="D2919" s="42" t="s">
        <v>166</v>
      </c>
      <c r="E2919" s="42" t="s">
        <v>808</v>
      </c>
      <c r="F2919" s="45">
        <v>0</v>
      </c>
      <c r="G2919" s="42" t="s">
        <v>1025</v>
      </c>
      <c r="H2919" s="42" t="s">
        <v>1065</v>
      </c>
      <c r="I2919" s="42" t="s">
        <v>893</v>
      </c>
    </row>
    <row r="2920" spans="1:9">
      <c r="A2920" s="42" t="s">
        <v>897</v>
      </c>
      <c r="B2920" s="42" t="s">
        <v>361</v>
      </c>
      <c r="C2920" s="42" t="s">
        <v>1029</v>
      </c>
      <c r="D2920" s="42" t="s">
        <v>166</v>
      </c>
      <c r="E2920" s="42" t="s">
        <v>808</v>
      </c>
      <c r="F2920" s="45">
        <v>0</v>
      </c>
      <c r="G2920" s="42" t="s">
        <v>1025</v>
      </c>
      <c r="H2920" s="42" t="s">
        <v>1044</v>
      </c>
      <c r="I2920" s="42" t="s">
        <v>861</v>
      </c>
    </row>
    <row r="2921" spans="1:9">
      <c r="A2921" s="42" t="s">
        <v>897</v>
      </c>
      <c r="B2921" s="42" t="s">
        <v>362</v>
      </c>
      <c r="C2921" s="42" t="s">
        <v>1050</v>
      </c>
      <c r="D2921" s="42" t="s">
        <v>166</v>
      </c>
      <c r="E2921" s="42" t="s">
        <v>808</v>
      </c>
      <c r="F2921" s="45">
        <v>0</v>
      </c>
      <c r="G2921" s="42" t="s">
        <v>1025</v>
      </c>
      <c r="H2921" s="42" t="s">
        <v>1044</v>
      </c>
      <c r="I2921" s="42" t="s">
        <v>870</v>
      </c>
    </row>
    <row r="2922" spans="1:9">
      <c r="A2922" s="42" t="s">
        <v>897</v>
      </c>
      <c r="B2922" s="42" t="s">
        <v>363</v>
      </c>
      <c r="C2922" s="42" t="s">
        <v>1006</v>
      </c>
      <c r="D2922" s="42" t="s">
        <v>166</v>
      </c>
      <c r="E2922" s="42" t="s">
        <v>808</v>
      </c>
      <c r="F2922" s="45">
        <v>-5325469.024488887</v>
      </c>
      <c r="G2922" s="42" t="s">
        <v>1025</v>
      </c>
      <c r="H2922" s="42" t="s">
        <v>1044</v>
      </c>
      <c r="I2922" s="42" t="s">
        <v>864</v>
      </c>
    </row>
    <row r="2923" spans="1:9">
      <c r="A2923" s="42" t="s">
        <v>897</v>
      </c>
      <c r="B2923" s="42" t="s">
        <v>293</v>
      </c>
      <c r="C2923" s="42" t="s">
        <v>912</v>
      </c>
      <c r="D2923" s="42" t="s">
        <v>166</v>
      </c>
      <c r="E2923" s="42" t="s">
        <v>808</v>
      </c>
      <c r="F2923" s="45">
        <v>353402106.1241662</v>
      </c>
      <c r="G2923" s="42" t="s">
        <v>1025</v>
      </c>
      <c r="H2923" s="42" t="s">
        <v>1044</v>
      </c>
      <c r="I2923" s="42" t="s">
        <v>893</v>
      </c>
    </row>
    <row r="2924" spans="1:9">
      <c r="A2924" s="42" t="s">
        <v>897</v>
      </c>
      <c r="B2924" s="42" t="s">
        <v>369</v>
      </c>
      <c r="C2924" s="42" t="s">
        <v>970</v>
      </c>
      <c r="D2924" s="42" t="s">
        <v>166</v>
      </c>
      <c r="E2924" s="42" t="s">
        <v>808</v>
      </c>
      <c r="F2924" s="45">
        <v>-40204802.59796377</v>
      </c>
      <c r="G2924" s="42" t="s">
        <v>1025</v>
      </c>
      <c r="H2924" s="42" t="s">
        <v>1044</v>
      </c>
      <c r="I2924" s="42" t="s">
        <v>886</v>
      </c>
    </row>
    <row r="2925" spans="1:9">
      <c r="A2925" s="42" t="s">
        <v>897</v>
      </c>
      <c r="B2925" s="42" t="s">
        <v>292</v>
      </c>
      <c r="C2925" s="42" t="s">
        <v>913</v>
      </c>
      <c r="D2925" s="42" t="s">
        <v>166</v>
      </c>
      <c r="E2925" s="42" t="s">
        <v>808</v>
      </c>
      <c r="F2925" s="45">
        <v>-159355950.6785843</v>
      </c>
      <c r="G2925" s="42" t="s">
        <v>1025</v>
      </c>
      <c r="H2925" s="42" t="s">
        <v>1044</v>
      </c>
      <c r="I2925" s="42" t="s">
        <v>893</v>
      </c>
    </row>
    <row r="2926" spans="1:9">
      <c r="A2926" s="42" t="s">
        <v>897</v>
      </c>
      <c r="B2926" s="42" t="s">
        <v>241</v>
      </c>
      <c r="C2926" s="42" t="s">
        <v>914</v>
      </c>
      <c r="D2926" s="42" t="s">
        <v>166</v>
      </c>
      <c r="E2926" s="42" t="s">
        <v>808</v>
      </c>
      <c r="F2926" s="45">
        <v>-79722769.00398409</v>
      </c>
      <c r="G2926" s="42" t="s">
        <v>1025</v>
      </c>
      <c r="H2926" s="42" t="s">
        <v>1044</v>
      </c>
      <c r="I2926" s="42" t="s">
        <v>893</v>
      </c>
    </row>
    <row r="2927" spans="1:9">
      <c r="A2927" s="42" t="s">
        <v>897</v>
      </c>
      <c r="B2927" s="42" t="s">
        <v>310</v>
      </c>
      <c r="C2927" s="42" t="s">
        <v>915</v>
      </c>
      <c r="D2927" s="42" t="s">
        <v>166</v>
      </c>
      <c r="E2927" s="42" t="s">
        <v>808</v>
      </c>
      <c r="F2927" s="45">
        <v>-56250888.7053957</v>
      </c>
      <c r="G2927" s="42" t="s">
        <v>1025</v>
      </c>
      <c r="H2927" s="42" t="s">
        <v>1044</v>
      </c>
      <c r="I2927" s="42" t="s">
        <v>893</v>
      </c>
    </row>
    <row r="2928" spans="1:9">
      <c r="A2928" s="42" t="s">
        <v>897</v>
      </c>
      <c r="B2928" s="42" t="s">
        <v>305</v>
      </c>
      <c r="C2928" s="42" t="s">
        <v>916</v>
      </c>
      <c r="D2928" s="42" t="s">
        <v>166</v>
      </c>
      <c r="E2928" s="42" t="s">
        <v>808</v>
      </c>
      <c r="F2928" s="45">
        <v>-48914681.84362315</v>
      </c>
      <c r="G2928" s="42" t="s">
        <v>1025</v>
      </c>
      <c r="H2928" s="42" t="s">
        <v>1044</v>
      </c>
      <c r="I2928" s="42" t="s">
        <v>893</v>
      </c>
    </row>
    <row r="2929" spans="1:9">
      <c r="A2929" s="42" t="s">
        <v>897</v>
      </c>
      <c r="B2929" s="42" t="s">
        <v>306</v>
      </c>
      <c r="C2929" s="42" t="s">
        <v>917</v>
      </c>
      <c r="D2929" s="42" t="s">
        <v>166</v>
      </c>
      <c r="E2929" s="42" t="s">
        <v>808</v>
      </c>
      <c r="F2929" s="45">
        <v>16265077.35703709</v>
      </c>
      <c r="G2929" s="42" t="s">
        <v>1025</v>
      </c>
      <c r="H2929" s="42" t="s">
        <v>1044</v>
      </c>
      <c r="I2929" s="42" t="s">
        <v>893</v>
      </c>
    </row>
    <row r="2930" spans="1:9">
      <c r="A2930" s="42" t="s">
        <v>897</v>
      </c>
      <c r="B2930" s="42" t="s">
        <v>309</v>
      </c>
      <c r="C2930" s="42" t="s">
        <v>918</v>
      </c>
      <c r="D2930" s="42" t="s">
        <v>166</v>
      </c>
      <c r="E2930" s="42" t="s">
        <v>808</v>
      </c>
      <c r="F2930" s="45">
        <v>-18206136.16035546</v>
      </c>
      <c r="G2930" s="42" t="s">
        <v>1025</v>
      </c>
      <c r="H2930" s="42" t="s">
        <v>1044</v>
      </c>
      <c r="I2930" s="42" t="s">
        <v>893</v>
      </c>
    </row>
    <row r="2931" spans="1:9">
      <c r="A2931" s="42" t="s">
        <v>897</v>
      </c>
      <c r="B2931" s="42" t="s">
        <v>242</v>
      </c>
      <c r="C2931" s="42" t="s">
        <v>920</v>
      </c>
      <c r="D2931" s="42" t="s">
        <v>166</v>
      </c>
      <c r="E2931" s="42" t="s">
        <v>808</v>
      </c>
      <c r="F2931" s="45">
        <v>-3971704.936020683</v>
      </c>
      <c r="G2931" s="42" t="s">
        <v>1025</v>
      </c>
      <c r="H2931" s="42" t="s">
        <v>1044</v>
      </c>
      <c r="I2931" s="42" t="s">
        <v>893</v>
      </c>
    </row>
    <row r="2932" spans="1:9">
      <c r="A2932" s="42" t="s">
        <v>897</v>
      </c>
      <c r="B2932" s="42" t="s">
        <v>302</v>
      </c>
      <c r="C2932" s="42" t="s">
        <v>921</v>
      </c>
      <c r="D2932" s="42" t="s">
        <v>166</v>
      </c>
      <c r="E2932" s="42" t="s">
        <v>808</v>
      </c>
      <c r="F2932" s="45">
        <v>-39328837.59954315</v>
      </c>
      <c r="G2932" s="42" t="s">
        <v>1025</v>
      </c>
      <c r="H2932" s="42" t="s">
        <v>1044</v>
      </c>
      <c r="I2932" s="42" t="s">
        <v>893</v>
      </c>
    </row>
    <row r="2933" spans="1:9">
      <c r="A2933" s="42" t="s">
        <v>897</v>
      </c>
      <c r="B2933" s="42" t="s">
        <v>326</v>
      </c>
      <c r="C2933" s="42" t="s">
        <v>922</v>
      </c>
      <c r="D2933" s="42" t="s">
        <v>166</v>
      </c>
      <c r="E2933" s="42" t="s">
        <v>808</v>
      </c>
      <c r="F2933" s="45">
        <v>12731354.9202267</v>
      </c>
      <c r="G2933" s="42" t="s">
        <v>1025</v>
      </c>
      <c r="H2933" s="42" t="s">
        <v>1044</v>
      </c>
      <c r="I2933" s="42" t="s">
        <v>893</v>
      </c>
    </row>
    <row r="2934" spans="1:9">
      <c r="A2934" s="42" t="s">
        <v>897</v>
      </c>
      <c r="B2934" s="42" t="s">
        <v>327</v>
      </c>
      <c r="C2934" s="42" t="s">
        <v>1009</v>
      </c>
      <c r="D2934" s="42" t="s">
        <v>166</v>
      </c>
      <c r="E2934" s="42" t="s">
        <v>808</v>
      </c>
      <c r="F2934" s="45">
        <v>13676998.95261258</v>
      </c>
      <c r="G2934" s="42" t="s">
        <v>1025</v>
      </c>
      <c r="H2934" s="42" t="s">
        <v>1044</v>
      </c>
      <c r="I2934" s="42" t="s">
        <v>893</v>
      </c>
    </row>
    <row r="2935" spans="1:9">
      <c r="A2935" s="42" t="s">
        <v>897</v>
      </c>
      <c r="B2935" s="42" t="s">
        <v>328</v>
      </c>
      <c r="C2935" s="42" t="s">
        <v>924</v>
      </c>
      <c r="D2935" s="42" t="s">
        <v>166</v>
      </c>
      <c r="E2935" s="42" t="s">
        <v>808</v>
      </c>
      <c r="F2935" s="45">
        <v>-1274130.906793603</v>
      </c>
      <c r="G2935" s="42" t="s">
        <v>1025</v>
      </c>
      <c r="H2935" s="42" t="s">
        <v>1044</v>
      </c>
      <c r="I2935" s="42" t="s">
        <v>893</v>
      </c>
    </row>
    <row r="2936" spans="1:9">
      <c r="A2936" s="42" t="s">
        <v>897</v>
      </c>
      <c r="B2936" s="42" t="s">
        <v>329</v>
      </c>
      <c r="C2936" s="42" t="s">
        <v>925</v>
      </c>
      <c r="D2936" s="42" t="s">
        <v>166</v>
      </c>
      <c r="E2936" s="42" t="s">
        <v>808</v>
      </c>
      <c r="F2936" s="45">
        <v>1066766101.712944</v>
      </c>
      <c r="G2936" s="42" t="s">
        <v>1025</v>
      </c>
      <c r="H2936" s="42" t="s">
        <v>1044</v>
      </c>
      <c r="I2936" s="42" t="s">
        <v>893</v>
      </c>
    </row>
    <row r="2937" spans="1:9">
      <c r="A2937" s="42" t="s">
        <v>897</v>
      </c>
      <c r="B2937" s="42" t="s">
        <v>372</v>
      </c>
      <c r="C2937" s="42" t="s">
        <v>926</v>
      </c>
      <c r="D2937" s="42" t="s">
        <v>166</v>
      </c>
      <c r="E2937" s="42" t="s">
        <v>808</v>
      </c>
      <c r="F2937" s="45">
        <v>80748046.21804458</v>
      </c>
      <c r="G2937" s="42" t="s">
        <v>1025</v>
      </c>
      <c r="H2937" s="42" t="s">
        <v>1044</v>
      </c>
      <c r="I2937" s="42" t="s">
        <v>896</v>
      </c>
    </row>
    <row r="2938" spans="1:9">
      <c r="A2938" s="42" t="s">
        <v>897</v>
      </c>
      <c r="B2938" s="42" t="s">
        <v>373</v>
      </c>
      <c r="C2938" s="42" t="s">
        <v>1032</v>
      </c>
      <c r="D2938" s="42" t="s">
        <v>166</v>
      </c>
      <c r="E2938" s="42" t="s">
        <v>808</v>
      </c>
      <c r="F2938" s="45">
        <v>-47003485.48343275</v>
      </c>
      <c r="G2938" s="42" t="s">
        <v>1025</v>
      </c>
      <c r="H2938" s="42" t="s">
        <v>1044</v>
      </c>
      <c r="I2938" s="42" t="s">
        <v>896</v>
      </c>
    </row>
    <row r="2939" spans="1:9">
      <c r="A2939" s="42" t="s">
        <v>897</v>
      </c>
      <c r="B2939" s="42" t="s">
        <v>330</v>
      </c>
      <c r="C2939" s="42" t="s">
        <v>927</v>
      </c>
      <c r="D2939" s="42" t="s">
        <v>166</v>
      </c>
      <c r="E2939" s="42" t="s">
        <v>808</v>
      </c>
      <c r="F2939" s="45">
        <v>-756604813.2380855</v>
      </c>
      <c r="G2939" s="42" t="s">
        <v>1025</v>
      </c>
      <c r="H2939" s="42" t="s">
        <v>1044</v>
      </c>
      <c r="I2939" s="42" t="s">
        <v>893</v>
      </c>
    </row>
    <row r="2940" spans="1:9">
      <c r="A2940" s="42" t="s">
        <v>897</v>
      </c>
      <c r="B2940" s="42" t="s">
        <v>384</v>
      </c>
      <c r="C2940" s="42" t="s">
        <v>1012</v>
      </c>
      <c r="D2940" s="42" t="s">
        <v>166</v>
      </c>
      <c r="E2940" s="42" t="s">
        <v>808</v>
      </c>
      <c r="F2940" s="45">
        <v>14831680.08689428</v>
      </c>
      <c r="G2940" s="42" t="s">
        <v>1025</v>
      </c>
      <c r="H2940" s="42" t="s">
        <v>1044</v>
      </c>
      <c r="I2940" s="42" t="s">
        <v>822</v>
      </c>
    </row>
    <row r="2941" spans="1:9">
      <c r="A2941" s="42" t="s">
        <v>897</v>
      </c>
      <c r="B2941" s="42" t="s">
        <v>334</v>
      </c>
      <c r="C2941" s="42" t="s">
        <v>933</v>
      </c>
      <c r="D2941" s="42" t="s">
        <v>166</v>
      </c>
      <c r="E2941" s="42" t="s">
        <v>808</v>
      </c>
      <c r="F2941" s="45">
        <v>-19908.29541865004</v>
      </c>
      <c r="G2941" s="42" t="s">
        <v>1025</v>
      </c>
      <c r="H2941" s="42" t="s">
        <v>1044</v>
      </c>
      <c r="I2941" s="42" t="s">
        <v>893</v>
      </c>
    </row>
    <row r="2942" spans="1:9">
      <c r="A2942" s="42" t="s">
        <v>897</v>
      </c>
      <c r="B2942" s="42" t="s">
        <v>336</v>
      </c>
      <c r="C2942" s="42" t="s">
        <v>938</v>
      </c>
      <c r="D2942" s="42" t="s">
        <v>166</v>
      </c>
      <c r="E2942" s="42" t="s">
        <v>808</v>
      </c>
      <c r="F2942" s="45">
        <v>-708048480.7119981</v>
      </c>
      <c r="G2942" s="42" t="s">
        <v>1025</v>
      </c>
      <c r="H2942" s="42" t="s">
        <v>1044</v>
      </c>
      <c r="I2942" s="42" t="s">
        <v>893</v>
      </c>
    </row>
    <row r="2943" spans="1:9">
      <c r="A2943" s="42" t="s">
        <v>897</v>
      </c>
      <c r="B2943" s="42" t="s">
        <v>337</v>
      </c>
      <c r="C2943" s="42" t="s">
        <v>991</v>
      </c>
      <c r="D2943" s="42" t="s">
        <v>166</v>
      </c>
      <c r="E2943" s="42" t="s">
        <v>808</v>
      </c>
      <c r="F2943" s="45">
        <v>-377620547.500954</v>
      </c>
      <c r="G2943" s="42" t="s">
        <v>1025</v>
      </c>
      <c r="H2943" s="42" t="s">
        <v>1044</v>
      </c>
      <c r="I2943" s="42" t="s">
        <v>893</v>
      </c>
    </row>
    <row r="2944" spans="1:9">
      <c r="A2944" s="42" t="s">
        <v>897</v>
      </c>
      <c r="B2944" s="42" t="s">
        <v>338</v>
      </c>
      <c r="C2944" s="42" t="s">
        <v>972</v>
      </c>
      <c r="D2944" s="42" t="s">
        <v>166</v>
      </c>
      <c r="E2944" s="42" t="s">
        <v>808</v>
      </c>
      <c r="F2944" s="45">
        <v>-107305712.3065237</v>
      </c>
      <c r="G2944" s="42" t="s">
        <v>1025</v>
      </c>
      <c r="H2944" s="42" t="s">
        <v>1044</v>
      </c>
      <c r="I2944" s="42" t="s">
        <v>893</v>
      </c>
    </row>
    <row r="2945" spans="1:9">
      <c r="A2945" s="42" t="s">
        <v>897</v>
      </c>
      <c r="B2945" s="42" t="s">
        <v>939</v>
      </c>
      <c r="C2945" s="42" t="s">
        <v>973</v>
      </c>
      <c r="D2945" s="42" t="s">
        <v>166</v>
      </c>
      <c r="E2945" s="42" t="s">
        <v>808</v>
      </c>
      <c r="F2945" s="45">
        <v>205025580.3689675</v>
      </c>
      <c r="G2945" s="42" t="s">
        <v>1025</v>
      </c>
      <c r="H2945" s="42" t="s">
        <v>1044</v>
      </c>
      <c r="I2945" s="42" t="s">
        <v>893</v>
      </c>
    </row>
    <row r="2946" spans="1:9">
      <c r="A2946" s="42" t="s">
        <v>897</v>
      </c>
      <c r="B2946" s="42" t="s">
        <v>342</v>
      </c>
      <c r="C2946" s="42" t="s">
        <v>1014</v>
      </c>
      <c r="D2946" s="42" t="s">
        <v>166</v>
      </c>
      <c r="E2946" s="42" t="s">
        <v>808</v>
      </c>
      <c r="F2946" s="45">
        <v>-75203585.94395053</v>
      </c>
      <c r="G2946" s="42" t="s">
        <v>1025</v>
      </c>
      <c r="H2946" s="42" t="s">
        <v>1044</v>
      </c>
      <c r="I2946" s="42" t="s">
        <v>893</v>
      </c>
    </row>
    <row r="2947" spans="1:9">
      <c r="A2947" s="42" t="s">
        <v>897</v>
      </c>
      <c r="B2947" s="42" t="s">
        <v>392</v>
      </c>
      <c r="C2947" s="42" t="s">
        <v>1015</v>
      </c>
      <c r="D2947" s="42" t="s">
        <v>166</v>
      </c>
      <c r="E2947" s="42" t="s">
        <v>808</v>
      </c>
      <c r="F2947" s="45">
        <v>8490887.996054243</v>
      </c>
      <c r="G2947" s="42" t="s">
        <v>1025</v>
      </c>
      <c r="H2947" s="42" t="s">
        <v>1044</v>
      </c>
      <c r="I2947" s="42" t="s">
        <v>864</v>
      </c>
    </row>
    <row r="2948" spans="1:9">
      <c r="A2948" s="42" t="s">
        <v>897</v>
      </c>
      <c r="B2948" s="42" t="s">
        <v>343</v>
      </c>
      <c r="C2948" s="42" t="s">
        <v>1016</v>
      </c>
      <c r="D2948" s="42" t="s">
        <v>166</v>
      </c>
      <c r="E2948" s="42" t="s">
        <v>808</v>
      </c>
      <c r="F2948" s="45">
        <v>-358349.3175357007</v>
      </c>
      <c r="G2948" s="42" t="s">
        <v>1025</v>
      </c>
      <c r="H2948" s="42" t="s">
        <v>1044</v>
      </c>
      <c r="I2948" s="42" t="s">
        <v>893</v>
      </c>
    </row>
    <row r="2949" spans="1:9">
      <c r="A2949" s="42" t="s">
        <v>897</v>
      </c>
      <c r="B2949" s="42" t="s">
        <v>344</v>
      </c>
      <c r="C2949" s="42" t="s">
        <v>980</v>
      </c>
      <c r="D2949" s="42" t="s">
        <v>166</v>
      </c>
      <c r="E2949" s="42" t="s">
        <v>808</v>
      </c>
      <c r="F2949" s="45">
        <v>-355462614.6999965</v>
      </c>
      <c r="G2949" s="42" t="s">
        <v>1025</v>
      </c>
      <c r="H2949" s="42" t="s">
        <v>1044</v>
      </c>
      <c r="I2949" s="42" t="s">
        <v>893</v>
      </c>
    </row>
    <row r="2950" spans="1:9">
      <c r="A2950" s="42" t="s">
        <v>897</v>
      </c>
      <c r="B2950" s="42" t="s">
        <v>346</v>
      </c>
      <c r="C2950" s="42" t="s">
        <v>956</v>
      </c>
      <c r="D2950" s="42" t="s">
        <v>166</v>
      </c>
      <c r="E2950" s="42" t="s">
        <v>808</v>
      </c>
      <c r="F2950" s="45">
        <v>11745894.29700353</v>
      </c>
      <c r="G2950" s="42" t="s">
        <v>1025</v>
      </c>
      <c r="H2950" s="42" t="s">
        <v>1044</v>
      </c>
      <c r="I2950" s="42" t="s">
        <v>893</v>
      </c>
    </row>
    <row r="2951" spans="1:9">
      <c r="A2951" s="42" t="s">
        <v>897</v>
      </c>
      <c r="B2951" s="42" t="s">
        <v>347</v>
      </c>
      <c r="C2951" s="42" t="s">
        <v>981</v>
      </c>
      <c r="D2951" s="42" t="s">
        <v>166</v>
      </c>
      <c r="E2951" s="42" t="s">
        <v>808</v>
      </c>
      <c r="F2951" s="45">
        <v>622827015.9731889</v>
      </c>
      <c r="G2951" s="42" t="s">
        <v>1039</v>
      </c>
      <c r="H2951" s="42" t="s">
        <v>114</v>
      </c>
      <c r="I2951" s="42" t="s">
        <v>893</v>
      </c>
    </row>
    <row r="2952" spans="1:9">
      <c r="A2952" s="42" t="s">
        <v>897</v>
      </c>
      <c r="B2952" s="42" t="s">
        <v>348</v>
      </c>
      <c r="C2952" s="42" t="s">
        <v>982</v>
      </c>
      <c r="D2952" s="42" t="s">
        <v>166</v>
      </c>
      <c r="E2952" s="42" t="s">
        <v>808</v>
      </c>
      <c r="F2952" s="45">
        <v>611000000</v>
      </c>
      <c r="G2952" s="42" t="s">
        <v>985</v>
      </c>
      <c r="H2952" s="42" t="s">
        <v>129</v>
      </c>
      <c r="I2952" s="42" t="s">
        <v>893</v>
      </c>
    </row>
    <row r="2953" spans="1:9">
      <c r="A2953" s="42" t="s">
        <v>897</v>
      </c>
      <c r="B2953" s="42" t="s">
        <v>346</v>
      </c>
      <c r="C2953" s="42" t="s">
        <v>961</v>
      </c>
      <c r="D2953" s="42" t="s">
        <v>166</v>
      </c>
      <c r="E2953" s="42" t="s">
        <v>808</v>
      </c>
      <c r="F2953" s="45">
        <v>11745894.29700353</v>
      </c>
      <c r="G2953" s="42" t="s">
        <v>1025</v>
      </c>
      <c r="H2953" s="42" t="s">
        <v>1044</v>
      </c>
      <c r="I2953" s="42" t="s">
        <v>893</v>
      </c>
    </row>
    <row r="2954" spans="1:9">
      <c r="A2954" s="42" t="s">
        <v>897</v>
      </c>
      <c r="B2954" s="42" t="s">
        <v>350</v>
      </c>
      <c r="C2954" s="42" t="s">
        <v>1003</v>
      </c>
      <c r="D2954" s="42" t="s">
        <v>867</v>
      </c>
      <c r="E2954" s="42" t="s">
        <v>762</v>
      </c>
      <c r="F2954" s="45">
        <v>2234000000</v>
      </c>
      <c r="G2954" s="42" t="s">
        <v>763</v>
      </c>
      <c r="H2954" s="42" t="s">
        <v>119</v>
      </c>
      <c r="I2954" s="42" t="s">
        <v>854</v>
      </c>
    </row>
    <row r="2955" spans="1:9">
      <c r="A2955" s="42" t="s">
        <v>897</v>
      </c>
      <c r="B2955" s="42" t="s">
        <v>313</v>
      </c>
      <c r="C2955" s="42" t="s">
        <v>994</v>
      </c>
      <c r="D2955" s="42" t="s">
        <v>867</v>
      </c>
      <c r="E2955" s="42" t="s">
        <v>762</v>
      </c>
      <c r="F2955" s="45">
        <v>2234000000</v>
      </c>
      <c r="G2955" s="42" t="s">
        <v>763</v>
      </c>
      <c r="H2955" s="42" t="s">
        <v>139</v>
      </c>
      <c r="I2955" s="42" t="s">
        <v>893</v>
      </c>
    </row>
    <row r="2956" spans="1:9">
      <c r="A2956" s="42" t="s">
        <v>897</v>
      </c>
      <c r="B2956" s="42" t="s">
        <v>201</v>
      </c>
      <c r="C2956" s="42" t="s">
        <v>966</v>
      </c>
      <c r="D2956" s="42" t="s">
        <v>867</v>
      </c>
      <c r="E2956" s="42" t="s">
        <v>762</v>
      </c>
      <c r="F2956" s="45">
        <v>-446000000</v>
      </c>
      <c r="G2956" s="42" t="s">
        <v>763</v>
      </c>
      <c r="H2956" s="42" t="s">
        <v>139</v>
      </c>
      <c r="I2956" s="42" t="s">
        <v>893</v>
      </c>
    </row>
    <row r="2957" spans="1:9">
      <c r="A2957" s="42" t="s">
        <v>897</v>
      </c>
      <c r="B2957" s="42" t="s">
        <v>314</v>
      </c>
      <c r="C2957" s="42" t="s">
        <v>900</v>
      </c>
      <c r="D2957" s="42" t="s">
        <v>867</v>
      </c>
      <c r="E2957" s="42" t="s">
        <v>762</v>
      </c>
      <c r="F2957" s="45">
        <v>2551000000</v>
      </c>
      <c r="G2957" s="42" t="s">
        <v>763</v>
      </c>
      <c r="H2957" s="42" t="s">
        <v>139</v>
      </c>
      <c r="I2957" s="42" t="s">
        <v>893</v>
      </c>
    </row>
    <row r="2958" spans="1:9">
      <c r="A2958" s="42" t="s">
        <v>897</v>
      </c>
      <c r="B2958" s="42" t="s">
        <v>315</v>
      </c>
      <c r="C2958" s="42" t="s">
        <v>901</v>
      </c>
      <c r="D2958" s="42" t="s">
        <v>867</v>
      </c>
      <c r="E2958" s="42" t="s">
        <v>762</v>
      </c>
      <c r="F2958" s="45">
        <v>43000000</v>
      </c>
      <c r="G2958" s="42" t="s">
        <v>763</v>
      </c>
      <c r="H2958" s="42" t="s">
        <v>139</v>
      </c>
      <c r="I2958" s="42" t="s">
        <v>893</v>
      </c>
    </row>
    <row r="2959" spans="1:9">
      <c r="A2959" s="42" t="s">
        <v>897</v>
      </c>
      <c r="B2959" s="42" t="s">
        <v>316</v>
      </c>
      <c r="C2959" s="42" t="s">
        <v>1004</v>
      </c>
      <c r="D2959" s="42" t="s">
        <v>867</v>
      </c>
      <c r="E2959" s="42" t="s">
        <v>762</v>
      </c>
      <c r="F2959" s="45">
        <v>214000000</v>
      </c>
      <c r="G2959" s="42" t="s">
        <v>763</v>
      </c>
      <c r="H2959" s="42" t="s">
        <v>139</v>
      </c>
      <c r="I2959" s="42" t="s">
        <v>893</v>
      </c>
    </row>
    <row r="2960" spans="1:9">
      <c r="A2960" s="42" t="s">
        <v>897</v>
      </c>
      <c r="B2960" s="42" t="s">
        <v>317</v>
      </c>
      <c r="C2960" s="42" t="s">
        <v>967</v>
      </c>
      <c r="D2960" s="42" t="s">
        <v>867</v>
      </c>
      <c r="E2960" s="42" t="s">
        <v>762</v>
      </c>
      <c r="F2960" s="45">
        <v>375000000</v>
      </c>
      <c r="G2960" s="42" t="s">
        <v>763</v>
      </c>
      <c r="H2960" s="42" t="s">
        <v>139</v>
      </c>
      <c r="I2960" s="42" t="s">
        <v>893</v>
      </c>
    </row>
    <row r="2961" spans="1:9">
      <c r="A2961" s="42" t="s">
        <v>897</v>
      </c>
      <c r="B2961" s="42" t="s">
        <v>318</v>
      </c>
      <c r="C2961" s="42" t="s">
        <v>904</v>
      </c>
      <c r="D2961" s="42" t="s">
        <v>867</v>
      </c>
      <c r="E2961" s="42" t="s">
        <v>762</v>
      </c>
      <c r="F2961" s="45">
        <v>822000000</v>
      </c>
      <c r="G2961" s="42" t="s">
        <v>763</v>
      </c>
      <c r="H2961" s="42" t="s">
        <v>139</v>
      </c>
      <c r="I2961" s="42" t="s">
        <v>893</v>
      </c>
    </row>
    <row r="2962" spans="1:9">
      <c r="A2962" s="42" t="s">
        <v>897</v>
      </c>
      <c r="B2962" s="42" t="s">
        <v>319</v>
      </c>
      <c r="C2962" s="42" t="s">
        <v>907</v>
      </c>
      <c r="D2962" s="42" t="s">
        <v>867</v>
      </c>
      <c r="E2962" s="42" t="s">
        <v>762</v>
      </c>
      <c r="F2962" s="45">
        <v>139000000</v>
      </c>
      <c r="G2962" s="42" t="s">
        <v>763</v>
      </c>
      <c r="H2962" s="42" t="s">
        <v>139</v>
      </c>
      <c r="I2962" s="42" t="s">
        <v>893</v>
      </c>
    </row>
    <row r="2963" spans="1:9">
      <c r="A2963" s="42" t="s">
        <v>897</v>
      </c>
      <c r="B2963" s="42" t="s">
        <v>352</v>
      </c>
      <c r="C2963" s="42" t="s">
        <v>1045</v>
      </c>
      <c r="D2963" s="42" t="s">
        <v>867</v>
      </c>
      <c r="E2963" s="42" t="s">
        <v>762</v>
      </c>
      <c r="F2963" s="45">
        <v>141130188.3214591</v>
      </c>
      <c r="G2963" s="42" t="s">
        <v>763</v>
      </c>
      <c r="H2963" s="42" t="s">
        <v>127</v>
      </c>
      <c r="I2963" s="42" t="s">
        <v>1046</v>
      </c>
    </row>
    <row r="2964" spans="1:9">
      <c r="A2964" s="42" t="s">
        <v>897</v>
      </c>
      <c r="B2964" s="42" t="s">
        <v>223</v>
      </c>
      <c r="C2964" s="42" t="s">
        <v>1047</v>
      </c>
      <c r="D2964" s="42" t="s">
        <v>867</v>
      </c>
      <c r="E2964" s="42" t="s">
        <v>762</v>
      </c>
      <c r="F2964" s="45">
        <v>123000000</v>
      </c>
      <c r="G2964" s="42" t="s">
        <v>763</v>
      </c>
      <c r="H2964" s="42" t="s">
        <v>129</v>
      </c>
      <c r="I2964" s="42" t="s">
        <v>861</v>
      </c>
    </row>
    <row r="2965" spans="1:9">
      <c r="A2965" s="42" t="s">
        <v>897</v>
      </c>
      <c r="B2965" s="42" t="s">
        <v>353</v>
      </c>
      <c r="C2965" s="42" t="s">
        <v>1005</v>
      </c>
      <c r="D2965" s="42" t="s">
        <v>867</v>
      </c>
      <c r="E2965" s="42" t="s">
        <v>762</v>
      </c>
      <c r="F2965" s="45">
        <v>123000000</v>
      </c>
      <c r="G2965" s="42" t="s">
        <v>763</v>
      </c>
      <c r="H2965" s="42" t="s">
        <v>119</v>
      </c>
      <c r="I2965" s="42" t="s">
        <v>854</v>
      </c>
    </row>
    <row r="2966" spans="1:9">
      <c r="A2966" s="42" t="s">
        <v>897</v>
      </c>
      <c r="B2966" s="42" t="s">
        <v>198</v>
      </c>
      <c r="C2966" s="42" t="s">
        <v>1066</v>
      </c>
      <c r="D2966" s="42" t="s">
        <v>867</v>
      </c>
      <c r="E2966" s="42" t="s">
        <v>762</v>
      </c>
      <c r="F2966" s="45">
        <v>123000000</v>
      </c>
      <c r="G2966" s="42" t="s">
        <v>763</v>
      </c>
      <c r="H2966" s="42" t="s">
        <v>139</v>
      </c>
      <c r="I2966" s="42" t="s">
        <v>893</v>
      </c>
    </row>
    <row r="2967" spans="1:9">
      <c r="A2967" s="42" t="s">
        <v>897</v>
      </c>
      <c r="B2967" s="42" t="s">
        <v>356</v>
      </c>
      <c r="C2967" s="42" t="s">
        <v>1028</v>
      </c>
      <c r="D2967" s="42" t="s">
        <v>867</v>
      </c>
      <c r="E2967" s="42" t="s">
        <v>762</v>
      </c>
      <c r="F2967" s="45">
        <v>-73000000</v>
      </c>
      <c r="G2967" s="42" t="s">
        <v>763</v>
      </c>
      <c r="H2967" s="42" t="s">
        <v>119</v>
      </c>
      <c r="I2967" s="42" t="s">
        <v>854</v>
      </c>
    </row>
    <row r="2968" spans="1:9">
      <c r="A2968" s="42" t="s">
        <v>897</v>
      </c>
      <c r="B2968" s="42" t="s">
        <v>320</v>
      </c>
      <c r="C2968" s="42" t="s">
        <v>1048</v>
      </c>
      <c r="D2968" s="42" t="s">
        <v>867</v>
      </c>
      <c r="E2968" s="42" t="s">
        <v>762</v>
      </c>
      <c r="F2968" s="45">
        <v>-73000000</v>
      </c>
      <c r="G2968" s="42" t="s">
        <v>763</v>
      </c>
      <c r="H2968" s="42" t="s">
        <v>139</v>
      </c>
      <c r="I2968" s="42" t="s">
        <v>893</v>
      </c>
    </row>
    <row r="2969" spans="1:9">
      <c r="A2969" s="42" t="s">
        <v>897</v>
      </c>
      <c r="B2969" s="42" t="s">
        <v>251</v>
      </c>
      <c r="C2969" s="42" t="s">
        <v>909</v>
      </c>
      <c r="D2969" s="42" t="s">
        <v>867</v>
      </c>
      <c r="E2969" s="42" t="s">
        <v>762</v>
      </c>
      <c r="F2969" s="45">
        <v>8000000</v>
      </c>
      <c r="G2969" s="42" t="s">
        <v>763</v>
      </c>
      <c r="H2969" s="42" t="s">
        <v>139</v>
      </c>
      <c r="I2969" s="42" t="s">
        <v>893</v>
      </c>
    </row>
    <row r="2970" spans="1:9">
      <c r="A2970" s="42" t="s">
        <v>897</v>
      </c>
      <c r="B2970" s="42" t="s">
        <v>293</v>
      </c>
      <c r="C2970" s="42" t="s">
        <v>912</v>
      </c>
      <c r="D2970" s="42" t="s">
        <v>867</v>
      </c>
      <c r="E2970" s="42" t="s">
        <v>762</v>
      </c>
      <c r="F2970" s="45">
        <v>-397000000</v>
      </c>
      <c r="G2970" s="42" t="s">
        <v>763</v>
      </c>
      <c r="H2970" s="42" t="s">
        <v>139</v>
      </c>
      <c r="I2970" s="42" t="s">
        <v>893</v>
      </c>
    </row>
    <row r="2971" spans="1:9">
      <c r="A2971" s="42" t="s">
        <v>897</v>
      </c>
      <c r="B2971" s="42" t="s">
        <v>369</v>
      </c>
      <c r="C2971" s="42" t="s">
        <v>970</v>
      </c>
      <c r="D2971" s="42" t="s">
        <v>867</v>
      </c>
      <c r="E2971" s="42" t="s">
        <v>762</v>
      </c>
      <c r="F2971" s="45">
        <v>-159000000</v>
      </c>
      <c r="G2971" s="42" t="s">
        <v>763</v>
      </c>
      <c r="H2971" s="42" t="s">
        <v>119</v>
      </c>
      <c r="I2971" s="42" t="s">
        <v>886</v>
      </c>
    </row>
    <row r="2972" spans="1:9">
      <c r="A2972" s="42" t="s">
        <v>897</v>
      </c>
      <c r="B2972" s="42" t="s">
        <v>292</v>
      </c>
      <c r="C2972" s="42" t="s">
        <v>913</v>
      </c>
      <c r="D2972" s="42" t="s">
        <v>867</v>
      </c>
      <c r="E2972" s="42" t="s">
        <v>762</v>
      </c>
      <c r="F2972" s="45">
        <v>-94000000</v>
      </c>
      <c r="G2972" s="42" t="s">
        <v>763</v>
      </c>
      <c r="H2972" s="42" t="s">
        <v>139</v>
      </c>
      <c r="I2972" s="42" t="s">
        <v>893</v>
      </c>
    </row>
    <row r="2973" spans="1:9">
      <c r="A2973" s="42" t="s">
        <v>897</v>
      </c>
      <c r="B2973" s="42" t="s">
        <v>241</v>
      </c>
      <c r="C2973" s="42" t="s">
        <v>914</v>
      </c>
      <c r="D2973" s="42" t="s">
        <v>867</v>
      </c>
      <c r="E2973" s="42" t="s">
        <v>762</v>
      </c>
      <c r="F2973" s="45">
        <v>-232000000</v>
      </c>
      <c r="G2973" s="42" t="s">
        <v>763</v>
      </c>
      <c r="H2973" s="42" t="s">
        <v>139</v>
      </c>
      <c r="I2973" s="42" t="s">
        <v>893</v>
      </c>
    </row>
    <row r="2974" spans="1:9">
      <c r="A2974" s="42" t="s">
        <v>897</v>
      </c>
      <c r="B2974" s="42" t="s">
        <v>310</v>
      </c>
      <c r="C2974" s="42" t="s">
        <v>915</v>
      </c>
      <c r="D2974" s="42" t="s">
        <v>867</v>
      </c>
      <c r="E2974" s="42" t="s">
        <v>762</v>
      </c>
      <c r="F2974" s="45">
        <v>600000000</v>
      </c>
      <c r="G2974" s="42" t="s">
        <v>763</v>
      </c>
      <c r="H2974" s="42" t="s">
        <v>139</v>
      </c>
      <c r="I2974" s="42" t="s">
        <v>893</v>
      </c>
    </row>
    <row r="2975" spans="1:9">
      <c r="A2975" s="42" t="s">
        <v>897</v>
      </c>
      <c r="B2975" s="42" t="s">
        <v>305</v>
      </c>
      <c r="C2975" s="42" t="s">
        <v>916</v>
      </c>
      <c r="D2975" s="42" t="s">
        <v>867</v>
      </c>
      <c r="E2975" s="42" t="s">
        <v>762</v>
      </c>
      <c r="F2975" s="45">
        <v>112000000</v>
      </c>
      <c r="G2975" s="42" t="s">
        <v>763</v>
      </c>
      <c r="H2975" s="42" t="s">
        <v>139</v>
      </c>
      <c r="I2975" s="42" t="s">
        <v>893</v>
      </c>
    </row>
    <row r="2976" spans="1:9">
      <c r="A2976" s="42" t="s">
        <v>897</v>
      </c>
      <c r="B2976" s="42" t="s">
        <v>306</v>
      </c>
      <c r="C2976" s="42" t="s">
        <v>917</v>
      </c>
      <c r="D2976" s="42" t="s">
        <v>867</v>
      </c>
      <c r="E2976" s="42" t="s">
        <v>762</v>
      </c>
      <c r="F2976" s="45">
        <v>80000000</v>
      </c>
      <c r="G2976" s="42" t="s">
        <v>763</v>
      </c>
      <c r="H2976" s="42" t="s">
        <v>139</v>
      </c>
      <c r="I2976" s="42" t="s">
        <v>893</v>
      </c>
    </row>
    <row r="2977" spans="1:9">
      <c r="A2977" s="42" t="s">
        <v>897</v>
      </c>
      <c r="B2977" s="42" t="s">
        <v>309</v>
      </c>
      <c r="C2977" s="42" t="s">
        <v>918</v>
      </c>
      <c r="D2977" s="42" t="s">
        <v>867</v>
      </c>
      <c r="E2977" s="42" t="s">
        <v>762</v>
      </c>
      <c r="F2977" s="45">
        <v>-14000000</v>
      </c>
      <c r="G2977" s="42" t="s">
        <v>763</v>
      </c>
      <c r="H2977" s="42" t="s">
        <v>139</v>
      </c>
      <c r="I2977" s="42" t="s">
        <v>893</v>
      </c>
    </row>
    <row r="2978" spans="1:9">
      <c r="A2978" s="42" t="s">
        <v>897</v>
      </c>
      <c r="B2978" s="42" t="s">
        <v>325</v>
      </c>
      <c r="C2978" s="42" t="s">
        <v>919</v>
      </c>
      <c r="D2978" s="42" t="s">
        <v>867</v>
      </c>
      <c r="E2978" s="42" t="s">
        <v>762</v>
      </c>
      <c r="F2978" s="45">
        <v>-159000000</v>
      </c>
      <c r="G2978" s="42" t="s">
        <v>763</v>
      </c>
      <c r="H2978" s="42" t="s">
        <v>139</v>
      </c>
      <c r="I2978" s="42" t="s">
        <v>893</v>
      </c>
    </row>
    <row r="2979" spans="1:9">
      <c r="A2979" s="42" t="s">
        <v>897</v>
      </c>
      <c r="B2979" s="42" t="s">
        <v>242</v>
      </c>
      <c r="C2979" s="42" t="s">
        <v>920</v>
      </c>
      <c r="D2979" s="42" t="s">
        <v>867</v>
      </c>
      <c r="E2979" s="42" t="s">
        <v>762</v>
      </c>
      <c r="F2979" s="45">
        <v>7000000</v>
      </c>
      <c r="G2979" s="42" t="s">
        <v>763</v>
      </c>
      <c r="H2979" s="42" t="s">
        <v>139</v>
      </c>
      <c r="I2979" s="42" t="s">
        <v>893</v>
      </c>
    </row>
    <row r="2980" spans="1:9">
      <c r="A2980" s="42" t="s">
        <v>897</v>
      </c>
      <c r="B2980" s="42" t="s">
        <v>302</v>
      </c>
      <c r="C2980" s="42" t="s">
        <v>921</v>
      </c>
      <c r="D2980" s="42" t="s">
        <v>867</v>
      </c>
      <c r="E2980" s="42" t="s">
        <v>762</v>
      </c>
      <c r="F2980" s="45">
        <v>-29000000</v>
      </c>
      <c r="G2980" s="42" t="s">
        <v>763</v>
      </c>
      <c r="H2980" s="42" t="s">
        <v>139</v>
      </c>
      <c r="I2980" s="42" t="s">
        <v>893</v>
      </c>
    </row>
    <row r="2981" spans="1:9">
      <c r="A2981" s="42" t="s">
        <v>897</v>
      </c>
      <c r="B2981" s="42" t="s">
        <v>326</v>
      </c>
      <c r="C2981" s="42" t="s">
        <v>922</v>
      </c>
      <c r="D2981" s="42" t="s">
        <v>867</v>
      </c>
      <c r="E2981" s="42" t="s">
        <v>762</v>
      </c>
      <c r="F2981" s="45">
        <v>94000000</v>
      </c>
      <c r="G2981" s="42" t="s">
        <v>763</v>
      </c>
      <c r="H2981" s="42" t="s">
        <v>139</v>
      </c>
      <c r="I2981" s="42" t="s">
        <v>893</v>
      </c>
    </row>
    <row r="2982" spans="1:9">
      <c r="A2982" s="42" t="s">
        <v>897</v>
      </c>
      <c r="B2982" s="42" t="s">
        <v>327</v>
      </c>
      <c r="C2982" s="42" t="s">
        <v>1009</v>
      </c>
      <c r="D2982" s="42" t="s">
        <v>867</v>
      </c>
      <c r="E2982" s="42" t="s">
        <v>762</v>
      </c>
      <c r="F2982" s="45">
        <v>1000000</v>
      </c>
      <c r="G2982" s="42" t="s">
        <v>763</v>
      </c>
      <c r="H2982" s="42" t="s">
        <v>139</v>
      </c>
      <c r="I2982" s="42" t="s">
        <v>893</v>
      </c>
    </row>
    <row r="2983" spans="1:9">
      <c r="A2983" s="42" t="s">
        <v>897</v>
      </c>
      <c r="B2983" s="42" t="s">
        <v>328</v>
      </c>
      <c r="C2983" s="42" t="s">
        <v>924</v>
      </c>
      <c r="D2983" s="42" t="s">
        <v>867</v>
      </c>
      <c r="E2983" s="42" t="s">
        <v>762</v>
      </c>
      <c r="F2983" s="45">
        <v>-266000000</v>
      </c>
      <c r="G2983" s="42" t="s">
        <v>763</v>
      </c>
      <c r="H2983" s="42" t="s">
        <v>139</v>
      </c>
      <c r="I2983" s="42" t="s">
        <v>893</v>
      </c>
    </row>
    <row r="2984" spans="1:9">
      <c r="A2984" s="42" t="s">
        <v>897</v>
      </c>
      <c r="B2984" s="42" t="s">
        <v>329</v>
      </c>
      <c r="C2984" s="42" t="s">
        <v>925</v>
      </c>
      <c r="D2984" s="42" t="s">
        <v>867</v>
      </c>
      <c r="E2984" s="42" t="s">
        <v>762</v>
      </c>
      <c r="F2984" s="45">
        <v>5693000000</v>
      </c>
      <c r="G2984" s="42" t="s">
        <v>763</v>
      </c>
      <c r="H2984" s="42" t="s">
        <v>139</v>
      </c>
      <c r="I2984" s="42" t="s">
        <v>893</v>
      </c>
    </row>
    <row r="2985" spans="1:9">
      <c r="A2985" s="42" t="s">
        <v>897</v>
      </c>
      <c r="B2985" s="42" t="s">
        <v>372</v>
      </c>
      <c r="C2985" s="42" t="s">
        <v>926</v>
      </c>
      <c r="D2985" s="42" t="s">
        <v>867</v>
      </c>
      <c r="E2985" s="42" t="s">
        <v>762</v>
      </c>
      <c r="F2985" s="45">
        <v>643000000</v>
      </c>
      <c r="G2985" s="42" t="s">
        <v>763</v>
      </c>
      <c r="H2985" s="42" t="s">
        <v>139</v>
      </c>
      <c r="I2985" s="42" t="s">
        <v>896</v>
      </c>
    </row>
    <row r="2986" spans="1:9">
      <c r="A2986" s="42" t="s">
        <v>897</v>
      </c>
      <c r="B2986" s="42" t="s">
        <v>373</v>
      </c>
      <c r="C2986" s="42" t="s">
        <v>1032</v>
      </c>
      <c r="D2986" s="42" t="s">
        <v>867</v>
      </c>
      <c r="E2986" s="42" t="s">
        <v>762</v>
      </c>
      <c r="F2986" s="45">
        <v>-740000000</v>
      </c>
      <c r="G2986" s="42" t="s">
        <v>763</v>
      </c>
      <c r="H2986" s="42" t="s">
        <v>139</v>
      </c>
      <c r="I2986" s="42" t="s">
        <v>896</v>
      </c>
    </row>
    <row r="2987" spans="1:9">
      <c r="A2987" s="42" t="s">
        <v>897</v>
      </c>
      <c r="B2987" s="42" t="s">
        <v>375</v>
      </c>
      <c r="C2987" s="42" t="s">
        <v>1033</v>
      </c>
      <c r="D2987" s="42" t="s">
        <v>867</v>
      </c>
      <c r="E2987" s="42" t="s">
        <v>762</v>
      </c>
      <c r="F2987" s="45">
        <v>8000000</v>
      </c>
      <c r="G2987" s="42" t="s">
        <v>763</v>
      </c>
      <c r="H2987" s="42" t="s">
        <v>119</v>
      </c>
      <c r="I2987" s="42" t="s">
        <v>891</v>
      </c>
    </row>
    <row r="2988" spans="1:9">
      <c r="A2988" s="42" t="s">
        <v>897</v>
      </c>
      <c r="B2988" s="42" t="s">
        <v>330</v>
      </c>
      <c r="C2988" s="42" t="s">
        <v>927</v>
      </c>
      <c r="D2988" s="42" t="s">
        <v>867</v>
      </c>
      <c r="E2988" s="42" t="s">
        <v>762</v>
      </c>
      <c r="F2988" s="45">
        <v>-4006000000</v>
      </c>
      <c r="G2988" s="42" t="s">
        <v>763</v>
      </c>
      <c r="H2988" s="42" t="s">
        <v>139</v>
      </c>
      <c r="I2988" s="42" t="s">
        <v>893</v>
      </c>
    </row>
    <row r="2989" spans="1:9">
      <c r="A2989" s="42" t="s">
        <v>897</v>
      </c>
      <c r="B2989" s="42" t="s">
        <v>377</v>
      </c>
      <c r="C2989" s="42" t="s">
        <v>1067</v>
      </c>
      <c r="D2989" s="42" t="s">
        <v>867</v>
      </c>
      <c r="E2989" s="42" t="s">
        <v>762</v>
      </c>
      <c r="F2989" s="45">
        <v>-18000000</v>
      </c>
      <c r="G2989" s="42" t="s">
        <v>763</v>
      </c>
      <c r="H2989" s="42" t="s">
        <v>139</v>
      </c>
      <c r="I2989" s="42" t="s">
        <v>868</v>
      </c>
    </row>
    <row r="2990" spans="1:9">
      <c r="A2990" s="42" t="s">
        <v>897</v>
      </c>
      <c r="B2990" s="42" t="s">
        <v>332</v>
      </c>
      <c r="C2990" s="42" t="s">
        <v>932</v>
      </c>
      <c r="D2990" s="42" t="s">
        <v>867</v>
      </c>
      <c r="E2990" s="42" t="s">
        <v>762</v>
      </c>
      <c r="F2990" s="45">
        <v>-2000000</v>
      </c>
      <c r="G2990" s="42" t="s">
        <v>763</v>
      </c>
      <c r="H2990" s="42" t="s">
        <v>139</v>
      </c>
      <c r="I2990" s="42" t="s">
        <v>893</v>
      </c>
    </row>
    <row r="2991" spans="1:9">
      <c r="A2991" s="42" t="s">
        <v>897</v>
      </c>
      <c r="B2991" s="42" t="s">
        <v>382</v>
      </c>
      <c r="C2991" s="42" t="s">
        <v>1052</v>
      </c>
      <c r="D2991" s="42" t="s">
        <v>867</v>
      </c>
      <c r="E2991" s="42" t="s">
        <v>762</v>
      </c>
      <c r="F2991" s="45">
        <v>99000000</v>
      </c>
      <c r="G2991" s="42" t="s">
        <v>763</v>
      </c>
      <c r="H2991" s="42" t="s">
        <v>129</v>
      </c>
      <c r="I2991" s="42" t="s">
        <v>861</v>
      </c>
    </row>
    <row r="2992" spans="1:9">
      <c r="A2992" s="42" t="s">
        <v>897</v>
      </c>
      <c r="B2992" s="42" t="s">
        <v>383</v>
      </c>
      <c r="C2992" s="42" t="s">
        <v>1053</v>
      </c>
      <c r="D2992" s="42" t="s">
        <v>867</v>
      </c>
      <c r="E2992" s="42" t="s">
        <v>762</v>
      </c>
      <c r="F2992" s="45">
        <v>8000000</v>
      </c>
      <c r="G2992" s="42" t="s">
        <v>763</v>
      </c>
      <c r="H2992" s="42" t="s">
        <v>129</v>
      </c>
      <c r="I2992" s="42" t="s">
        <v>861</v>
      </c>
    </row>
    <row r="2993" spans="1:9">
      <c r="A2993" s="42" t="s">
        <v>897</v>
      </c>
      <c r="B2993" s="42" t="s">
        <v>334</v>
      </c>
      <c r="C2993" s="42" t="s">
        <v>933</v>
      </c>
      <c r="D2993" s="42" t="s">
        <v>867</v>
      </c>
      <c r="E2993" s="42" t="s">
        <v>762</v>
      </c>
      <c r="F2993" s="45">
        <v>99000000</v>
      </c>
      <c r="G2993" s="42" t="s">
        <v>763</v>
      </c>
      <c r="H2993" s="42" t="s">
        <v>139</v>
      </c>
      <c r="I2993" s="42" t="s">
        <v>893</v>
      </c>
    </row>
    <row r="2994" spans="1:9">
      <c r="A2994" s="42" t="s">
        <v>897</v>
      </c>
      <c r="B2994" s="42" t="s">
        <v>335</v>
      </c>
      <c r="C2994" s="42" t="s">
        <v>1068</v>
      </c>
      <c r="D2994" s="42" t="s">
        <v>867</v>
      </c>
      <c r="E2994" s="42" t="s">
        <v>762</v>
      </c>
      <c r="F2994" s="45">
        <v>8000000</v>
      </c>
      <c r="G2994" s="42" t="s">
        <v>763</v>
      </c>
      <c r="H2994" s="42" t="s">
        <v>139</v>
      </c>
      <c r="I2994" s="42" t="s">
        <v>893</v>
      </c>
    </row>
    <row r="2995" spans="1:9">
      <c r="A2995" s="42" t="s">
        <v>897</v>
      </c>
      <c r="B2995" s="42" t="s">
        <v>336</v>
      </c>
      <c r="C2995" s="42" t="s">
        <v>938</v>
      </c>
      <c r="D2995" s="42" t="s">
        <v>867</v>
      </c>
      <c r="E2995" s="42" t="s">
        <v>762</v>
      </c>
      <c r="F2995" s="45">
        <v>-4016000000</v>
      </c>
      <c r="G2995" s="42" t="s">
        <v>763</v>
      </c>
      <c r="H2995" s="42" t="s">
        <v>139</v>
      </c>
      <c r="I2995" s="42" t="s">
        <v>893</v>
      </c>
    </row>
    <row r="2996" spans="1:9">
      <c r="A2996" s="42" t="s">
        <v>897</v>
      </c>
      <c r="B2996" s="42" t="s">
        <v>936</v>
      </c>
      <c r="C2996" s="42" t="s">
        <v>997</v>
      </c>
      <c r="D2996" s="42" t="s">
        <v>867</v>
      </c>
      <c r="E2996" s="42" t="s">
        <v>762</v>
      </c>
      <c r="F2996" s="45">
        <v>-543000000</v>
      </c>
      <c r="G2996" s="42" t="s">
        <v>763</v>
      </c>
      <c r="H2996" s="42" t="s">
        <v>129</v>
      </c>
      <c r="I2996" s="42" t="s">
        <v>861</v>
      </c>
    </row>
    <row r="2997" spans="1:9">
      <c r="A2997" s="42" t="s">
        <v>897</v>
      </c>
      <c r="B2997" s="42" t="s">
        <v>337</v>
      </c>
      <c r="C2997" s="42" t="s">
        <v>991</v>
      </c>
      <c r="D2997" s="42" t="s">
        <v>867</v>
      </c>
      <c r="E2997" s="42" t="s">
        <v>762</v>
      </c>
      <c r="F2997" s="45">
        <v>-780000000</v>
      </c>
      <c r="G2997" s="42" t="s">
        <v>763</v>
      </c>
      <c r="H2997" s="42" t="s">
        <v>139</v>
      </c>
      <c r="I2997" s="42" t="s">
        <v>893</v>
      </c>
    </row>
    <row r="2998" spans="1:9">
      <c r="A2998" s="42" t="s">
        <v>897</v>
      </c>
      <c r="B2998" s="42" t="s">
        <v>338</v>
      </c>
      <c r="C2998" s="42" t="s">
        <v>972</v>
      </c>
      <c r="D2998" s="42" t="s">
        <v>867</v>
      </c>
      <c r="E2998" s="42" t="s">
        <v>762</v>
      </c>
      <c r="F2998" s="45">
        <v>-543000000</v>
      </c>
      <c r="G2998" s="42" t="s">
        <v>763</v>
      </c>
      <c r="H2998" s="42" t="s">
        <v>139</v>
      </c>
      <c r="I2998" s="42" t="s">
        <v>893</v>
      </c>
    </row>
    <row r="2999" spans="1:9">
      <c r="A2999" s="42" t="s">
        <v>897</v>
      </c>
      <c r="B2999" s="42" t="s">
        <v>939</v>
      </c>
      <c r="C2999" s="42" t="s">
        <v>973</v>
      </c>
      <c r="D2999" s="42" t="s">
        <v>867</v>
      </c>
      <c r="E2999" s="42" t="s">
        <v>762</v>
      </c>
      <c r="F2999" s="45">
        <v>402000000</v>
      </c>
      <c r="G2999" s="42" t="s">
        <v>763</v>
      </c>
      <c r="H2999" s="42" t="s">
        <v>139</v>
      </c>
      <c r="I2999" s="42" t="s">
        <v>893</v>
      </c>
    </row>
    <row r="3000" spans="1:9">
      <c r="A3000" s="42" t="s">
        <v>897</v>
      </c>
      <c r="B3000" s="42" t="s">
        <v>340</v>
      </c>
      <c r="C3000" s="42" t="s">
        <v>1034</v>
      </c>
      <c r="D3000" s="42" t="s">
        <v>867</v>
      </c>
      <c r="E3000" s="42" t="s">
        <v>762</v>
      </c>
      <c r="F3000" s="45">
        <v>71000000</v>
      </c>
      <c r="G3000" s="42" t="s">
        <v>763</v>
      </c>
      <c r="H3000" s="42" t="s">
        <v>139</v>
      </c>
      <c r="I3000" s="42" t="s">
        <v>893</v>
      </c>
    </row>
    <row r="3001" spans="1:9">
      <c r="A3001" s="42" t="s">
        <v>897</v>
      </c>
      <c r="B3001" s="42" t="s">
        <v>391</v>
      </c>
      <c r="C3001" s="42" t="s">
        <v>1054</v>
      </c>
      <c r="D3001" s="42" t="s">
        <v>867</v>
      </c>
      <c r="E3001" s="42" t="s">
        <v>762</v>
      </c>
      <c r="F3001" s="45">
        <v>-8000000</v>
      </c>
      <c r="G3001" s="42" t="s">
        <v>763</v>
      </c>
      <c r="H3001" s="42" t="s">
        <v>129</v>
      </c>
      <c r="I3001" s="42" t="s">
        <v>861</v>
      </c>
    </row>
    <row r="3002" spans="1:9">
      <c r="A3002" s="42" t="s">
        <v>897</v>
      </c>
      <c r="B3002" s="42" t="s">
        <v>941</v>
      </c>
      <c r="C3002" s="42" t="s">
        <v>977</v>
      </c>
      <c r="D3002" s="42" t="s">
        <v>867</v>
      </c>
      <c r="E3002" s="42" t="s">
        <v>762</v>
      </c>
      <c r="F3002" s="45">
        <v>-28000000</v>
      </c>
      <c r="G3002" s="42" t="s">
        <v>763</v>
      </c>
      <c r="H3002" s="42" t="s">
        <v>139</v>
      </c>
      <c r="I3002" s="42" t="s">
        <v>893</v>
      </c>
    </row>
    <row r="3003" spans="1:9">
      <c r="A3003" s="42" t="s">
        <v>897</v>
      </c>
      <c r="B3003" s="42" t="s">
        <v>342</v>
      </c>
      <c r="C3003" s="42" t="s">
        <v>1014</v>
      </c>
      <c r="D3003" s="42" t="s">
        <v>867</v>
      </c>
      <c r="E3003" s="42" t="s">
        <v>762</v>
      </c>
      <c r="F3003" s="45">
        <v>-341000000</v>
      </c>
      <c r="G3003" s="42" t="s">
        <v>763</v>
      </c>
      <c r="H3003" s="42" t="s">
        <v>139</v>
      </c>
      <c r="I3003" s="42" t="s">
        <v>893</v>
      </c>
    </row>
    <row r="3004" spans="1:9">
      <c r="A3004" s="42" t="s">
        <v>897</v>
      </c>
      <c r="B3004" s="42" t="s">
        <v>343</v>
      </c>
      <c r="C3004" s="42" t="s">
        <v>1016</v>
      </c>
      <c r="D3004" s="42" t="s">
        <v>867</v>
      </c>
      <c r="E3004" s="42" t="s">
        <v>762</v>
      </c>
      <c r="F3004" s="45">
        <v>-8000000</v>
      </c>
      <c r="G3004" s="42" t="s">
        <v>763</v>
      </c>
      <c r="H3004" s="42" t="s">
        <v>139</v>
      </c>
      <c r="I3004" s="42" t="s">
        <v>893</v>
      </c>
    </row>
    <row r="3005" spans="1:9">
      <c r="A3005" s="42" t="s">
        <v>897</v>
      </c>
      <c r="B3005" s="42" t="s">
        <v>344</v>
      </c>
      <c r="C3005" s="42" t="s">
        <v>980</v>
      </c>
      <c r="D3005" s="42" t="s">
        <v>867</v>
      </c>
      <c r="E3005" s="42" t="s">
        <v>762</v>
      </c>
      <c r="F3005" s="45">
        <v>-1227000000</v>
      </c>
      <c r="G3005" s="42" t="s">
        <v>763</v>
      </c>
      <c r="H3005" s="42" t="s">
        <v>139</v>
      </c>
      <c r="I3005" s="42" t="s">
        <v>893</v>
      </c>
    </row>
    <row r="3006" spans="1:9">
      <c r="A3006" s="42" t="s">
        <v>897</v>
      </c>
      <c r="B3006" s="42" t="s">
        <v>345</v>
      </c>
      <c r="C3006" s="42" t="s">
        <v>1035</v>
      </c>
      <c r="D3006" s="42" t="s">
        <v>867</v>
      </c>
      <c r="E3006" s="42" t="s">
        <v>762</v>
      </c>
      <c r="F3006" s="45">
        <v>-288000000</v>
      </c>
      <c r="G3006" s="42" t="s">
        <v>763</v>
      </c>
      <c r="H3006" s="42" t="s">
        <v>139</v>
      </c>
      <c r="I3006" s="42" t="s">
        <v>893</v>
      </c>
    </row>
    <row r="3007" spans="1:9">
      <c r="A3007" s="42" t="s">
        <v>897</v>
      </c>
      <c r="B3007" s="42" t="s">
        <v>346</v>
      </c>
      <c r="C3007" s="42" t="s">
        <v>956</v>
      </c>
      <c r="D3007" s="42" t="s">
        <v>867</v>
      </c>
      <c r="E3007" s="42" t="s">
        <v>762</v>
      </c>
      <c r="F3007" s="45">
        <v>162000000</v>
      </c>
      <c r="G3007" s="42" t="s">
        <v>763</v>
      </c>
      <c r="H3007" s="42" t="s">
        <v>139</v>
      </c>
      <c r="I3007" s="42" t="s">
        <v>893</v>
      </c>
    </row>
    <row r="3008" spans="1:9">
      <c r="A3008" s="42" t="s">
        <v>897</v>
      </c>
      <c r="B3008" s="42" t="s">
        <v>347</v>
      </c>
      <c r="C3008" s="42" t="s">
        <v>981</v>
      </c>
      <c r="D3008" s="42" t="s">
        <v>867</v>
      </c>
      <c r="E3008" s="42" t="s">
        <v>762</v>
      </c>
      <c r="F3008" s="45">
        <v>611000000</v>
      </c>
      <c r="G3008" s="42" t="s">
        <v>763</v>
      </c>
      <c r="H3008" s="42" t="s">
        <v>139</v>
      </c>
      <c r="I3008" s="42" t="s">
        <v>893</v>
      </c>
    </row>
    <row r="3009" spans="1:9">
      <c r="A3009" s="42" t="s">
        <v>897</v>
      </c>
      <c r="B3009" s="42" t="s">
        <v>348</v>
      </c>
      <c r="C3009" s="42" t="s">
        <v>982</v>
      </c>
      <c r="D3009" s="42" t="s">
        <v>867</v>
      </c>
      <c r="E3009" s="42" t="s">
        <v>762</v>
      </c>
      <c r="F3009" s="45">
        <v>773000000</v>
      </c>
      <c r="G3009" s="42" t="s">
        <v>763</v>
      </c>
      <c r="H3009" s="42" t="s">
        <v>139</v>
      </c>
      <c r="I3009" s="42" t="s">
        <v>893</v>
      </c>
    </row>
    <row r="3010" spans="1:9">
      <c r="A3010" s="42" t="s">
        <v>897</v>
      </c>
      <c r="B3010" s="42" t="s">
        <v>346</v>
      </c>
      <c r="C3010" s="42" t="s">
        <v>961</v>
      </c>
      <c r="D3010" s="42" t="s">
        <v>867</v>
      </c>
      <c r="E3010" s="42" t="s">
        <v>762</v>
      </c>
      <c r="F3010" s="45">
        <v>162000000</v>
      </c>
      <c r="G3010" s="42" t="s">
        <v>763</v>
      </c>
      <c r="H3010" s="42" t="s">
        <v>139</v>
      </c>
      <c r="I3010" s="42" t="s">
        <v>893</v>
      </c>
    </row>
    <row r="3011" spans="1:9">
      <c r="A3011" s="42" t="s">
        <v>897</v>
      </c>
      <c r="B3011" s="42" t="s">
        <v>396</v>
      </c>
      <c r="C3011" s="42" t="s">
        <v>1055</v>
      </c>
      <c r="D3011" s="42" t="s">
        <v>867</v>
      </c>
      <c r="E3011" s="42" t="s">
        <v>762</v>
      </c>
      <c r="F3011" s="45">
        <v>717866855.7752409</v>
      </c>
      <c r="G3011" s="42" t="s">
        <v>763</v>
      </c>
      <c r="H3011" s="42" t="s">
        <v>137</v>
      </c>
      <c r="I3011" s="42" t="s">
        <v>884</v>
      </c>
    </row>
    <row r="3012" spans="1:9">
      <c r="A3012" s="42" t="s">
        <v>897</v>
      </c>
      <c r="B3012" s="42" t="s">
        <v>398</v>
      </c>
      <c r="C3012" s="42" t="s">
        <v>1056</v>
      </c>
      <c r="D3012" s="42" t="s">
        <v>867</v>
      </c>
      <c r="E3012" s="42" t="s">
        <v>762</v>
      </c>
      <c r="F3012" s="45">
        <v>362441195.0907044</v>
      </c>
      <c r="G3012" s="42" t="s">
        <v>763</v>
      </c>
      <c r="H3012" s="42" t="s">
        <v>137</v>
      </c>
      <c r="I3012" s="42" t="s">
        <v>884</v>
      </c>
    </row>
    <row r="3013" spans="1:9">
      <c r="A3013" s="42" t="s">
        <v>897</v>
      </c>
      <c r="B3013" s="42" t="s">
        <v>399</v>
      </c>
      <c r="C3013" s="42" t="s">
        <v>1057</v>
      </c>
      <c r="D3013" s="42" t="s">
        <v>867</v>
      </c>
      <c r="E3013" s="42" t="s">
        <v>762</v>
      </c>
      <c r="F3013" s="45">
        <v>347161728.7803277</v>
      </c>
      <c r="G3013" s="42" t="s">
        <v>763</v>
      </c>
      <c r="H3013" s="42" t="s">
        <v>137</v>
      </c>
      <c r="I3013" s="42" t="s">
        <v>884</v>
      </c>
    </row>
    <row r="3014" spans="1:9">
      <c r="A3014" s="42" t="s">
        <v>897</v>
      </c>
      <c r="B3014" s="42" t="s">
        <v>400</v>
      </c>
      <c r="C3014" s="42" t="s">
        <v>1058</v>
      </c>
      <c r="D3014" s="42" t="s">
        <v>867</v>
      </c>
      <c r="E3014" s="42" t="s">
        <v>762</v>
      </c>
      <c r="F3014" s="45">
        <v>56974410.9688682</v>
      </c>
      <c r="G3014" s="42" t="s">
        <v>763</v>
      </c>
      <c r="H3014" s="42" t="s">
        <v>137</v>
      </c>
      <c r="I3014" s="42" t="s">
        <v>884</v>
      </c>
    </row>
    <row r="3015" spans="1:9">
      <c r="A3015" s="42" t="s">
        <v>897</v>
      </c>
      <c r="B3015" s="42" t="s">
        <v>401</v>
      </c>
      <c r="C3015" s="42" t="s">
        <v>1059</v>
      </c>
      <c r="D3015" s="42" t="s">
        <v>867</v>
      </c>
      <c r="E3015" s="42" t="s">
        <v>762</v>
      </c>
      <c r="F3015" s="45">
        <v>13709395.83738058</v>
      </c>
      <c r="G3015" s="42" t="s">
        <v>763</v>
      </c>
      <c r="H3015" s="42" t="s">
        <v>137</v>
      </c>
      <c r="I3015" s="42" t="s">
        <v>884</v>
      </c>
    </row>
    <row r="3016" spans="1:9">
      <c r="A3016" s="42" t="s">
        <v>897</v>
      </c>
      <c r="B3016" s="42" t="s">
        <v>402</v>
      </c>
      <c r="C3016" s="42" t="s">
        <v>1069</v>
      </c>
      <c r="D3016" s="42" t="s">
        <v>867</v>
      </c>
      <c r="E3016" s="42" t="s">
        <v>762</v>
      </c>
      <c r="F3016" s="45">
        <v>635687.0695545182</v>
      </c>
      <c r="G3016" s="42" t="s">
        <v>763</v>
      </c>
      <c r="H3016" s="42" t="s">
        <v>137</v>
      </c>
      <c r="I3016" s="42" t="s">
        <v>884</v>
      </c>
    </row>
    <row r="3017" spans="1:9">
      <c r="A3017" s="42" t="s">
        <v>897</v>
      </c>
      <c r="B3017" s="42" t="s">
        <v>350</v>
      </c>
      <c r="C3017" s="42" t="s">
        <v>1003</v>
      </c>
      <c r="D3017" s="42" t="s">
        <v>167</v>
      </c>
      <c r="E3017" s="42" t="s">
        <v>808</v>
      </c>
      <c r="F3017" s="45">
        <v>247784649.9141695</v>
      </c>
      <c r="G3017" s="42" t="s">
        <v>763</v>
      </c>
      <c r="H3017" s="42" t="s">
        <v>110</v>
      </c>
      <c r="I3017" s="42" t="s">
        <v>854</v>
      </c>
    </row>
    <row r="3018" spans="1:9">
      <c r="A3018" s="42" t="s">
        <v>897</v>
      </c>
      <c r="B3018" s="42" t="s">
        <v>313</v>
      </c>
      <c r="C3018" s="42" t="s">
        <v>994</v>
      </c>
      <c r="D3018" s="42" t="s">
        <v>167</v>
      </c>
      <c r="E3018" s="42" t="s">
        <v>808</v>
      </c>
      <c r="F3018" s="45">
        <v>247784649.9141695</v>
      </c>
      <c r="G3018" s="42" t="s">
        <v>763</v>
      </c>
      <c r="H3018" s="42" t="s">
        <v>121</v>
      </c>
      <c r="I3018" s="42" t="s">
        <v>893</v>
      </c>
    </row>
    <row r="3019" spans="1:9">
      <c r="A3019" s="42" t="s">
        <v>897</v>
      </c>
      <c r="B3019" s="42" t="s">
        <v>201</v>
      </c>
      <c r="C3019" s="42" t="s">
        <v>966</v>
      </c>
      <c r="D3019" s="42" t="s">
        <v>167</v>
      </c>
      <c r="E3019" s="42" t="s">
        <v>808</v>
      </c>
      <c r="F3019" s="45">
        <v>-114704867.4641473</v>
      </c>
      <c r="G3019" s="42" t="s">
        <v>763</v>
      </c>
      <c r="H3019" s="42" t="s">
        <v>121</v>
      </c>
      <c r="I3019" s="42" t="s">
        <v>893</v>
      </c>
    </row>
    <row r="3020" spans="1:9">
      <c r="A3020" s="42" t="s">
        <v>897</v>
      </c>
      <c r="B3020" s="42" t="s">
        <v>314</v>
      </c>
      <c r="C3020" s="42" t="s">
        <v>900</v>
      </c>
      <c r="D3020" s="42" t="s">
        <v>167</v>
      </c>
      <c r="E3020" s="42" t="s">
        <v>808</v>
      </c>
      <c r="F3020" s="45">
        <v>589132228.3551906</v>
      </c>
      <c r="G3020" s="42" t="s">
        <v>763</v>
      </c>
      <c r="H3020" s="42" t="s">
        <v>121</v>
      </c>
      <c r="I3020" s="42" t="s">
        <v>893</v>
      </c>
    </row>
    <row r="3021" spans="1:9">
      <c r="A3021" s="42" t="s">
        <v>897</v>
      </c>
      <c r="B3021" s="42" t="s">
        <v>315</v>
      </c>
      <c r="C3021" s="42" t="s">
        <v>901</v>
      </c>
      <c r="D3021" s="42" t="s">
        <v>167</v>
      </c>
      <c r="E3021" s="42" t="s">
        <v>808</v>
      </c>
      <c r="F3021" s="45">
        <v>11086855.29009911</v>
      </c>
      <c r="G3021" s="42" t="s">
        <v>763</v>
      </c>
      <c r="H3021" s="42" t="s">
        <v>121</v>
      </c>
      <c r="I3021" s="42" t="s">
        <v>893</v>
      </c>
    </row>
    <row r="3022" spans="1:9">
      <c r="A3022" s="42" t="s">
        <v>897</v>
      </c>
      <c r="B3022" s="42" t="s">
        <v>316</v>
      </c>
      <c r="C3022" s="42" t="s">
        <v>1004</v>
      </c>
      <c r="D3022" s="42" t="s">
        <v>167</v>
      </c>
      <c r="E3022" s="42" t="s">
        <v>808</v>
      </c>
      <c r="F3022" s="45">
        <v>50566190.24443682</v>
      </c>
      <c r="G3022" s="42" t="s">
        <v>763</v>
      </c>
      <c r="H3022" s="42" t="s">
        <v>121</v>
      </c>
      <c r="I3022" s="42" t="s">
        <v>893</v>
      </c>
    </row>
    <row r="3023" spans="1:9">
      <c r="A3023" s="42" t="s">
        <v>897</v>
      </c>
      <c r="B3023" s="42" t="s">
        <v>317</v>
      </c>
      <c r="C3023" s="42" t="s">
        <v>967</v>
      </c>
      <c r="D3023" s="42" t="s">
        <v>167</v>
      </c>
      <c r="E3023" s="42" t="s">
        <v>808</v>
      </c>
      <c r="F3023" s="45">
        <v>85383793.3212963</v>
      </c>
      <c r="G3023" s="42" t="s">
        <v>763</v>
      </c>
      <c r="H3023" s="42" t="s">
        <v>121</v>
      </c>
      <c r="I3023" s="42" t="s">
        <v>893</v>
      </c>
    </row>
    <row r="3024" spans="1:9">
      <c r="A3024" s="42" t="s">
        <v>897</v>
      </c>
      <c r="B3024" s="42" t="s">
        <v>318</v>
      </c>
      <c r="C3024" s="42" t="s">
        <v>904</v>
      </c>
      <c r="D3024" s="42" t="s">
        <v>167</v>
      </c>
      <c r="E3024" s="42" t="s">
        <v>808</v>
      </c>
      <c r="F3024" s="45">
        <v>203221494.6829843</v>
      </c>
      <c r="G3024" s="42" t="s">
        <v>763</v>
      </c>
      <c r="H3024" s="42" t="s">
        <v>121</v>
      </c>
      <c r="I3024" s="42" t="s">
        <v>893</v>
      </c>
    </row>
    <row r="3025" spans="1:9">
      <c r="A3025" s="42" t="s">
        <v>897</v>
      </c>
      <c r="B3025" s="42" t="s">
        <v>319</v>
      </c>
      <c r="C3025" s="42" t="s">
        <v>907</v>
      </c>
      <c r="D3025" s="42" t="s">
        <v>167</v>
      </c>
      <c r="E3025" s="42" t="s">
        <v>808</v>
      </c>
      <c r="F3025" s="45">
        <v>71783167.11939807</v>
      </c>
      <c r="G3025" s="42" t="s">
        <v>763</v>
      </c>
      <c r="H3025" s="42" t="s">
        <v>121</v>
      </c>
      <c r="I3025" s="42" t="s">
        <v>893</v>
      </c>
    </row>
    <row r="3026" spans="1:9">
      <c r="A3026" s="42" t="s">
        <v>897</v>
      </c>
      <c r="B3026" s="42" t="s">
        <v>320</v>
      </c>
      <c r="C3026" s="42" t="s">
        <v>1048</v>
      </c>
      <c r="D3026" s="42" t="s">
        <v>167</v>
      </c>
      <c r="E3026" s="42" t="s">
        <v>808</v>
      </c>
      <c r="F3026" s="45">
        <v>7175502.789277345</v>
      </c>
      <c r="G3026" s="42" t="s">
        <v>763</v>
      </c>
      <c r="H3026" s="42" t="s">
        <v>121</v>
      </c>
      <c r="I3026" s="42" t="s">
        <v>893</v>
      </c>
    </row>
    <row r="3027" spans="1:9">
      <c r="A3027" s="42" t="s">
        <v>897</v>
      </c>
      <c r="B3027" s="42" t="s">
        <v>357</v>
      </c>
      <c r="C3027" s="42" t="s">
        <v>908</v>
      </c>
      <c r="D3027" s="42" t="s">
        <v>167</v>
      </c>
      <c r="E3027" s="42" t="s">
        <v>808</v>
      </c>
      <c r="F3027" s="45">
        <v>7175502.789277345</v>
      </c>
      <c r="G3027" s="42" t="s">
        <v>763</v>
      </c>
      <c r="H3027" s="42" t="s">
        <v>110</v>
      </c>
      <c r="I3027" s="42" t="s">
        <v>864</v>
      </c>
    </row>
    <row r="3028" spans="1:9">
      <c r="A3028" s="42" t="s">
        <v>897</v>
      </c>
      <c r="B3028" s="42" t="s">
        <v>251</v>
      </c>
      <c r="C3028" s="42" t="s">
        <v>909</v>
      </c>
      <c r="D3028" s="42" t="s">
        <v>167</v>
      </c>
      <c r="E3028" s="42" t="s">
        <v>808</v>
      </c>
      <c r="F3028" s="45">
        <v>497126.337034901</v>
      </c>
      <c r="G3028" s="42" t="s">
        <v>763</v>
      </c>
      <c r="H3028" s="42" t="s">
        <v>121</v>
      </c>
      <c r="I3028" s="42" t="s">
        <v>893</v>
      </c>
    </row>
    <row r="3029" spans="1:9">
      <c r="A3029" s="42" t="s">
        <v>897</v>
      </c>
      <c r="B3029" s="42" t="s">
        <v>293</v>
      </c>
      <c r="C3029" s="42" t="s">
        <v>912</v>
      </c>
      <c r="D3029" s="42" t="s">
        <v>167</v>
      </c>
      <c r="E3029" s="42" t="s">
        <v>808</v>
      </c>
      <c r="F3029" s="45">
        <v>-113241627.6796672</v>
      </c>
      <c r="G3029" s="42" t="s">
        <v>763</v>
      </c>
      <c r="H3029" s="42" t="s">
        <v>121</v>
      </c>
      <c r="I3029" s="42" t="s">
        <v>893</v>
      </c>
    </row>
    <row r="3030" spans="1:9">
      <c r="A3030" s="42" t="s">
        <v>897</v>
      </c>
      <c r="B3030" s="42" t="s">
        <v>369</v>
      </c>
      <c r="C3030" s="42" t="s">
        <v>970</v>
      </c>
      <c r="D3030" s="42" t="s">
        <v>167</v>
      </c>
      <c r="E3030" s="42" t="s">
        <v>808</v>
      </c>
      <c r="F3030" s="45">
        <v>-30108972.48834023</v>
      </c>
      <c r="G3030" s="42" t="s">
        <v>763</v>
      </c>
      <c r="H3030" s="42" t="s">
        <v>121</v>
      </c>
      <c r="I3030" s="42" t="s">
        <v>886</v>
      </c>
    </row>
    <row r="3031" spans="1:9">
      <c r="A3031" s="42" t="s">
        <v>897</v>
      </c>
      <c r="B3031" s="42" t="s">
        <v>292</v>
      </c>
      <c r="C3031" s="42" t="s">
        <v>913</v>
      </c>
      <c r="D3031" s="42" t="s">
        <v>167</v>
      </c>
      <c r="E3031" s="42" t="s">
        <v>808</v>
      </c>
      <c r="F3031" s="45">
        <v>156144568.5399999</v>
      </c>
      <c r="G3031" s="42" t="s">
        <v>763</v>
      </c>
      <c r="H3031" s="42" t="s">
        <v>121</v>
      </c>
      <c r="I3031" s="42" t="s">
        <v>893</v>
      </c>
    </row>
    <row r="3032" spans="1:9">
      <c r="A3032" s="42" t="s">
        <v>897</v>
      </c>
      <c r="B3032" s="42" t="s">
        <v>241</v>
      </c>
      <c r="C3032" s="42" t="s">
        <v>914</v>
      </c>
      <c r="D3032" s="42" t="s">
        <v>167</v>
      </c>
      <c r="E3032" s="42" t="s">
        <v>808</v>
      </c>
      <c r="F3032" s="45">
        <v>-2673226.529338619</v>
      </c>
      <c r="G3032" s="42" t="s">
        <v>763</v>
      </c>
      <c r="H3032" s="42" t="s">
        <v>121</v>
      </c>
      <c r="I3032" s="42" t="s">
        <v>893</v>
      </c>
    </row>
    <row r="3033" spans="1:9">
      <c r="A3033" s="42" t="s">
        <v>897</v>
      </c>
      <c r="B3033" s="42" t="s">
        <v>310</v>
      </c>
      <c r="C3033" s="42" t="s">
        <v>915</v>
      </c>
      <c r="D3033" s="42" t="s">
        <v>167</v>
      </c>
      <c r="E3033" s="42" t="s">
        <v>808</v>
      </c>
      <c r="F3033" s="45">
        <v>-18215459.36833543</v>
      </c>
      <c r="G3033" s="42" t="s">
        <v>763</v>
      </c>
      <c r="H3033" s="42" t="s">
        <v>121</v>
      </c>
      <c r="I3033" s="42" t="s">
        <v>893</v>
      </c>
    </row>
    <row r="3034" spans="1:9">
      <c r="A3034" s="42" t="s">
        <v>897</v>
      </c>
      <c r="B3034" s="42" t="s">
        <v>305</v>
      </c>
      <c r="C3034" s="42" t="s">
        <v>916</v>
      </c>
      <c r="D3034" s="42" t="s">
        <v>167</v>
      </c>
      <c r="E3034" s="42" t="s">
        <v>808</v>
      </c>
      <c r="F3034" s="45">
        <v>177614798.4545828</v>
      </c>
      <c r="G3034" s="42" t="s">
        <v>763</v>
      </c>
      <c r="H3034" s="42" t="s">
        <v>121</v>
      </c>
      <c r="I3034" s="42" t="s">
        <v>893</v>
      </c>
    </row>
    <row r="3035" spans="1:9">
      <c r="A3035" s="42" t="s">
        <v>897</v>
      </c>
      <c r="B3035" s="42" t="s">
        <v>306</v>
      </c>
      <c r="C3035" s="42" t="s">
        <v>917</v>
      </c>
      <c r="D3035" s="42" t="s">
        <v>167</v>
      </c>
      <c r="E3035" s="42" t="s">
        <v>808</v>
      </c>
      <c r="F3035" s="45">
        <v>-33335603.80796298</v>
      </c>
      <c r="G3035" s="42" t="s">
        <v>763</v>
      </c>
      <c r="H3035" s="42" t="s">
        <v>121</v>
      </c>
      <c r="I3035" s="42" t="s">
        <v>893</v>
      </c>
    </row>
    <row r="3036" spans="1:9">
      <c r="A3036" s="42" t="s">
        <v>897</v>
      </c>
      <c r="B3036" s="42" t="s">
        <v>309</v>
      </c>
      <c r="C3036" s="42" t="s">
        <v>918</v>
      </c>
      <c r="D3036" s="42" t="s">
        <v>167</v>
      </c>
      <c r="E3036" s="42" t="s">
        <v>808</v>
      </c>
      <c r="F3036" s="45">
        <v>-18984598.22940829</v>
      </c>
      <c r="G3036" s="42" t="s">
        <v>763</v>
      </c>
      <c r="H3036" s="42" t="s">
        <v>121</v>
      </c>
      <c r="I3036" s="42" t="s">
        <v>893</v>
      </c>
    </row>
    <row r="3037" spans="1:9">
      <c r="A3037" s="42" t="s">
        <v>897</v>
      </c>
      <c r="B3037" s="42" t="s">
        <v>242</v>
      </c>
      <c r="C3037" s="42" t="s">
        <v>920</v>
      </c>
      <c r="D3037" s="42" t="s">
        <v>167</v>
      </c>
      <c r="E3037" s="42" t="s">
        <v>808</v>
      </c>
      <c r="F3037" s="45">
        <v>-3901972.758613563</v>
      </c>
      <c r="G3037" s="42" t="s">
        <v>763</v>
      </c>
      <c r="H3037" s="42" t="s">
        <v>121</v>
      </c>
      <c r="I3037" s="42" t="s">
        <v>893</v>
      </c>
    </row>
    <row r="3038" spans="1:9">
      <c r="A3038" s="42" t="s">
        <v>897</v>
      </c>
      <c r="B3038" s="42" t="s">
        <v>302</v>
      </c>
      <c r="C3038" s="42" t="s">
        <v>921</v>
      </c>
      <c r="D3038" s="42" t="s">
        <v>167</v>
      </c>
      <c r="E3038" s="42" t="s">
        <v>808</v>
      </c>
      <c r="F3038" s="45">
        <v>167728550.167134</v>
      </c>
      <c r="G3038" s="42" t="s">
        <v>763</v>
      </c>
      <c r="H3038" s="42" t="s">
        <v>121</v>
      </c>
      <c r="I3038" s="42" t="s">
        <v>893</v>
      </c>
    </row>
    <row r="3039" spans="1:9">
      <c r="A3039" s="42" t="s">
        <v>897</v>
      </c>
      <c r="B3039" s="42" t="s">
        <v>327</v>
      </c>
      <c r="C3039" s="42" t="s">
        <v>1009</v>
      </c>
      <c r="D3039" s="42" t="s">
        <v>167</v>
      </c>
      <c r="E3039" s="42" t="s">
        <v>808</v>
      </c>
      <c r="F3039" s="45">
        <v>1088050.096151859</v>
      </c>
      <c r="G3039" s="42" t="s">
        <v>763</v>
      </c>
      <c r="H3039" s="42" t="s">
        <v>121</v>
      </c>
      <c r="I3039" s="42" t="s">
        <v>893</v>
      </c>
    </row>
    <row r="3040" spans="1:9">
      <c r="A3040" s="42" t="s">
        <v>897</v>
      </c>
      <c r="B3040" s="42" t="s">
        <v>328</v>
      </c>
      <c r="C3040" s="42" t="s">
        <v>924</v>
      </c>
      <c r="D3040" s="42" t="s">
        <v>167</v>
      </c>
      <c r="E3040" s="42" t="s">
        <v>808</v>
      </c>
      <c r="F3040" s="45">
        <v>-2401214.005300654</v>
      </c>
      <c r="G3040" s="42" t="s">
        <v>763</v>
      </c>
      <c r="H3040" s="42" t="s">
        <v>121</v>
      </c>
      <c r="I3040" s="42" t="s">
        <v>893</v>
      </c>
    </row>
    <row r="3041" spans="1:9">
      <c r="A3041" s="42" t="s">
        <v>897</v>
      </c>
      <c r="B3041" s="42" t="s">
        <v>329</v>
      </c>
      <c r="C3041" s="42" t="s">
        <v>925</v>
      </c>
      <c r="D3041" s="42" t="s">
        <v>167</v>
      </c>
      <c r="E3041" s="42" t="s">
        <v>808</v>
      </c>
      <c r="F3041" s="45">
        <v>1431639432.980641</v>
      </c>
      <c r="G3041" s="42" t="s">
        <v>763</v>
      </c>
      <c r="H3041" s="42" t="s">
        <v>121</v>
      </c>
      <c r="I3041" s="42" t="s">
        <v>893</v>
      </c>
    </row>
    <row r="3042" spans="1:9">
      <c r="A3042" s="42" t="s">
        <v>897</v>
      </c>
      <c r="B3042" s="42" t="s">
        <v>372</v>
      </c>
      <c r="C3042" s="42" t="s">
        <v>926</v>
      </c>
      <c r="D3042" s="42" t="s">
        <v>167</v>
      </c>
      <c r="E3042" s="42" t="s">
        <v>808</v>
      </c>
      <c r="F3042" s="45">
        <v>32575844.68909832</v>
      </c>
      <c r="G3042" s="42" t="s">
        <v>763</v>
      </c>
      <c r="H3042" s="42" t="s">
        <v>121</v>
      </c>
      <c r="I3042" s="42" t="s">
        <v>896</v>
      </c>
    </row>
    <row r="3043" spans="1:9">
      <c r="A3043" s="42" t="s">
        <v>897</v>
      </c>
      <c r="B3043" s="42" t="s">
        <v>373</v>
      </c>
      <c r="C3043" s="42" t="s">
        <v>1032</v>
      </c>
      <c r="D3043" s="42" t="s">
        <v>167</v>
      </c>
      <c r="E3043" s="42" t="s">
        <v>808</v>
      </c>
      <c r="F3043" s="45">
        <v>-88253994.43700723</v>
      </c>
      <c r="G3043" s="42" t="s">
        <v>763</v>
      </c>
      <c r="H3043" s="42" t="s">
        <v>121</v>
      </c>
      <c r="I3043" s="42" t="s">
        <v>896</v>
      </c>
    </row>
    <row r="3044" spans="1:9">
      <c r="A3044" s="42" t="s">
        <v>897</v>
      </c>
      <c r="B3044" s="42" t="s">
        <v>374</v>
      </c>
      <c r="C3044" s="42" t="s">
        <v>1060</v>
      </c>
      <c r="D3044" s="42" t="s">
        <v>167</v>
      </c>
      <c r="E3044" s="42" t="s">
        <v>808</v>
      </c>
      <c r="F3044" s="45">
        <v>-88253994.43700723</v>
      </c>
      <c r="G3044" s="42" t="s">
        <v>763</v>
      </c>
      <c r="H3044" s="42" t="s">
        <v>110</v>
      </c>
      <c r="I3044" s="42" t="s">
        <v>864</v>
      </c>
    </row>
    <row r="3045" spans="1:9">
      <c r="A3045" s="42" t="s">
        <v>897</v>
      </c>
      <c r="B3045" s="42" t="s">
        <v>375</v>
      </c>
      <c r="C3045" s="42" t="s">
        <v>1033</v>
      </c>
      <c r="D3045" s="42" t="s">
        <v>167</v>
      </c>
      <c r="E3045" s="42" t="s">
        <v>808</v>
      </c>
      <c r="F3045" s="45">
        <v>1660214.370852405</v>
      </c>
      <c r="G3045" s="42" t="s">
        <v>763</v>
      </c>
      <c r="H3045" s="42" t="s">
        <v>121</v>
      </c>
      <c r="I3045" s="42" t="s">
        <v>891</v>
      </c>
    </row>
    <row r="3046" spans="1:9">
      <c r="A3046" s="42" t="s">
        <v>897</v>
      </c>
      <c r="B3046" s="42" t="s">
        <v>330</v>
      </c>
      <c r="C3046" s="42" t="s">
        <v>927</v>
      </c>
      <c r="D3046" s="42" t="s">
        <v>167</v>
      </c>
      <c r="E3046" s="42" t="s">
        <v>808</v>
      </c>
      <c r="F3046" s="45">
        <v>-784418461.1300328</v>
      </c>
      <c r="G3046" s="42" t="s">
        <v>763</v>
      </c>
      <c r="H3046" s="42" t="s">
        <v>121</v>
      </c>
      <c r="I3046" s="42" t="s">
        <v>893</v>
      </c>
    </row>
    <row r="3047" spans="1:9">
      <c r="A3047" s="42" t="s">
        <v>897</v>
      </c>
      <c r="B3047" s="42" t="s">
        <v>379</v>
      </c>
      <c r="C3047" s="42" t="s">
        <v>1063</v>
      </c>
      <c r="D3047" s="42" t="s">
        <v>167</v>
      </c>
      <c r="E3047" s="42" t="s">
        <v>808</v>
      </c>
      <c r="F3047" s="45">
        <v>1660214.370852405</v>
      </c>
      <c r="G3047" s="42" t="s">
        <v>763</v>
      </c>
      <c r="H3047" s="42" t="s">
        <v>110</v>
      </c>
      <c r="I3047" s="42" t="s">
        <v>864</v>
      </c>
    </row>
    <row r="3048" spans="1:9">
      <c r="A3048" s="42" t="s">
        <v>897</v>
      </c>
      <c r="B3048" s="42" t="s">
        <v>334</v>
      </c>
      <c r="C3048" s="42" t="s">
        <v>933</v>
      </c>
      <c r="D3048" s="42" t="s">
        <v>167</v>
      </c>
      <c r="E3048" s="42" t="s">
        <v>808</v>
      </c>
      <c r="F3048" s="45">
        <v>834797.0565303054</v>
      </c>
      <c r="G3048" s="42" t="s">
        <v>763</v>
      </c>
      <c r="H3048" s="42" t="s">
        <v>121</v>
      </c>
      <c r="I3048" s="42" t="s">
        <v>893</v>
      </c>
    </row>
    <row r="3049" spans="1:9">
      <c r="A3049" s="42" t="s">
        <v>897</v>
      </c>
      <c r="B3049" s="42" t="s">
        <v>336</v>
      </c>
      <c r="C3049" s="42" t="s">
        <v>938</v>
      </c>
      <c r="D3049" s="42" t="s">
        <v>167</v>
      </c>
      <c r="E3049" s="42" t="s">
        <v>808</v>
      </c>
      <c r="F3049" s="45">
        <v>-837601599.450559</v>
      </c>
      <c r="G3049" s="42" t="s">
        <v>763</v>
      </c>
      <c r="H3049" s="42" t="s">
        <v>121</v>
      </c>
      <c r="I3049" s="42" t="s">
        <v>893</v>
      </c>
    </row>
    <row r="3050" spans="1:9">
      <c r="A3050" s="42" t="s">
        <v>897</v>
      </c>
      <c r="B3050" s="42" t="s">
        <v>337</v>
      </c>
      <c r="C3050" s="42" t="s">
        <v>991</v>
      </c>
      <c r="D3050" s="42" t="s">
        <v>167</v>
      </c>
      <c r="E3050" s="42" t="s">
        <v>808</v>
      </c>
      <c r="F3050" s="45">
        <v>-457234293.4234022</v>
      </c>
      <c r="G3050" s="42" t="s">
        <v>763</v>
      </c>
      <c r="H3050" s="42" t="s">
        <v>121</v>
      </c>
      <c r="I3050" s="42" t="s">
        <v>893</v>
      </c>
    </row>
    <row r="3051" spans="1:9">
      <c r="A3051" s="42" t="s">
        <v>897</v>
      </c>
      <c r="B3051" s="42" t="s">
        <v>338</v>
      </c>
      <c r="C3051" s="42" t="s">
        <v>972</v>
      </c>
      <c r="D3051" s="42" t="s">
        <v>167</v>
      </c>
      <c r="E3051" s="42" t="s">
        <v>808</v>
      </c>
      <c r="F3051" s="45">
        <v>-173281357.5543917</v>
      </c>
      <c r="G3051" s="42" t="s">
        <v>763</v>
      </c>
      <c r="H3051" s="42" t="s">
        <v>121</v>
      </c>
      <c r="I3051" s="42" t="s">
        <v>893</v>
      </c>
    </row>
    <row r="3052" spans="1:9">
      <c r="A3052" s="42" t="s">
        <v>897</v>
      </c>
      <c r="B3052" s="42" t="s">
        <v>939</v>
      </c>
      <c r="C3052" s="42" t="s">
        <v>973</v>
      </c>
      <c r="D3052" s="42" t="s">
        <v>167</v>
      </c>
      <c r="E3052" s="42" t="s">
        <v>808</v>
      </c>
      <c r="F3052" s="45">
        <v>353897673.5156003</v>
      </c>
      <c r="G3052" s="42" t="s">
        <v>763</v>
      </c>
      <c r="H3052" s="42" t="s">
        <v>121</v>
      </c>
      <c r="I3052" s="42" t="s">
        <v>893</v>
      </c>
    </row>
    <row r="3053" spans="1:9">
      <c r="A3053" s="42" t="s">
        <v>897</v>
      </c>
      <c r="B3053" s="42" t="s">
        <v>340</v>
      </c>
      <c r="C3053" s="42" t="s">
        <v>1034</v>
      </c>
      <c r="D3053" s="42" t="s">
        <v>167</v>
      </c>
      <c r="E3053" s="42" t="s">
        <v>808</v>
      </c>
      <c r="F3053" s="45">
        <v>-7447515.31331531</v>
      </c>
      <c r="G3053" s="42" t="s">
        <v>763</v>
      </c>
      <c r="H3053" s="42" t="s">
        <v>121</v>
      </c>
      <c r="I3053" s="42" t="s">
        <v>893</v>
      </c>
    </row>
    <row r="3054" spans="1:9">
      <c r="A3054" s="42" t="s">
        <v>897</v>
      </c>
      <c r="B3054" s="42" t="s">
        <v>342</v>
      </c>
      <c r="C3054" s="42" t="s">
        <v>1014</v>
      </c>
      <c r="D3054" s="42" t="s">
        <v>167</v>
      </c>
      <c r="E3054" s="42" t="s">
        <v>808</v>
      </c>
      <c r="F3054" s="45">
        <v>-85121160.53946654</v>
      </c>
      <c r="G3054" s="42" t="s">
        <v>763</v>
      </c>
      <c r="H3054" s="42" t="s">
        <v>121</v>
      </c>
      <c r="I3054" s="42" t="s">
        <v>893</v>
      </c>
    </row>
    <row r="3055" spans="1:9">
      <c r="A3055" s="42" t="s">
        <v>897</v>
      </c>
      <c r="B3055" s="42" t="s">
        <v>392</v>
      </c>
      <c r="C3055" s="42" t="s">
        <v>1015</v>
      </c>
      <c r="D3055" s="42" t="s">
        <v>167</v>
      </c>
      <c r="E3055" s="42" t="s">
        <v>808</v>
      </c>
      <c r="F3055" s="45">
        <v>15073245.72858653</v>
      </c>
      <c r="G3055" s="42" t="s">
        <v>763</v>
      </c>
      <c r="H3055" s="42" t="s">
        <v>110</v>
      </c>
      <c r="I3055" s="42" t="s">
        <v>864</v>
      </c>
    </row>
    <row r="3056" spans="1:9">
      <c r="A3056" s="42" t="s">
        <v>897</v>
      </c>
      <c r="B3056" s="42" t="s">
        <v>343</v>
      </c>
      <c r="C3056" s="42" t="s">
        <v>1016</v>
      </c>
      <c r="D3056" s="42" t="s">
        <v>167</v>
      </c>
      <c r="E3056" s="42" t="s">
        <v>808</v>
      </c>
      <c r="F3056" s="45">
        <v>-440847.883785667</v>
      </c>
      <c r="G3056" s="42" t="s">
        <v>763</v>
      </c>
      <c r="H3056" s="42" t="s">
        <v>121</v>
      </c>
      <c r="I3056" s="42" t="s">
        <v>893</v>
      </c>
    </row>
    <row r="3057" spans="1:9">
      <c r="A3057" s="42" t="s">
        <v>897</v>
      </c>
      <c r="B3057" s="42" t="s">
        <v>344</v>
      </c>
      <c r="C3057" s="42" t="s">
        <v>980</v>
      </c>
      <c r="D3057" s="42" t="s">
        <v>167</v>
      </c>
      <c r="E3057" s="42" t="s">
        <v>808</v>
      </c>
      <c r="F3057" s="45">
        <v>-369627501.1987612</v>
      </c>
      <c r="G3057" s="42" t="s">
        <v>763</v>
      </c>
      <c r="H3057" s="42" t="s">
        <v>121</v>
      </c>
      <c r="I3057" s="42" t="s">
        <v>893</v>
      </c>
    </row>
    <row r="3058" spans="1:9">
      <c r="A3058" s="42" t="s">
        <v>897</v>
      </c>
      <c r="B3058" s="42" t="s">
        <v>345</v>
      </c>
      <c r="C3058" s="42" t="s">
        <v>1035</v>
      </c>
      <c r="D3058" s="42" t="s">
        <v>167</v>
      </c>
      <c r="E3058" s="42" t="s">
        <v>808</v>
      </c>
      <c r="F3058" s="45">
        <v>15073245.72858653</v>
      </c>
      <c r="G3058" s="42" t="s">
        <v>763</v>
      </c>
      <c r="H3058" s="42" t="s">
        <v>121</v>
      </c>
      <c r="I3058" s="42" t="s">
        <v>893</v>
      </c>
    </row>
    <row r="3059" spans="1:9">
      <c r="A3059" s="42" t="s">
        <v>897</v>
      </c>
      <c r="B3059" s="42" t="s">
        <v>346</v>
      </c>
      <c r="C3059" s="42" t="s">
        <v>956</v>
      </c>
      <c r="D3059" s="42" t="s">
        <v>167</v>
      </c>
      <c r="E3059" s="42" t="s">
        <v>808</v>
      </c>
      <c r="F3059" s="45">
        <v>239483578.0599074</v>
      </c>
      <c r="G3059" s="42" t="s">
        <v>763</v>
      </c>
      <c r="H3059" s="42" t="s">
        <v>121</v>
      </c>
      <c r="I3059" s="42" t="s">
        <v>893</v>
      </c>
    </row>
    <row r="3060" spans="1:9">
      <c r="A3060" s="42" t="s">
        <v>897</v>
      </c>
      <c r="B3060" s="42" t="s">
        <v>347</v>
      </c>
      <c r="C3060" s="42" t="s">
        <v>981</v>
      </c>
      <c r="D3060" s="42" t="s">
        <v>167</v>
      </c>
      <c r="E3060" s="42" t="s">
        <v>808</v>
      </c>
      <c r="F3060" s="45">
        <v>610407070.9560915</v>
      </c>
      <c r="G3060" s="42" t="s">
        <v>763</v>
      </c>
      <c r="H3060" s="42" t="s">
        <v>121</v>
      </c>
      <c r="I3060" s="42" t="s">
        <v>893</v>
      </c>
    </row>
    <row r="3061" spans="1:9">
      <c r="A3061" s="42" t="s">
        <v>897</v>
      </c>
      <c r="B3061" s="42" t="s">
        <v>348</v>
      </c>
      <c r="C3061" s="42" t="s">
        <v>982</v>
      </c>
      <c r="D3061" s="42" t="s">
        <v>167</v>
      </c>
      <c r="E3061" s="42" t="s">
        <v>808</v>
      </c>
      <c r="F3061" s="45">
        <v>794714126.6497544</v>
      </c>
      <c r="G3061" s="42" t="s">
        <v>763</v>
      </c>
      <c r="H3061" s="42" t="s">
        <v>121</v>
      </c>
      <c r="I3061" s="42" t="s">
        <v>893</v>
      </c>
    </row>
    <row r="3062" spans="1:9">
      <c r="A3062" s="42" t="s">
        <v>897</v>
      </c>
      <c r="B3062" s="42" t="s">
        <v>346</v>
      </c>
      <c r="C3062" s="42" t="s">
        <v>961</v>
      </c>
      <c r="D3062" s="42" t="s">
        <v>167</v>
      </c>
      <c r="E3062" s="42" t="s">
        <v>808</v>
      </c>
      <c r="F3062" s="45">
        <v>239483578.0599074</v>
      </c>
      <c r="G3062" s="42" t="s">
        <v>763</v>
      </c>
      <c r="H3062" s="42" t="s">
        <v>121</v>
      </c>
      <c r="I3062" s="42" t="s">
        <v>893</v>
      </c>
    </row>
    <row r="3063" spans="1:9">
      <c r="A3063" s="42" t="s">
        <v>897</v>
      </c>
      <c r="B3063" s="42" t="s">
        <v>350</v>
      </c>
      <c r="C3063" s="42" t="s">
        <v>1003</v>
      </c>
      <c r="D3063" s="42" t="s">
        <v>168</v>
      </c>
      <c r="E3063" s="42" t="s">
        <v>808</v>
      </c>
      <c r="F3063" s="45">
        <v>797407655.8055624</v>
      </c>
      <c r="G3063" s="42" t="s">
        <v>1001</v>
      </c>
      <c r="H3063" s="42" t="s">
        <v>1061</v>
      </c>
      <c r="I3063" s="42" t="s">
        <v>854</v>
      </c>
    </row>
    <row r="3064" spans="1:9">
      <c r="A3064" s="42" t="s">
        <v>897</v>
      </c>
      <c r="B3064" s="42" t="s">
        <v>313</v>
      </c>
      <c r="C3064" s="42" t="s">
        <v>994</v>
      </c>
      <c r="D3064" s="42" t="s">
        <v>168</v>
      </c>
      <c r="E3064" s="42" t="s">
        <v>808</v>
      </c>
      <c r="F3064" s="45">
        <v>797407655.8055624</v>
      </c>
      <c r="G3064" s="42" t="s">
        <v>1001</v>
      </c>
      <c r="H3064" s="42" t="s">
        <v>1070</v>
      </c>
      <c r="I3064" s="42" t="s">
        <v>893</v>
      </c>
    </row>
    <row r="3065" spans="1:9">
      <c r="A3065" s="42" t="s">
        <v>897</v>
      </c>
      <c r="B3065" s="42" t="s">
        <v>201</v>
      </c>
      <c r="C3065" s="42" t="s">
        <v>966</v>
      </c>
      <c r="D3065" s="42" t="s">
        <v>168</v>
      </c>
      <c r="E3065" s="42" t="s">
        <v>808</v>
      </c>
      <c r="F3065" s="45">
        <v>-131102658.824756</v>
      </c>
      <c r="G3065" s="42" t="s">
        <v>1001</v>
      </c>
      <c r="H3065" s="42" t="s">
        <v>1070</v>
      </c>
      <c r="I3065" s="42" t="s">
        <v>893</v>
      </c>
    </row>
    <row r="3066" spans="1:9">
      <c r="A3066" s="42" t="s">
        <v>897</v>
      </c>
      <c r="B3066" s="42" t="s">
        <v>314</v>
      </c>
      <c r="C3066" s="42" t="s">
        <v>900</v>
      </c>
      <c r="D3066" s="42" t="s">
        <v>168</v>
      </c>
      <c r="E3066" s="42" t="s">
        <v>808</v>
      </c>
      <c r="F3066" s="45">
        <v>632073342.5136635</v>
      </c>
      <c r="G3066" s="42" t="s">
        <v>1001</v>
      </c>
      <c r="H3066" s="42" t="s">
        <v>1070</v>
      </c>
      <c r="I3066" s="42" t="s">
        <v>893</v>
      </c>
    </row>
    <row r="3067" spans="1:9">
      <c r="A3067" s="42" t="s">
        <v>897</v>
      </c>
      <c r="B3067" s="42" t="s">
        <v>315</v>
      </c>
      <c r="C3067" s="42" t="s">
        <v>901</v>
      </c>
      <c r="D3067" s="42" t="s">
        <v>168</v>
      </c>
      <c r="E3067" s="42" t="s">
        <v>808</v>
      </c>
      <c r="F3067" s="45">
        <v>12648248.75308994</v>
      </c>
      <c r="G3067" s="42" t="s">
        <v>1001</v>
      </c>
      <c r="H3067" s="42" t="s">
        <v>1070</v>
      </c>
      <c r="I3067" s="42" t="s">
        <v>893</v>
      </c>
    </row>
    <row r="3068" spans="1:9">
      <c r="A3068" s="42" t="s">
        <v>897</v>
      </c>
      <c r="B3068" s="42" t="s">
        <v>316</v>
      </c>
      <c r="C3068" s="42" t="s">
        <v>1004</v>
      </c>
      <c r="D3068" s="42" t="s">
        <v>168</v>
      </c>
      <c r="E3068" s="42" t="s">
        <v>808</v>
      </c>
      <c r="F3068" s="45">
        <v>49965669.00181777</v>
      </c>
      <c r="G3068" s="42" t="s">
        <v>1001</v>
      </c>
      <c r="H3068" s="42" t="s">
        <v>1070</v>
      </c>
      <c r="I3068" s="42" t="s">
        <v>893</v>
      </c>
    </row>
    <row r="3069" spans="1:9">
      <c r="A3069" s="42" t="s">
        <v>897</v>
      </c>
      <c r="B3069" s="42" t="s">
        <v>317</v>
      </c>
      <c r="C3069" s="42" t="s">
        <v>967</v>
      </c>
      <c r="D3069" s="42" t="s">
        <v>168</v>
      </c>
      <c r="E3069" s="42" t="s">
        <v>808</v>
      </c>
      <c r="F3069" s="45">
        <v>99507469.07759365</v>
      </c>
      <c r="G3069" s="42" t="s">
        <v>1001</v>
      </c>
      <c r="H3069" s="42" t="s">
        <v>1070</v>
      </c>
      <c r="I3069" s="42" t="s">
        <v>893</v>
      </c>
    </row>
    <row r="3070" spans="1:9">
      <c r="A3070" s="42" t="s">
        <v>897</v>
      </c>
      <c r="B3070" s="42" t="s">
        <v>318</v>
      </c>
      <c r="C3070" s="42" t="s">
        <v>904</v>
      </c>
      <c r="D3070" s="42" t="s">
        <v>168</v>
      </c>
      <c r="E3070" s="42" t="s">
        <v>808</v>
      </c>
      <c r="F3070" s="45">
        <v>182695984.5025746</v>
      </c>
      <c r="G3070" s="42" t="s">
        <v>1001</v>
      </c>
      <c r="H3070" s="42" t="s">
        <v>1070</v>
      </c>
      <c r="I3070" s="42" t="s">
        <v>893</v>
      </c>
    </row>
    <row r="3071" spans="1:9">
      <c r="A3071" s="42" t="s">
        <v>897</v>
      </c>
      <c r="B3071" s="42" t="s">
        <v>319</v>
      </c>
      <c r="C3071" s="42" t="s">
        <v>907</v>
      </c>
      <c r="D3071" s="42" t="s">
        <v>168</v>
      </c>
      <c r="E3071" s="42" t="s">
        <v>808</v>
      </c>
      <c r="F3071" s="45">
        <v>105373815.0140134</v>
      </c>
      <c r="G3071" s="42" t="s">
        <v>1001</v>
      </c>
      <c r="H3071" s="42" t="s">
        <v>1070</v>
      </c>
      <c r="I3071" s="42" t="s">
        <v>893</v>
      </c>
    </row>
    <row r="3072" spans="1:9">
      <c r="A3072" s="42" t="s">
        <v>897</v>
      </c>
      <c r="B3072" s="42" t="s">
        <v>320</v>
      </c>
      <c r="C3072" s="42" t="s">
        <v>1048</v>
      </c>
      <c r="D3072" s="42" t="s">
        <v>168</v>
      </c>
      <c r="E3072" s="42" t="s">
        <v>808</v>
      </c>
      <c r="F3072" s="45">
        <v>118963052.7829163</v>
      </c>
      <c r="G3072" s="42" t="s">
        <v>1001</v>
      </c>
      <c r="H3072" s="42" t="s">
        <v>1070</v>
      </c>
      <c r="I3072" s="42" t="s">
        <v>893</v>
      </c>
    </row>
    <row r="3073" spans="1:9">
      <c r="A3073" s="42" t="s">
        <v>897</v>
      </c>
      <c r="B3073" s="42" t="s">
        <v>357</v>
      </c>
      <c r="C3073" s="42" t="s">
        <v>908</v>
      </c>
      <c r="D3073" s="42" t="s">
        <v>168</v>
      </c>
      <c r="E3073" s="42" t="s">
        <v>808</v>
      </c>
      <c r="F3073" s="45">
        <v>118963052.7829163</v>
      </c>
      <c r="G3073" s="42" t="s">
        <v>1001</v>
      </c>
      <c r="H3073" s="42" t="s">
        <v>1061</v>
      </c>
      <c r="I3073" s="42" t="s">
        <v>864</v>
      </c>
    </row>
    <row r="3074" spans="1:9">
      <c r="A3074" s="42" t="s">
        <v>897</v>
      </c>
      <c r="B3074" s="42" t="s">
        <v>251</v>
      </c>
      <c r="C3074" s="42" t="s">
        <v>909</v>
      </c>
      <c r="D3074" s="42" t="s">
        <v>168</v>
      </c>
      <c r="E3074" s="42" t="s">
        <v>808</v>
      </c>
      <c r="F3074" s="45">
        <v>483210.5756877525</v>
      </c>
      <c r="G3074" s="42" t="s">
        <v>1001</v>
      </c>
      <c r="H3074" s="42" t="s">
        <v>1070</v>
      </c>
      <c r="I3074" s="42" t="s">
        <v>893</v>
      </c>
    </row>
    <row r="3075" spans="1:9">
      <c r="A3075" s="42" t="s">
        <v>897</v>
      </c>
      <c r="B3075" s="42" t="s">
        <v>293</v>
      </c>
      <c r="C3075" s="42" t="s">
        <v>912</v>
      </c>
      <c r="D3075" s="42" t="s">
        <v>168</v>
      </c>
      <c r="E3075" s="42" t="s">
        <v>808</v>
      </c>
      <c r="F3075" s="45">
        <v>-230576218.3882663</v>
      </c>
      <c r="G3075" s="42" t="s">
        <v>1001</v>
      </c>
      <c r="H3075" s="42" t="s">
        <v>1070</v>
      </c>
      <c r="I3075" s="42" t="s">
        <v>893</v>
      </c>
    </row>
    <row r="3076" spans="1:9">
      <c r="A3076" s="42" t="s">
        <v>897</v>
      </c>
      <c r="B3076" s="42" t="s">
        <v>369</v>
      </c>
      <c r="C3076" s="42" t="s">
        <v>970</v>
      </c>
      <c r="D3076" s="42" t="s">
        <v>168</v>
      </c>
      <c r="E3076" s="42" t="s">
        <v>808</v>
      </c>
      <c r="F3076" s="45">
        <v>-31612144.50420402</v>
      </c>
      <c r="G3076" s="42" t="s">
        <v>1001</v>
      </c>
      <c r="H3076" s="42" t="s">
        <v>1070</v>
      </c>
      <c r="I3076" s="42" t="s">
        <v>886</v>
      </c>
    </row>
    <row r="3077" spans="1:9">
      <c r="A3077" s="42" t="s">
        <v>897</v>
      </c>
      <c r="B3077" s="42" t="s">
        <v>292</v>
      </c>
      <c r="C3077" s="42" t="s">
        <v>913</v>
      </c>
      <c r="D3077" s="42" t="s">
        <v>168</v>
      </c>
      <c r="E3077" s="42" t="s">
        <v>808</v>
      </c>
      <c r="F3077" s="45">
        <v>-134807273.2383621</v>
      </c>
      <c r="G3077" s="42" t="s">
        <v>1001</v>
      </c>
      <c r="H3077" s="42" t="s">
        <v>1070</v>
      </c>
      <c r="I3077" s="42" t="s">
        <v>893</v>
      </c>
    </row>
    <row r="3078" spans="1:9">
      <c r="A3078" s="42" t="s">
        <v>897</v>
      </c>
      <c r="B3078" s="42" t="s">
        <v>241</v>
      </c>
      <c r="C3078" s="42" t="s">
        <v>914</v>
      </c>
      <c r="D3078" s="42" t="s">
        <v>168</v>
      </c>
      <c r="E3078" s="42" t="s">
        <v>808</v>
      </c>
      <c r="F3078" s="45">
        <v>-209459068.4928594</v>
      </c>
      <c r="G3078" s="42" t="s">
        <v>1001</v>
      </c>
      <c r="H3078" s="42" t="s">
        <v>1070</v>
      </c>
      <c r="I3078" s="42" t="s">
        <v>893</v>
      </c>
    </row>
    <row r="3079" spans="1:9">
      <c r="A3079" s="42" t="s">
        <v>897</v>
      </c>
      <c r="B3079" s="42" t="s">
        <v>310</v>
      </c>
      <c r="C3079" s="42" t="s">
        <v>915</v>
      </c>
      <c r="D3079" s="42" t="s">
        <v>168</v>
      </c>
      <c r="E3079" s="42" t="s">
        <v>808</v>
      </c>
      <c r="F3079" s="45">
        <v>79729744.98847915</v>
      </c>
      <c r="G3079" s="42" t="s">
        <v>1001</v>
      </c>
      <c r="H3079" s="42" t="s">
        <v>1070</v>
      </c>
      <c r="I3079" s="42" t="s">
        <v>893</v>
      </c>
    </row>
    <row r="3080" spans="1:9">
      <c r="A3080" s="42" t="s">
        <v>897</v>
      </c>
      <c r="B3080" s="42" t="s">
        <v>305</v>
      </c>
      <c r="C3080" s="42" t="s">
        <v>916</v>
      </c>
      <c r="D3080" s="42" t="s">
        <v>168</v>
      </c>
      <c r="E3080" s="42" t="s">
        <v>808</v>
      </c>
      <c r="F3080" s="45">
        <v>-58375228.49448883</v>
      </c>
      <c r="G3080" s="42" t="s">
        <v>1001</v>
      </c>
      <c r="H3080" s="42" t="s">
        <v>1070</v>
      </c>
      <c r="I3080" s="42" t="s">
        <v>893</v>
      </c>
    </row>
    <row r="3081" spans="1:9">
      <c r="A3081" s="42" t="s">
        <v>897</v>
      </c>
      <c r="B3081" s="42" t="s">
        <v>306</v>
      </c>
      <c r="C3081" s="42" t="s">
        <v>917</v>
      </c>
      <c r="D3081" s="42" t="s">
        <v>168</v>
      </c>
      <c r="E3081" s="42" t="s">
        <v>808</v>
      </c>
      <c r="F3081" s="45">
        <v>16963234.42019636</v>
      </c>
      <c r="G3081" s="42" t="s">
        <v>1001</v>
      </c>
      <c r="H3081" s="42" t="s">
        <v>1070</v>
      </c>
      <c r="I3081" s="42" t="s">
        <v>893</v>
      </c>
    </row>
    <row r="3082" spans="1:9">
      <c r="A3082" s="42" t="s">
        <v>897</v>
      </c>
      <c r="B3082" s="42" t="s">
        <v>309</v>
      </c>
      <c r="C3082" s="42" t="s">
        <v>918</v>
      </c>
      <c r="D3082" s="42" t="s">
        <v>168</v>
      </c>
      <c r="E3082" s="42" t="s">
        <v>808</v>
      </c>
      <c r="F3082" s="45">
        <v>-4170870.232252179</v>
      </c>
      <c r="G3082" s="42" t="s">
        <v>1001</v>
      </c>
      <c r="H3082" s="42" t="s">
        <v>1070</v>
      </c>
      <c r="I3082" s="42" t="s">
        <v>893</v>
      </c>
    </row>
    <row r="3083" spans="1:9">
      <c r="A3083" s="42" t="s">
        <v>897</v>
      </c>
      <c r="B3083" s="42" t="s">
        <v>242</v>
      </c>
      <c r="C3083" s="42" t="s">
        <v>920</v>
      </c>
      <c r="D3083" s="42" t="s">
        <v>168</v>
      </c>
      <c r="E3083" s="42" t="s">
        <v>808</v>
      </c>
      <c r="F3083" s="45">
        <v>-3738523.927689453</v>
      </c>
      <c r="G3083" s="42" t="s">
        <v>1001</v>
      </c>
      <c r="H3083" s="42" t="s">
        <v>1070</v>
      </c>
      <c r="I3083" s="42" t="s">
        <v>893</v>
      </c>
    </row>
    <row r="3084" spans="1:9">
      <c r="A3084" s="42" t="s">
        <v>897</v>
      </c>
      <c r="B3084" s="42" t="s">
        <v>302</v>
      </c>
      <c r="C3084" s="42" t="s">
        <v>921</v>
      </c>
      <c r="D3084" s="42" t="s">
        <v>168</v>
      </c>
      <c r="E3084" s="42" t="s">
        <v>808</v>
      </c>
      <c r="F3084" s="45">
        <v>-18913031.47998905</v>
      </c>
      <c r="G3084" s="42" t="s">
        <v>1001</v>
      </c>
      <c r="H3084" s="42" t="s">
        <v>1070</v>
      </c>
      <c r="I3084" s="42" t="s">
        <v>893</v>
      </c>
    </row>
    <row r="3085" spans="1:9">
      <c r="A3085" s="42" t="s">
        <v>897</v>
      </c>
      <c r="B3085" s="42" t="s">
        <v>327</v>
      </c>
      <c r="C3085" s="42" t="s">
        <v>1009</v>
      </c>
      <c r="D3085" s="42" t="s">
        <v>168</v>
      </c>
      <c r="E3085" s="42" t="s">
        <v>808</v>
      </c>
      <c r="F3085" s="45">
        <v>0</v>
      </c>
      <c r="G3085" s="42" t="s">
        <v>1001</v>
      </c>
      <c r="H3085" s="42" t="s">
        <v>1070</v>
      </c>
      <c r="I3085" s="42" t="s">
        <v>893</v>
      </c>
    </row>
    <row r="3086" spans="1:9">
      <c r="A3086" s="42" t="s">
        <v>897</v>
      </c>
      <c r="B3086" s="42" t="s">
        <v>328</v>
      </c>
      <c r="C3086" s="42" t="s">
        <v>924</v>
      </c>
      <c r="D3086" s="42" t="s">
        <v>168</v>
      </c>
      <c r="E3086" s="42" t="s">
        <v>808</v>
      </c>
      <c r="F3086" s="45">
        <v>-3925026.255147884</v>
      </c>
      <c r="G3086" s="42" t="s">
        <v>1001</v>
      </c>
      <c r="H3086" s="42" t="s">
        <v>1070</v>
      </c>
      <c r="I3086" s="42" t="s">
        <v>893</v>
      </c>
    </row>
    <row r="3087" spans="1:9">
      <c r="A3087" s="42" t="s">
        <v>897</v>
      </c>
      <c r="B3087" s="42" t="s">
        <v>329</v>
      </c>
      <c r="C3087" s="42" t="s">
        <v>925</v>
      </c>
      <c r="D3087" s="42" t="s">
        <v>168</v>
      </c>
      <c r="E3087" s="42" t="s">
        <v>808</v>
      </c>
      <c r="F3087" s="45">
        <v>1333050817.644696</v>
      </c>
      <c r="G3087" s="42" t="s">
        <v>1001</v>
      </c>
      <c r="H3087" s="42" t="s">
        <v>1070</v>
      </c>
      <c r="I3087" s="42" t="s">
        <v>893</v>
      </c>
    </row>
    <row r="3088" spans="1:9">
      <c r="A3088" s="42" t="s">
        <v>897</v>
      </c>
      <c r="B3088" s="42" t="s">
        <v>372</v>
      </c>
      <c r="C3088" s="42" t="s">
        <v>926</v>
      </c>
      <c r="D3088" s="42" t="s">
        <v>168</v>
      </c>
      <c r="E3088" s="42" t="s">
        <v>808</v>
      </c>
      <c r="F3088" s="45">
        <v>194810158.4088518</v>
      </c>
      <c r="G3088" s="42" t="s">
        <v>1001</v>
      </c>
      <c r="H3088" s="42" t="s">
        <v>1070</v>
      </c>
      <c r="I3088" s="42" t="s">
        <v>896</v>
      </c>
    </row>
    <row r="3089" spans="1:9">
      <c r="A3089" s="42" t="s">
        <v>897</v>
      </c>
      <c r="B3089" s="42" t="s">
        <v>373</v>
      </c>
      <c r="C3089" s="42" t="s">
        <v>1032</v>
      </c>
      <c r="D3089" s="42" t="s">
        <v>168</v>
      </c>
      <c r="E3089" s="42" t="s">
        <v>808</v>
      </c>
      <c r="F3089" s="45">
        <v>-415188090.4365502</v>
      </c>
      <c r="G3089" s="42" t="s">
        <v>1001</v>
      </c>
      <c r="H3089" s="42" t="s">
        <v>1070</v>
      </c>
      <c r="I3089" s="42" t="s">
        <v>896</v>
      </c>
    </row>
    <row r="3090" spans="1:9">
      <c r="A3090" s="42" t="s">
        <v>897</v>
      </c>
      <c r="B3090" s="42" t="s">
        <v>374</v>
      </c>
      <c r="C3090" s="42" t="s">
        <v>1060</v>
      </c>
      <c r="D3090" s="42" t="s">
        <v>168</v>
      </c>
      <c r="E3090" s="42" t="s">
        <v>808</v>
      </c>
      <c r="F3090" s="45">
        <v>-415188090.4365502</v>
      </c>
      <c r="G3090" s="42" t="s">
        <v>1001</v>
      </c>
      <c r="H3090" s="42" t="s">
        <v>1061</v>
      </c>
      <c r="I3090" s="42" t="s">
        <v>864</v>
      </c>
    </row>
    <row r="3091" spans="1:9">
      <c r="A3091" s="42" t="s">
        <v>897</v>
      </c>
      <c r="B3091" s="42" t="s">
        <v>375</v>
      </c>
      <c r="C3091" s="42" t="s">
        <v>1033</v>
      </c>
      <c r="D3091" s="42" t="s">
        <v>168</v>
      </c>
      <c r="E3091" s="42" t="s">
        <v>808</v>
      </c>
      <c r="F3091" s="45">
        <v>1797204.246417606</v>
      </c>
      <c r="G3091" s="42" t="s">
        <v>1001</v>
      </c>
      <c r="H3091" s="42" t="s">
        <v>1070</v>
      </c>
      <c r="I3091" s="42" t="s">
        <v>891</v>
      </c>
    </row>
    <row r="3092" spans="1:9">
      <c r="A3092" s="42" t="s">
        <v>897</v>
      </c>
      <c r="B3092" s="42" t="s">
        <v>330</v>
      </c>
      <c r="C3092" s="42" t="s">
        <v>927</v>
      </c>
      <c r="D3092" s="42" t="s">
        <v>168</v>
      </c>
      <c r="E3092" s="42" t="s">
        <v>808</v>
      </c>
      <c r="F3092" s="45">
        <v>-819016493.655178</v>
      </c>
      <c r="G3092" s="42" t="s">
        <v>1001</v>
      </c>
      <c r="H3092" s="42" t="s">
        <v>1070</v>
      </c>
      <c r="I3092" s="42" t="s">
        <v>893</v>
      </c>
    </row>
    <row r="3093" spans="1:9">
      <c r="A3093" s="42" t="s">
        <v>897</v>
      </c>
      <c r="B3093" s="42" t="s">
        <v>379</v>
      </c>
      <c r="C3093" s="42" t="s">
        <v>1063</v>
      </c>
      <c r="D3093" s="42" t="s">
        <v>168</v>
      </c>
      <c r="E3093" s="42" t="s">
        <v>808</v>
      </c>
      <c r="F3093" s="45">
        <v>1797204.246417606</v>
      </c>
      <c r="G3093" s="42" t="s">
        <v>1001</v>
      </c>
      <c r="H3093" s="42" t="s">
        <v>1061</v>
      </c>
      <c r="I3093" s="42" t="s">
        <v>864</v>
      </c>
    </row>
    <row r="3094" spans="1:9">
      <c r="A3094" s="42" t="s">
        <v>897</v>
      </c>
      <c r="B3094" s="42" t="s">
        <v>334</v>
      </c>
      <c r="C3094" s="42" t="s">
        <v>933</v>
      </c>
      <c r="D3094" s="42" t="s">
        <v>168</v>
      </c>
      <c r="E3094" s="42" t="s">
        <v>808</v>
      </c>
      <c r="F3094" s="45">
        <v>17242987.91138401</v>
      </c>
      <c r="G3094" s="42" t="s">
        <v>1001</v>
      </c>
      <c r="H3094" s="42" t="s">
        <v>1070</v>
      </c>
      <c r="I3094" s="42" t="s">
        <v>893</v>
      </c>
    </row>
    <row r="3095" spans="1:9">
      <c r="A3095" s="42" t="s">
        <v>897</v>
      </c>
      <c r="B3095" s="42" t="s">
        <v>336</v>
      </c>
      <c r="C3095" s="42" t="s">
        <v>938</v>
      </c>
      <c r="D3095" s="42" t="s">
        <v>168</v>
      </c>
      <c r="E3095" s="42" t="s">
        <v>808</v>
      </c>
      <c r="F3095" s="45">
        <v>-1020354233.525075</v>
      </c>
      <c r="G3095" s="42" t="s">
        <v>1001</v>
      </c>
      <c r="H3095" s="42" t="s">
        <v>1070</v>
      </c>
      <c r="I3095" s="42" t="s">
        <v>893</v>
      </c>
    </row>
    <row r="3096" spans="1:9">
      <c r="A3096" s="42" t="s">
        <v>897</v>
      </c>
      <c r="B3096" s="42" t="s">
        <v>337</v>
      </c>
      <c r="C3096" s="42" t="s">
        <v>991</v>
      </c>
      <c r="D3096" s="42" t="s">
        <v>168</v>
      </c>
      <c r="E3096" s="42" t="s">
        <v>808</v>
      </c>
      <c r="F3096" s="45">
        <v>-232119101.2790588</v>
      </c>
      <c r="G3096" s="42" t="s">
        <v>1001</v>
      </c>
      <c r="H3096" s="42" t="s">
        <v>1070</v>
      </c>
      <c r="I3096" s="42" t="s">
        <v>893</v>
      </c>
    </row>
    <row r="3097" spans="1:9">
      <c r="A3097" s="42" t="s">
        <v>897</v>
      </c>
      <c r="B3097" s="42" t="s">
        <v>338</v>
      </c>
      <c r="C3097" s="42" t="s">
        <v>972</v>
      </c>
      <c r="D3097" s="42" t="s">
        <v>168</v>
      </c>
      <c r="E3097" s="42" t="s">
        <v>808</v>
      </c>
      <c r="F3097" s="45">
        <v>-126262075.6893576</v>
      </c>
      <c r="G3097" s="42" t="s">
        <v>1001</v>
      </c>
      <c r="H3097" s="42" t="s">
        <v>1070</v>
      </c>
      <c r="I3097" s="42" t="s">
        <v>893</v>
      </c>
    </row>
    <row r="3098" spans="1:9">
      <c r="A3098" s="42" t="s">
        <v>897</v>
      </c>
      <c r="B3098" s="42" t="s">
        <v>939</v>
      </c>
      <c r="C3098" s="42" t="s">
        <v>973</v>
      </c>
      <c r="D3098" s="42" t="s">
        <v>168</v>
      </c>
      <c r="E3098" s="42" t="s">
        <v>808</v>
      </c>
      <c r="F3098" s="45">
        <v>8629971.334212841</v>
      </c>
      <c r="G3098" s="42" t="s">
        <v>1001</v>
      </c>
      <c r="H3098" s="42" t="s">
        <v>1070</v>
      </c>
      <c r="I3098" s="42" t="s">
        <v>893</v>
      </c>
    </row>
    <row r="3099" spans="1:9">
      <c r="A3099" s="42" t="s">
        <v>897</v>
      </c>
      <c r="B3099" s="42" t="s">
        <v>340</v>
      </c>
      <c r="C3099" s="42" t="s">
        <v>1034</v>
      </c>
      <c r="D3099" s="42" t="s">
        <v>168</v>
      </c>
      <c r="E3099" s="42" t="s">
        <v>808</v>
      </c>
      <c r="F3099" s="45">
        <v>53678760.79394471</v>
      </c>
      <c r="G3099" s="42" t="s">
        <v>1001</v>
      </c>
      <c r="H3099" s="42" t="s">
        <v>1070</v>
      </c>
      <c r="I3099" s="42" t="s">
        <v>893</v>
      </c>
    </row>
    <row r="3100" spans="1:9">
      <c r="A3100" s="42" t="s">
        <v>897</v>
      </c>
      <c r="B3100" s="42" t="s">
        <v>342</v>
      </c>
      <c r="C3100" s="42" t="s">
        <v>1014</v>
      </c>
      <c r="D3100" s="42" t="s">
        <v>168</v>
      </c>
      <c r="E3100" s="42" t="s">
        <v>808</v>
      </c>
      <c r="F3100" s="45">
        <v>-80280774.59233361</v>
      </c>
      <c r="G3100" s="42" t="s">
        <v>1001</v>
      </c>
      <c r="H3100" s="42" t="s">
        <v>1070</v>
      </c>
      <c r="I3100" s="42" t="s">
        <v>893</v>
      </c>
    </row>
    <row r="3101" spans="1:9">
      <c r="A3101" s="42" t="s">
        <v>897</v>
      </c>
      <c r="B3101" s="42" t="s">
        <v>392</v>
      </c>
      <c r="C3101" s="42" t="s">
        <v>1015</v>
      </c>
      <c r="D3101" s="42" t="s">
        <v>168</v>
      </c>
      <c r="E3101" s="42" t="s">
        <v>808</v>
      </c>
      <c r="F3101" s="45">
        <v>26186622.25086785</v>
      </c>
      <c r="G3101" s="42" t="s">
        <v>1001</v>
      </c>
      <c r="H3101" s="42" t="s">
        <v>1061</v>
      </c>
      <c r="I3101" s="42" t="s">
        <v>864</v>
      </c>
    </row>
    <row r="3102" spans="1:9">
      <c r="A3102" s="42" t="s">
        <v>897</v>
      </c>
      <c r="B3102" s="42" t="s">
        <v>343</v>
      </c>
      <c r="C3102" s="42" t="s">
        <v>1016</v>
      </c>
      <c r="D3102" s="42" t="s">
        <v>168</v>
      </c>
      <c r="E3102" s="42" t="s">
        <v>808</v>
      </c>
      <c r="F3102" s="45">
        <v>-2449962.392522113</v>
      </c>
      <c r="G3102" s="42" t="s">
        <v>1001</v>
      </c>
      <c r="H3102" s="42" t="s">
        <v>1070</v>
      </c>
      <c r="I3102" s="42" t="s">
        <v>893</v>
      </c>
    </row>
    <row r="3103" spans="1:9">
      <c r="A3103" s="42" t="s">
        <v>897</v>
      </c>
      <c r="B3103" s="42" t="s">
        <v>344</v>
      </c>
      <c r="C3103" s="42" t="s">
        <v>980</v>
      </c>
      <c r="D3103" s="42" t="s">
        <v>168</v>
      </c>
      <c r="E3103" s="42" t="s">
        <v>808</v>
      </c>
      <c r="F3103" s="45">
        <v>-378803181.8251145</v>
      </c>
      <c r="G3103" s="42" t="s">
        <v>1001</v>
      </c>
      <c r="H3103" s="42" t="s">
        <v>1070</v>
      </c>
      <c r="I3103" s="42" t="s">
        <v>893</v>
      </c>
    </row>
    <row r="3104" spans="1:9">
      <c r="A3104" s="42" t="s">
        <v>897</v>
      </c>
      <c r="B3104" s="42" t="s">
        <v>345</v>
      </c>
      <c r="C3104" s="42" t="s">
        <v>1035</v>
      </c>
      <c r="D3104" s="42" t="s">
        <v>168</v>
      </c>
      <c r="E3104" s="42" t="s">
        <v>808</v>
      </c>
      <c r="F3104" s="45">
        <v>26186622.25086785</v>
      </c>
      <c r="G3104" s="42" t="s">
        <v>1001</v>
      </c>
      <c r="H3104" s="42" t="s">
        <v>1070</v>
      </c>
      <c r="I3104" s="42" t="s">
        <v>893</v>
      </c>
    </row>
    <row r="3105" spans="1:9">
      <c r="A3105" s="42" t="s">
        <v>897</v>
      </c>
      <c r="B3105" s="42" t="s">
        <v>346</v>
      </c>
      <c r="C3105" s="42" t="s">
        <v>956</v>
      </c>
      <c r="D3105" s="42" t="s">
        <v>168</v>
      </c>
      <c r="E3105" s="42" t="s">
        <v>808</v>
      </c>
      <c r="F3105" s="45">
        <v>-39919975.45462503</v>
      </c>
      <c r="G3105" s="42" t="s">
        <v>1001</v>
      </c>
      <c r="H3105" s="42" t="s">
        <v>1070</v>
      </c>
      <c r="I3105" s="42" t="s">
        <v>893</v>
      </c>
    </row>
    <row r="3106" spans="1:9">
      <c r="A3106" s="42" t="s">
        <v>897</v>
      </c>
      <c r="B3106" s="42" t="s">
        <v>347</v>
      </c>
      <c r="C3106" s="42" t="s">
        <v>981</v>
      </c>
      <c r="D3106" s="42" t="s">
        <v>168</v>
      </c>
      <c r="E3106" s="42" t="s">
        <v>808</v>
      </c>
      <c r="F3106" s="45">
        <v>794714126.6497544</v>
      </c>
      <c r="G3106" s="42" t="s">
        <v>1039</v>
      </c>
      <c r="H3106" s="42" t="s">
        <v>121</v>
      </c>
      <c r="I3106" s="42" t="s">
        <v>893</v>
      </c>
    </row>
    <row r="3107" spans="1:9">
      <c r="A3107" s="42" t="s">
        <v>897</v>
      </c>
      <c r="B3107" s="42" t="s">
        <v>348</v>
      </c>
      <c r="C3107" s="42" t="s">
        <v>982</v>
      </c>
      <c r="D3107" s="42" t="s">
        <v>168</v>
      </c>
      <c r="E3107" s="42" t="s">
        <v>808</v>
      </c>
      <c r="F3107" s="45">
        <v>666879506.694147</v>
      </c>
      <c r="G3107" s="42" t="s">
        <v>985</v>
      </c>
      <c r="H3107" s="42" t="s">
        <v>123</v>
      </c>
      <c r="I3107" s="42" t="s">
        <v>893</v>
      </c>
    </row>
    <row r="3108" spans="1:9">
      <c r="A3108" s="42" t="s">
        <v>897</v>
      </c>
      <c r="B3108" s="42" t="s">
        <v>346</v>
      </c>
      <c r="C3108" s="42" t="s">
        <v>961</v>
      </c>
      <c r="D3108" s="42" t="s">
        <v>168</v>
      </c>
      <c r="E3108" s="42" t="s">
        <v>808</v>
      </c>
      <c r="F3108" s="45">
        <v>-39919975.45462503</v>
      </c>
      <c r="G3108" s="42" t="s">
        <v>1001</v>
      </c>
      <c r="H3108" s="42" t="s">
        <v>1070</v>
      </c>
      <c r="I3108" s="42" t="s">
        <v>893</v>
      </c>
    </row>
    <row r="3109" spans="1:9">
      <c r="A3109" s="42" t="s">
        <v>897</v>
      </c>
      <c r="B3109" s="42" t="s">
        <v>313</v>
      </c>
      <c r="C3109" s="42" t="s">
        <v>994</v>
      </c>
      <c r="D3109" s="42" t="s">
        <v>169</v>
      </c>
      <c r="E3109" s="42" t="s">
        <v>808</v>
      </c>
      <c r="F3109" s="45">
        <v>679966592.5771459</v>
      </c>
      <c r="G3109" s="42" t="s">
        <v>1022</v>
      </c>
      <c r="H3109" s="42" t="s">
        <v>1071</v>
      </c>
      <c r="I3109" s="42" t="s">
        <v>893</v>
      </c>
    </row>
    <row r="3110" spans="1:9">
      <c r="A3110" s="42" t="s">
        <v>897</v>
      </c>
      <c r="B3110" s="42" t="s">
        <v>201</v>
      </c>
      <c r="C3110" s="42" t="s">
        <v>966</v>
      </c>
      <c r="D3110" s="42" t="s">
        <v>169</v>
      </c>
      <c r="E3110" s="42" t="s">
        <v>808</v>
      </c>
      <c r="F3110" s="45">
        <v>-140430930.0024268</v>
      </c>
      <c r="G3110" s="42" t="s">
        <v>1022</v>
      </c>
      <c r="H3110" s="42" t="s">
        <v>1071</v>
      </c>
      <c r="I3110" s="42" t="s">
        <v>893</v>
      </c>
    </row>
    <row r="3111" spans="1:9">
      <c r="A3111" s="42" t="s">
        <v>897</v>
      </c>
      <c r="B3111" s="42" t="s">
        <v>314</v>
      </c>
      <c r="C3111" s="42" t="s">
        <v>900</v>
      </c>
      <c r="D3111" s="42" t="s">
        <v>169</v>
      </c>
      <c r="E3111" s="42" t="s">
        <v>808</v>
      </c>
      <c r="F3111" s="45">
        <v>660692192.9502764</v>
      </c>
      <c r="G3111" s="42" t="s">
        <v>1022</v>
      </c>
      <c r="H3111" s="42" t="s">
        <v>1071</v>
      </c>
      <c r="I3111" s="42" t="s">
        <v>893</v>
      </c>
    </row>
    <row r="3112" spans="1:9">
      <c r="A3112" s="42" t="s">
        <v>897</v>
      </c>
      <c r="B3112" s="42" t="s">
        <v>315</v>
      </c>
      <c r="C3112" s="42" t="s">
        <v>901</v>
      </c>
      <c r="D3112" s="42" t="s">
        <v>169</v>
      </c>
      <c r="E3112" s="42" t="s">
        <v>808</v>
      </c>
      <c r="F3112" s="45">
        <v>11957061.53660751</v>
      </c>
      <c r="G3112" s="42" t="s">
        <v>1022</v>
      </c>
      <c r="H3112" s="42" t="s">
        <v>1071</v>
      </c>
      <c r="I3112" s="42" t="s">
        <v>893</v>
      </c>
    </row>
    <row r="3113" spans="1:9">
      <c r="A3113" s="42" t="s">
        <v>897</v>
      </c>
      <c r="B3113" s="42" t="s">
        <v>316</v>
      </c>
      <c r="C3113" s="42" t="s">
        <v>1004</v>
      </c>
      <c r="D3113" s="42" t="s">
        <v>169</v>
      </c>
      <c r="E3113" s="42" t="s">
        <v>808</v>
      </c>
      <c r="F3113" s="45">
        <v>56244660.22000757</v>
      </c>
      <c r="G3113" s="42" t="s">
        <v>1022</v>
      </c>
      <c r="H3113" s="42" t="s">
        <v>1071</v>
      </c>
      <c r="I3113" s="42" t="s">
        <v>893</v>
      </c>
    </row>
    <row r="3114" spans="1:9">
      <c r="A3114" s="42" t="s">
        <v>897</v>
      </c>
      <c r="B3114" s="42" t="s">
        <v>317</v>
      </c>
      <c r="C3114" s="42" t="s">
        <v>967</v>
      </c>
      <c r="D3114" s="42" t="s">
        <v>169</v>
      </c>
      <c r="E3114" s="42" t="s">
        <v>808</v>
      </c>
      <c r="F3114" s="45">
        <v>111191083.0369041</v>
      </c>
      <c r="G3114" s="42" t="s">
        <v>1022</v>
      </c>
      <c r="H3114" s="42" t="s">
        <v>1071</v>
      </c>
      <c r="I3114" s="42" t="s">
        <v>893</v>
      </c>
    </row>
    <row r="3115" spans="1:9">
      <c r="A3115" s="42" t="s">
        <v>897</v>
      </c>
      <c r="B3115" s="42" t="s">
        <v>318</v>
      </c>
      <c r="C3115" s="42" t="s">
        <v>904</v>
      </c>
      <c r="D3115" s="42" t="s">
        <v>169</v>
      </c>
      <c r="E3115" s="42" t="s">
        <v>808</v>
      </c>
      <c r="F3115" s="45">
        <v>287721864.4644741</v>
      </c>
      <c r="G3115" s="42" t="s">
        <v>1022</v>
      </c>
      <c r="H3115" s="42" t="s">
        <v>1071</v>
      </c>
      <c r="I3115" s="42" t="s">
        <v>893</v>
      </c>
    </row>
    <row r="3116" spans="1:9">
      <c r="A3116" s="42" t="s">
        <v>897</v>
      </c>
      <c r="B3116" s="42" t="s">
        <v>319</v>
      </c>
      <c r="C3116" s="42" t="s">
        <v>907</v>
      </c>
      <c r="D3116" s="42" t="s">
        <v>169</v>
      </c>
      <c r="E3116" s="42" t="s">
        <v>808</v>
      </c>
      <c r="F3116" s="45">
        <v>82356935.25985372</v>
      </c>
      <c r="G3116" s="42" t="s">
        <v>1022</v>
      </c>
      <c r="H3116" s="42" t="s">
        <v>1071</v>
      </c>
      <c r="I3116" s="42" t="s">
        <v>893</v>
      </c>
    </row>
    <row r="3117" spans="1:9">
      <c r="A3117" s="42" t="s">
        <v>897</v>
      </c>
      <c r="B3117" s="42" t="s">
        <v>320</v>
      </c>
      <c r="C3117" s="42" t="s">
        <v>1048</v>
      </c>
      <c r="D3117" s="42" t="s">
        <v>169</v>
      </c>
      <c r="E3117" s="42" t="s">
        <v>808</v>
      </c>
      <c r="F3117" s="45">
        <v>-146177105.7809692</v>
      </c>
      <c r="G3117" s="42" t="s">
        <v>1022</v>
      </c>
      <c r="H3117" s="42" t="s">
        <v>1071</v>
      </c>
      <c r="I3117" s="42" t="s">
        <v>893</v>
      </c>
    </row>
    <row r="3118" spans="1:9">
      <c r="A3118" s="42" t="s">
        <v>897</v>
      </c>
      <c r="B3118" s="42" t="s">
        <v>357</v>
      </c>
      <c r="C3118" s="42" t="s">
        <v>908</v>
      </c>
      <c r="D3118" s="42" t="s">
        <v>169</v>
      </c>
      <c r="E3118" s="42" t="s">
        <v>808</v>
      </c>
      <c r="F3118" s="45">
        <v>-146177105.7809692</v>
      </c>
      <c r="G3118" s="42" t="s">
        <v>1022</v>
      </c>
      <c r="H3118" s="42" t="s">
        <v>1062</v>
      </c>
      <c r="I3118" s="42" t="s">
        <v>864</v>
      </c>
    </row>
    <row r="3119" spans="1:9">
      <c r="A3119" s="42" t="s">
        <v>897</v>
      </c>
      <c r="B3119" s="42" t="s">
        <v>251</v>
      </c>
      <c r="C3119" s="42" t="s">
        <v>909</v>
      </c>
      <c r="D3119" s="42" t="s">
        <v>169</v>
      </c>
      <c r="E3119" s="42" t="s">
        <v>808</v>
      </c>
      <c r="F3119" s="45">
        <v>3422625.880928985</v>
      </c>
      <c r="G3119" s="42" t="s">
        <v>1022</v>
      </c>
      <c r="H3119" s="42" t="s">
        <v>1071</v>
      </c>
      <c r="I3119" s="42" t="s">
        <v>893</v>
      </c>
    </row>
    <row r="3120" spans="1:9">
      <c r="A3120" s="42" t="s">
        <v>897</v>
      </c>
      <c r="B3120" s="42" t="s">
        <v>293</v>
      </c>
      <c r="C3120" s="42" t="s">
        <v>912</v>
      </c>
      <c r="D3120" s="42" t="s">
        <v>169</v>
      </c>
      <c r="E3120" s="42" t="s">
        <v>808</v>
      </c>
      <c r="F3120" s="45">
        <v>-181598333.1090316</v>
      </c>
      <c r="G3120" s="42" t="s">
        <v>1022</v>
      </c>
      <c r="H3120" s="42" t="s">
        <v>1071</v>
      </c>
      <c r="I3120" s="42" t="s">
        <v>893</v>
      </c>
    </row>
    <row r="3121" spans="1:9">
      <c r="A3121" s="42" t="s">
        <v>897</v>
      </c>
      <c r="B3121" s="42" t="s">
        <v>369</v>
      </c>
      <c r="C3121" s="42" t="s">
        <v>970</v>
      </c>
      <c r="D3121" s="42" t="s">
        <v>169</v>
      </c>
      <c r="E3121" s="42" t="s">
        <v>808</v>
      </c>
      <c r="F3121" s="45">
        <v>-47415170.60907654</v>
      </c>
      <c r="G3121" s="42" t="s">
        <v>1022</v>
      </c>
      <c r="H3121" s="42" t="s">
        <v>1062</v>
      </c>
      <c r="I3121" s="42" t="s">
        <v>886</v>
      </c>
    </row>
    <row r="3122" spans="1:9">
      <c r="A3122" s="42" t="s">
        <v>897</v>
      </c>
      <c r="B3122" s="42" t="s">
        <v>292</v>
      </c>
      <c r="C3122" s="42" t="s">
        <v>913</v>
      </c>
      <c r="D3122" s="42" t="s">
        <v>169</v>
      </c>
      <c r="E3122" s="42" t="s">
        <v>808</v>
      </c>
      <c r="F3122" s="45">
        <v>-68931980.29586501</v>
      </c>
      <c r="G3122" s="42" t="s">
        <v>1022</v>
      </c>
      <c r="H3122" s="42" t="s">
        <v>1071</v>
      </c>
      <c r="I3122" s="42" t="s">
        <v>893</v>
      </c>
    </row>
    <row r="3123" spans="1:9">
      <c r="A3123" s="42" t="s">
        <v>897</v>
      </c>
      <c r="B3123" s="42" t="s">
        <v>241</v>
      </c>
      <c r="C3123" s="42" t="s">
        <v>914</v>
      </c>
      <c r="D3123" s="42" t="s">
        <v>169</v>
      </c>
      <c r="E3123" s="42" t="s">
        <v>808</v>
      </c>
      <c r="F3123" s="45">
        <v>-271257853.7613847</v>
      </c>
      <c r="G3123" s="42" t="s">
        <v>1022</v>
      </c>
      <c r="H3123" s="42" t="s">
        <v>1071</v>
      </c>
      <c r="I3123" s="42" t="s">
        <v>893</v>
      </c>
    </row>
    <row r="3124" spans="1:9">
      <c r="A3124" s="42" t="s">
        <v>897</v>
      </c>
      <c r="B3124" s="42" t="s">
        <v>310</v>
      </c>
      <c r="C3124" s="42" t="s">
        <v>915</v>
      </c>
      <c r="D3124" s="42" t="s">
        <v>169</v>
      </c>
      <c r="E3124" s="42" t="s">
        <v>808</v>
      </c>
      <c r="F3124" s="45">
        <v>312152331.959381</v>
      </c>
      <c r="G3124" s="42" t="s">
        <v>1022</v>
      </c>
      <c r="H3124" s="42" t="s">
        <v>1071</v>
      </c>
      <c r="I3124" s="42" t="s">
        <v>893</v>
      </c>
    </row>
    <row r="3125" spans="1:9">
      <c r="A3125" s="42" t="s">
        <v>897</v>
      </c>
      <c r="B3125" s="42" t="s">
        <v>305</v>
      </c>
      <c r="C3125" s="42" t="s">
        <v>916</v>
      </c>
      <c r="D3125" s="42" t="s">
        <v>169</v>
      </c>
      <c r="E3125" s="42" t="s">
        <v>808</v>
      </c>
      <c r="F3125" s="45">
        <v>27108082.13882332</v>
      </c>
      <c r="G3125" s="42" t="s">
        <v>1022</v>
      </c>
      <c r="H3125" s="42" t="s">
        <v>1071</v>
      </c>
      <c r="I3125" s="42" t="s">
        <v>893</v>
      </c>
    </row>
    <row r="3126" spans="1:9">
      <c r="A3126" s="42" t="s">
        <v>897</v>
      </c>
      <c r="B3126" s="42" t="s">
        <v>306</v>
      </c>
      <c r="C3126" s="42" t="s">
        <v>917</v>
      </c>
      <c r="D3126" s="42" t="s">
        <v>169</v>
      </c>
      <c r="E3126" s="42" t="s">
        <v>808</v>
      </c>
      <c r="F3126" s="45">
        <v>32138752.07587842</v>
      </c>
      <c r="G3126" s="42" t="s">
        <v>1022</v>
      </c>
      <c r="H3126" s="42" t="s">
        <v>1071</v>
      </c>
      <c r="I3126" s="42" t="s">
        <v>893</v>
      </c>
    </row>
    <row r="3127" spans="1:9">
      <c r="A3127" s="42" t="s">
        <v>897</v>
      </c>
      <c r="B3127" s="42" t="s">
        <v>309</v>
      </c>
      <c r="C3127" s="42" t="s">
        <v>918</v>
      </c>
      <c r="D3127" s="42" t="s">
        <v>169</v>
      </c>
      <c r="E3127" s="42" t="s">
        <v>808</v>
      </c>
      <c r="F3127" s="45">
        <v>-2397313.386426552</v>
      </c>
      <c r="G3127" s="42" t="s">
        <v>1022</v>
      </c>
      <c r="H3127" s="42" t="s">
        <v>1071</v>
      </c>
      <c r="I3127" s="42" t="s">
        <v>893</v>
      </c>
    </row>
    <row r="3128" spans="1:9">
      <c r="A3128" s="42" t="s">
        <v>897</v>
      </c>
      <c r="B3128" s="42" t="s">
        <v>242</v>
      </c>
      <c r="C3128" s="42" t="s">
        <v>920</v>
      </c>
      <c r="D3128" s="42" t="s">
        <v>169</v>
      </c>
      <c r="E3128" s="42" t="s">
        <v>808</v>
      </c>
      <c r="F3128" s="45">
        <v>14140460.805476</v>
      </c>
      <c r="G3128" s="42" t="s">
        <v>1022</v>
      </c>
      <c r="H3128" s="42" t="s">
        <v>1071</v>
      </c>
      <c r="I3128" s="42" t="s">
        <v>893</v>
      </c>
    </row>
    <row r="3129" spans="1:9">
      <c r="A3129" s="42" t="s">
        <v>897</v>
      </c>
      <c r="B3129" s="42" t="s">
        <v>302</v>
      </c>
      <c r="C3129" s="42" t="s">
        <v>921</v>
      </c>
      <c r="D3129" s="42" t="s">
        <v>169</v>
      </c>
      <c r="E3129" s="42" t="s">
        <v>808</v>
      </c>
      <c r="F3129" s="45">
        <v>61098297.78391117</v>
      </c>
      <c r="G3129" s="42" t="s">
        <v>1022</v>
      </c>
      <c r="H3129" s="42" t="s">
        <v>1071</v>
      </c>
      <c r="I3129" s="42" t="s">
        <v>893</v>
      </c>
    </row>
    <row r="3130" spans="1:9">
      <c r="A3130" s="42" t="s">
        <v>897</v>
      </c>
      <c r="B3130" s="42" t="s">
        <v>326</v>
      </c>
      <c r="C3130" s="42" t="s">
        <v>922</v>
      </c>
      <c r="D3130" s="42" t="s">
        <v>169</v>
      </c>
      <c r="E3130" s="42" t="s">
        <v>808</v>
      </c>
      <c r="F3130" s="45">
        <v>1888345.313615992</v>
      </c>
      <c r="G3130" s="42" t="s">
        <v>1022</v>
      </c>
      <c r="H3130" s="42" t="s">
        <v>1071</v>
      </c>
      <c r="I3130" s="42" t="s">
        <v>893</v>
      </c>
    </row>
    <row r="3131" spans="1:9">
      <c r="A3131" s="42" t="s">
        <v>897</v>
      </c>
      <c r="B3131" s="42" t="s">
        <v>327</v>
      </c>
      <c r="C3131" s="42" t="s">
        <v>1009</v>
      </c>
      <c r="D3131" s="42" t="s">
        <v>169</v>
      </c>
      <c r="E3131" s="42" t="s">
        <v>808</v>
      </c>
      <c r="F3131" s="45">
        <v>0</v>
      </c>
      <c r="G3131" s="42" t="s">
        <v>1022</v>
      </c>
      <c r="H3131" s="42" t="s">
        <v>1071</v>
      </c>
      <c r="I3131" s="42" t="s">
        <v>893</v>
      </c>
    </row>
    <row r="3132" spans="1:9">
      <c r="A3132" s="42" t="s">
        <v>897</v>
      </c>
      <c r="B3132" s="42" t="s">
        <v>328</v>
      </c>
      <c r="C3132" s="42" t="s">
        <v>924</v>
      </c>
      <c r="D3132" s="42" t="s">
        <v>169</v>
      </c>
      <c r="E3132" s="42" t="s">
        <v>808</v>
      </c>
      <c r="F3132" s="45">
        <v>-1866216.266972054</v>
      </c>
      <c r="G3132" s="42" t="s">
        <v>1022</v>
      </c>
      <c r="H3132" s="42" t="s">
        <v>1071</v>
      </c>
      <c r="I3132" s="42" t="s">
        <v>893</v>
      </c>
    </row>
    <row r="3133" spans="1:9">
      <c r="A3133" s="42" t="s">
        <v>897</v>
      </c>
      <c r="B3133" s="42" t="s">
        <v>329</v>
      </c>
      <c r="C3133" s="42" t="s">
        <v>925</v>
      </c>
      <c r="D3133" s="42" t="s">
        <v>169</v>
      </c>
      <c r="E3133" s="42" t="s">
        <v>808</v>
      </c>
      <c r="F3133" s="45">
        <v>1586069912.808688</v>
      </c>
      <c r="G3133" s="42" t="s">
        <v>1022</v>
      </c>
      <c r="H3133" s="42" t="s">
        <v>1071</v>
      </c>
      <c r="I3133" s="42" t="s">
        <v>893</v>
      </c>
    </row>
    <row r="3134" spans="1:9">
      <c r="A3134" s="42" t="s">
        <v>897</v>
      </c>
      <c r="B3134" s="42" t="s">
        <v>372</v>
      </c>
      <c r="C3134" s="42" t="s">
        <v>926</v>
      </c>
      <c r="D3134" s="42" t="s">
        <v>169</v>
      </c>
      <c r="E3134" s="42" t="s">
        <v>808</v>
      </c>
      <c r="F3134" s="45">
        <v>168239765.2849748</v>
      </c>
      <c r="G3134" s="42" t="s">
        <v>1022</v>
      </c>
      <c r="H3134" s="42" t="s">
        <v>1071</v>
      </c>
      <c r="I3134" s="42" t="s">
        <v>896</v>
      </c>
    </row>
    <row r="3135" spans="1:9">
      <c r="A3135" s="42" t="s">
        <v>897</v>
      </c>
      <c r="B3135" s="42" t="s">
        <v>373</v>
      </c>
      <c r="C3135" s="42" t="s">
        <v>1032</v>
      </c>
      <c r="D3135" s="42" t="s">
        <v>169</v>
      </c>
      <c r="E3135" s="42" t="s">
        <v>808</v>
      </c>
      <c r="F3135" s="45">
        <v>-139818693.0452778</v>
      </c>
      <c r="G3135" s="42" t="s">
        <v>1022</v>
      </c>
      <c r="H3135" s="42" t="s">
        <v>1071</v>
      </c>
      <c r="I3135" s="42" t="s">
        <v>896</v>
      </c>
    </row>
    <row r="3136" spans="1:9">
      <c r="A3136" s="42" t="s">
        <v>897</v>
      </c>
      <c r="B3136" s="42" t="s">
        <v>374</v>
      </c>
      <c r="C3136" s="42" t="s">
        <v>1060</v>
      </c>
      <c r="D3136" s="42" t="s">
        <v>169</v>
      </c>
      <c r="E3136" s="42" t="s">
        <v>808</v>
      </c>
      <c r="F3136" s="45">
        <v>-139818693.0452778</v>
      </c>
      <c r="G3136" s="42" t="s">
        <v>1022</v>
      </c>
      <c r="H3136" s="42" t="s">
        <v>1062</v>
      </c>
      <c r="I3136" s="42" t="s">
        <v>864</v>
      </c>
    </row>
    <row r="3137" spans="1:9">
      <c r="A3137" s="42" t="s">
        <v>897</v>
      </c>
      <c r="B3137" s="42" t="s">
        <v>375</v>
      </c>
      <c r="C3137" s="42" t="s">
        <v>1033</v>
      </c>
      <c r="D3137" s="42" t="s">
        <v>169</v>
      </c>
      <c r="E3137" s="42" t="s">
        <v>808</v>
      </c>
      <c r="F3137" s="45">
        <v>2463700.526358364</v>
      </c>
      <c r="G3137" s="42" t="s">
        <v>1022</v>
      </c>
      <c r="H3137" s="42" t="s">
        <v>1071</v>
      </c>
      <c r="I3137" s="42" t="s">
        <v>891</v>
      </c>
    </row>
    <row r="3138" spans="1:9">
      <c r="A3138" s="42" t="s">
        <v>897</v>
      </c>
      <c r="B3138" s="42" t="s">
        <v>330</v>
      </c>
      <c r="C3138" s="42" t="s">
        <v>927</v>
      </c>
      <c r="D3138" s="42" t="s">
        <v>169</v>
      </c>
      <c r="E3138" s="42" t="s">
        <v>808</v>
      </c>
      <c r="F3138" s="45">
        <v>-1050178166.581337</v>
      </c>
      <c r="G3138" s="42" t="s">
        <v>1022</v>
      </c>
      <c r="H3138" s="42" t="s">
        <v>1071</v>
      </c>
      <c r="I3138" s="42" t="s">
        <v>893</v>
      </c>
    </row>
    <row r="3139" spans="1:9">
      <c r="A3139" s="42" t="s">
        <v>897</v>
      </c>
      <c r="B3139" s="42" t="s">
        <v>379</v>
      </c>
      <c r="C3139" s="42" t="s">
        <v>1063</v>
      </c>
      <c r="D3139" s="42" t="s">
        <v>169</v>
      </c>
      <c r="E3139" s="42" t="s">
        <v>808</v>
      </c>
      <c r="F3139" s="45">
        <v>2463700.526358364</v>
      </c>
      <c r="G3139" s="42" t="s">
        <v>1022</v>
      </c>
      <c r="H3139" s="42" t="s">
        <v>1062</v>
      </c>
      <c r="I3139" s="42" t="s">
        <v>864</v>
      </c>
    </row>
    <row r="3140" spans="1:9">
      <c r="A3140" s="42" t="s">
        <v>897</v>
      </c>
      <c r="B3140" s="42" t="s">
        <v>334</v>
      </c>
      <c r="C3140" s="42" t="s">
        <v>933</v>
      </c>
      <c r="D3140" s="42" t="s">
        <v>169</v>
      </c>
      <c r="E3140" s="42" t="s">
        <v>808</v>
      </c>
      <c r="F3140" s="45">
        <v>28907911.26586356</v>
      </c>
      <c r="G3140" s="42" t="s">
        <v>1022</v>
      </c>
      <c r="H3140" s="42" t="s">
        <v>1071</v>
      </c>
      <c r="I3140" s="42" t="s">
        <v>893</v>
      </c>
    </row>
    <row r="3141" spans="1:9">
      <c r="A3141" s="42" t="s">
        <v>897</v>
      </c>
      <c r="B3141" s="42" t="s">
        <v>336</v>
      </c>
      <c r="C3141" s="42" t="s">
        <v>938</v>
      </c>
      <c r="D3141" s="42" t="s">
        <v>169</v>
      </c>
      <c r="E3141" s="42" t="s">
        <v>808</v>
      </c>
      <c r="F3141" s="45">
        <v>-990680536.5046711</v>
      </c>
      <c r="G3141" s="42" t="s">
        <v>1022</v>
      </c>
      <c r="H3141" s="42" t="s">
        <v>1071</v>
      </c>
      <c r="I3141" s="42" t="s">
        <v>893</v>
      </c>
    </row>
    <row r="3142" spans="1:9">
      <c r="A3142" s="42" t="s">
        <v>897</v>
      </c>
      <c r="B3142" s="42" t="s">
        <v>337</v>
      </c>
      <c r="C3142" s="42" t="s">
        <v>991</v>
      </c>
      <c r="D3142" s="42" t="s">
        <v>169</v>
      </c>
      <c r="E3142" s="42" t="s">
        <v>808</v>
      </c>
      <c r="F3142" s="45">
        <v>-66291247.39635514</v>
      </c>
      <c r="G3142" s="42" t="s">
        <v>1022</v>
      </c>
      <c r="H3142" s="42" t="s">
        <v>1071</v>
      </c>
      <c r="I3142" s="42" t="s">
        <v>893</v>
      </c>
    </row>
    <row r="3143" spans="1:9">
      <c r="A3143" s="42" t="s">
        <v>897</v>
      </c>
      <c r="B3143" s="42" t="s">
        <v>338</v>
      </c>
      <c r="C3143" s="42" t="s">
        <v>972</v>
      </c>
      <c r="D3143" s="42" t="s">
        <v>169</v>
      </c>
      <c r="E3143" s="42" t="s">
        <v>808</v>
      </c>
      <c r="F3143" s="45">
        <v>-182726914.4878725</v>
      </c>
      <c r="G3143" s="42" t="s">
        <v>1022</v>
      </c>
      <c r="H3143" s="42" t="s">
        <v>1071</v>
      </c>
      <c r="I3143" s="42" t="s">
        <v>893</v>
      </c>
    </row>
    <row r="3144" spans="1:9">
      <c r="A3144" s="42" t="s">
        <v>897</v>
      </c>
      <c r="B3144" s="42" t="s">
        <v>939</v>
      </c>
      <c r="C3144" s="42" t="s">
        <v>973</v>
      </c>
      <c r="D3144" s="42" t="s">
        <v>169</v>
      </c>
      <c r="E3144" s="42" t="s">
        <v>808</v>
      </c>
      <c r="F3144" s="45">
        <v>46618524.9298948</v>
      </c>
      <c r="G3144" s="42" t="s">
        <v>1022</v>
      </c>
      <c r="H3144" s="42" t="s">
        <v>1071</v>
      </c>
      <c r="I3144" s="42" t="s">
        <v>893</v>
      </c>
    </row>
    <row r="3145" spans="1:9">
      <c r="A3145" s="42" t="s">
        <v>897</v>
      </c>
      <c r="B3145" s="42" t="s">
        <v>340</v>
      </c>
      <c r="C3145" s="42" t="s">
        <v>1034</v>
      </c>
      <c r="D3145" s="42" t="s">
        <v>169</v>
      </c>
      <c r="E3145" s="42" t="s">
        <v>808</v>
      </c>
      <c r="F3145" s="45">
        <v>-46707041.11647055</v>
      </c>
      <c r="G3145" s="42" t="s">
        <v>1022</v>
      </c>
      <c r="H3145" s="42" t="s">
        <v>1071</v>
      </c>
      <c r="I3145" s="42" t="s">
        <v>893</v>
      </c>
    </row>
    <row r="3146" spans="1:9">
      <c r="A3146" s="42" t="s">
        <v>897</v>
      </c>
      <c r="B3146" s="42" t="s">
        <v>342</v>
      </c>
      <c r="C3146" s="42" t="s">
        <v>1014</v>
      </c>
      <c r="D3146" s="42" t="s">
        <v>169</v>
      </c>
      <c r="E3146" s="42" t="s">
        <v>808</v>
      </c>
      <c r="F3146" s="45">
        <v>-92831350.67131741</v>
      </c>
      <c r="G3146" s="42" t="s">
        <v>1022</v>
      </c>
      <c r="H3146" s="42" t="s">
        <v>1071</v>
      </c>
      <c r="I3146" s="42" t="s">
        <v>893</v>
      </c>
    </row>
    <row r="3147" spans="1:9">
      <c r="A3147" s="42" t="s">
        <v>897</v>
      </c>
      <c r="B3147" s="42" t="s">
        <v>392</v>
      </c>
      <c r="C3147" s="42" t="s">
        <v>1015</v>
      </c>
      <c r="D3147" s="42" t="s">
        <v>169</v>
      </c>
      <c r="E3147" s="42" t="s">
        <v>808</v>
      </c>
      <c r="F3147" s="45">
        <v>45054738.96705656</v>
      </c>
      <c r="G3147" s="42" t="s">
        <v>1022</v>
      </c>
      <c r="H3147" s="42" t="s">
        <v>1062</v>
      </c>
      <c r="I3147" s="42" t="s">
        <v>864</v>
      </c>
    </row>
    <row r="3148" spans="1:9">
      <c r="A3148" s="42" t="s">
        <v>897</v>
      </c>
      <c r="B3148" s="42" t="s">
        <v>343</v>
      </c>
      <c r="C3148" s="42" t="s">
        <v>1016</v>
      </c>
      <c r="D3148" s="42" t="s">
        <v>169</v>
      </c>
      <c r="E3148" s="42" t="s">
        <v>808</v>
      </c>
      <c r="F3148" s="45">
        <v>-2426818.781951802</v>
      </c>
      <c r="G3148" s="42" t="s">
        <v>1022</v>
      </c>
      <c r="H3148" s="42" t="s">
        <v>1071</v>
      </c>
      <c r="I3148" s="42" t="s">
        <v>893</v>
      </c>
    </row>
    <row r="3149" spans="1:9">
      <c r="A3149" s="42" t="s">
        <v>897</v>
      </c>
      <c r="B3149" s="42" t="s">
        <v>344</v>
      </c>
      <c r="C3149" s="42" t="s">
        <v>980</v>
      </c>
      <c r="D3149" s="42" t="s">
        <v>169</v>
      </c>
      <c r="E3149" s="42" t="s">
        <v>808</v>
      </c>
      <c r="F3149" s="45">
        <v>-350612615.0265442</v>
      </c>
      <c r="G3149" s="42" t="s">
        <v>1022</v>
      </c>
      <c r="H3149" s="42" t="s">
        <v>1071</v>
      </c>
      <c r="I3149" s="42" t="s">
        <v>893</v>
      </c>
    </row>
    <row r="3150" spans="1:9">
      <c r="A3150" s="42" t="s">
        <v>897</v>
      </c>
      <c r="B3150" s="42" t="s">
        <v>345</v>
      </c>
      <c r="C3150" s="42" t="s">
        <v>1035</v>
      </c>
      <c r="D3150" s="42" t="s">
        <v>169</v>
      </c>
      <c r="E3150" s="42" t="s">
        <v>808</v>
      </c>
      <c r="F3150" s="45">
        <v>45054738.96705656</v>
      </c>
      <c r="G3150" s="42" t="s">
        <v>1022</v>
      </c>
      <c r="H3150" s="42" t="s">
        <v>1071</v>
      </c>
      <c r="I3150" s="42" t="s">
        <v>893</v>
      </c>
    </row>
    <row r="3151" spans="1:9">
      <c r="A3151" s="42" t="s">
        <v>897</v>
      </c>
      <c r="B3151" s="42" t="s">
        <v>346</v>
      </c>
      <c r="C3151" s="42" t="s">
        <v>956</v>
      </c>
      <c r="D3151" s="42" t="s">
        <v>169</v>
      </c>
      <c r="E3151" s="42" t="s">
        <v>808</v>
      </c>
      <c r="F3151" s="45">
        <v>289831500.2445295</v>
      </c>
      <c r="G3151" s="42" t="s">
        <v>1022</v>
      </c>
      <c r="H3151" s="42" t="s">
        <v>1071</v>
      </c>
      <c r="I3151" s="42" t="s">
        <v>893</v>
      </c>
    </row>
    <row r="3152" spans="1:9">
      <c r="A3152" s="42" t="s">
        <v>897</v>
      </c>
      <c r="B3152" s="42" t="s">
        <v>347</v>
      </c>
      <c r="C3152" s="42" t="s">
        <v>981</v>
      </c>
      <c r="D3152" s="42" t="s">
        <v>169</v>
      </c>
      <c r="E3152" s="42" t="s">
        <v>808</v>
      </c>
      <c r="F3152" s="45">
        <v>666879506.694147</v>
      </c>
      <c r="G3152" s="42" t="s">
        <v>1039</v>
      </c>
      <c r="H3152" s="42" t="s">
        <v>123</v>
      </c>
      <c r="I3152" s="42" t="s">
        <v>893</v>
      </c>
    </row>
    <row r="3153" spans="1:9">
      <c r="A3153" s="42" t="s">
        <v>897</v>
      </c>
      <c r="B3153" s="42" t="s">
        <v>348</v>
      </c>
      <c r="C3153" s="42" t="s">
        <v>982</v>
      </c>
      <c r="D3153" s="42" t="s">
        <v>169</v>
      </c>
      <c r="E3153" s="42" t="s">
        <v>808</v>
      </c>
      <c r="F3153" s="45">
        <v>835009040.0422103</v>
      </c>
      <c r="G3153" s="42" t="s">
        <v>985</v>
      </c>
      <c r="H3153" s="42" t="s">
        <v>125</v>
      </c>
      <c r="I3153" s="42" t="s">
        <v>893</v>
      </c>
    </row>
    <row r="3154" spans="1:9">
      <c r="A3154" s="42" t="s">
        <v>897</v>
      </c>
      <c r="B3154" s="42" t="s">
        <v>346</v>
      </c>
      <c r="C3154" s="42" t="s">
        <v>961</v>
      </c>
      <c r="D3154" s="42" t="s">
        <v>169</v>
      </c>
      <c r="E3154" s="42" t="s">
        <v>808</v>
      </c>
      <c r="F3154" s="45">
        <v>289831500.2445295</v>
      </c>
      <c r="G3154" s="42" t="s">
        <v>1022</v>
      </c>
      <c r="H3154" s="42" t="s">
        <v>1071</v>
      </c>
      <c r="I3154" s="42" t="s">
        <v>893</v>
      </c>
    </row>
    <row r="3155" spans="1:9">
      <c r="A3155" s="42" t="s">
        <v>897</v>
      </c>
      <c r="B3155" s="42" t="s">
        <v>313</v>
      </c>
      <c r="C3155" s="42" t="s">
        <v>994</v>
      </c>
      <c r="D3155" s="42" t="s">
        <v>170</v>
      </c>
      <c r="E3155" s="42" t="s">
        <v>808</v>
      </c>
      <c r="F3155" s="45">
        <v>478964858.0632891</v>
      </c>
      <c r="G3155" s="42" t="s">
        <v>1025</v>
      </c>
      <c r="H3155" s="42" t="s">
        <v>1072</v>
      </c>
      <c r="I3155" s="42" t="s">
        <v>893</v>
      </c>
    </row>
    <row r="3156" spans="1:9">
      <c r="A3156" s="42" t="s">
        <v>897</v>
      </c>
      <c r="B3156" s="42" t="s">
        <v>201</v>
      </c>
      <c r="C3156" s="42" t="s">
        <v>966</v>
      </c>
      <c r="D3156" s="42" t="s">
        <v>170</v>
      </c>
      <c r="E3156" s="42" t="s">
        <v>808</v>
      </c>
      <c r="F3156" s="45">
        <v>-70052977.23020452</v>
      </c>
      <c r="G3156" s="42" t="s">
        <v>1025</v>
      </c>
      <c r="H3156" s="42" t="s">
        <v>1072</v>
      </c>
      <c r="I3156" s="42" t="s">
        <v>893</v>
      </c>
    </row>
    <row r="3157" spans="1:9">
      <c r="A3157" s="42" t="s">
        <v>897</v>
      </c>
      <c r="B3157" s="42" t="s">
        <v>314</v>
      </c>
      <c r="C3157" s="42" t="s">
        <v>900</v>
      </c>
      <c r="D3157" s="42" t="s">
        <v>170</v>
      </c>
      <c r="E3157" s="42" t="s">
        <v>808</v>
      </c>
      <c r="F3157" s="45">
        <v>685599538.6527179</v>
      </c>
      <c r="G3157" s="42" t="s">
        <v>1025</v>
      </c>
      <c r="H3157" s="42" t="s">
        <v>1072</v>
      </c>
      <c r="I3157" s="42" t="s">
        <v>893</v>
      </c>
    </row>
    <row r="3158" spans="1:9">
      <c r="A3158" s="42" t="s">
        <v>897</v>
      </c>
      <c r="B3158" s="42" t="s">
        <v>315</v>
      </c>
      <c r="C3158" s="42" t="s">
        <v>901</v>
      </c>
      <c r="D3158" s="42" t="s">
        <v>170</v>
      </c>
      <c r="E3158" s="42" t="s">
        <v>808</v>
      </c>
      <c r="F3158" s="45">
        <v>12078738.01229165</v>
      </c>
      <c r="G3158" s="42" t="s">
        <v>1025</v>
      </c>
      <c r="H3158" s="42" t="s">
        <v>1072</v>
      </c>
      <c r="I3158" s="42" t="s">
        <v>893</v>
      </c>
    </row>
    <row r="3159" spans="1:9">
      <c r="A3159" s="42" t="s">
        <v>897</v>
      </c>
      <c r="B3159" s="42" t="s">
        <v>316</v>
      </c>
      <c r="C3159" s="42" t="s">
        <v>1004</v>
      </c>
      <c r="D3159" s="42" t="s">
        <v>170</v>
      </c>
      <c r="E3159" s="42" t="s">
        <v>808</v>
      </c>
      <c r="F3159" s="45">
        <v>57955723.01247757</v>
      </c>
      <c r="G3159" s="42" t="s">
        <v>1025</v>
      </c>
      <c r="H3159" s="42" t="s">
        <v>1072</v>
      </c>
      <c r="I3159" s="42" t="s">
        <v>893</v>
      </c>
    </row>
    <row r="3160" spans="1:9">
      <c r="A3160" s="42" t="s">
        <v>897</v>
      </c>
      <c r="B3160" s="42" t="s">
        <v>317</v>
      </c>
      <c r="C3160" s="42" t="s">
        <v>967</v>
      </c>
      <c r="D3160" s="42" t="s">
        <v>170</v>
      </c>
      <c r="E3160" s="42" t="s">
        <v>808</v>
      </c>
      <c r="F3160" s="45">
        <v>75200482.34121691</v>
      </c>
      <c r="G3160" s="42" t="s">
        <v>1025</v>
      </c>
      <c r="H3160" s="42" t="s">
        <v>1072</v>
      </c>
      <c r="I3160" s="42" t="s">
        <v>893</v>
      </c>
    </row>
    <row r="3161" spans="1:9">
      <c r="A3161" s="42" t="s">
        <v>897</v>
      </c>
      <c r="B3161" s="42" t="s">
        <v>318</v>
      </c>
      <c r="C3161" s="42" t="s">
        <v>904</v>
      </c>
      <c r="D3161" s="42" t="s">
        <v>170</v>
      </c>
      <c r="E3161" s="42" t="s">
        <v>808</v>
      </c>
      <c r="F3161" s="45">
        <v>164726335.6208748</v>
      </c>
      <c r="G3161" s="42" t="s">
        <v>1025</v>
      </c>
      <c r="H3161" s="42" t="s">
        <v>1072</v>
      </c>
      <c r="I3161" s="42" t="s">
        <v>893</v>
      </c>
    </row>
    <row r="3162" spans="1:9">
      <c r="A3162" s="42" t="s">
        <v>897</v>
      </c>
      <c r="B3162" s="42" t="s">
        <v>319</v>
      </c>
      <c r="C3162" s="42" t="s">
        <v>907</v>
      </c>
      <c r="D3162" s="42" t="s">
        <v>170</v>
      </c>
      <c r="E3162" s="42" t="s">
        <v>808</v>
      </c>
      <c r="F3162" s="45">
        <v>-134001778.7352397</v>
      </c>
      <c r="G3162" s="42" t="s">
        <v>1025</v>
      </c>
      <c r="H3162" s="42" t="s">
        <v>1072</v>
      </c>
      <c r="I3162" s="42" t="s">
        <v>893</v>
      </c>
    </row>
    <row r="3163" spans="1:9">
      <c r="A3163" s="42" t="s">
        <v>897</v>
      </c>
      <c r="B3163" s="42" t="s">
        <v>198</v>
      </c>
      <c r="C3163" s="42" t="s">
        <v>1066</v>
      </c>
      <c r="D3163" s="42" t="s">
        <v>170</v>
      </c>
      <c r="E3163" s="42" t="s">
        <v>808</v>
      </c>
      <c r="F3163" s="45">
        <v>26657163.75834831</v>
      </c>
      <c r="G3163" s="42" t="s">
        <v>1025</v>
      </c>
      <c r="H3163" s="42" t="s">
        <v>1073</v>
      </c>
      <c r="I3163" s="42" t="s">
        <v>893</v>
      </c>
    </row>
    <row r="3164" spans="1:9">
      <c r="A3164" s="42" t="s">
        <v>897</v>
      </c>
      <c r="B3164" s="42" t="s">
        <v>320</v>
      </c>
      <c r="C3164" s="42" t="s">
        <v>1048</v>
      </c>
      <c r="D3164" s="42" t="s">
        <v>170</v>
      </c>
      <c r="E3164" s="42" t="s">
        <v>808</v>
      </c>
      <c r="F3164" s="45">
        <v>-110535574.3802408</v>
      </c>
      <c r="G3164" s="42" t="s">
        <v>1025</v>
      </c>
      <c r="H3164" s="42" t="s">
        <v>1072</v>
      </c>
      <c r="I3164" s="42" t="s">
        <v>893</v>
      </c>
    </row>
    <row r="3165" spans="1:9">
      <c r="A3165" s="42" t="s">
        <v>897</v>
      </c>
      <c r="B3165" s="42" t="s">
        <v>251</v>
      </c>
      <c r="C3165" s="42" t="s">
        <v>909</v>
      </c>
      <c r="D3165" s="42" t="s">
        <v>170</v>
      </c>
      <c r="E3165" s="42" t="s">
        <v>808</v>
      </c>
      <c r="F3165" s="45">
        <v>2925560.458776823</v>
      </c>
      <c r="G3165" s="42" t="s">
        <v>1025</v>
      </c>
      <c r="H3165" s="42" t="s">
        <v>1072</v>
      </c>
      <c r="I3165" s="42" t="s">
        <v>893</v>
      </c>
    </row>
    <row r="3166" spans="1:9">
      <c r="A3166" s="42" t="s">
        <v>897</v>
      </c>
      <c r="B3166" s="42" t="s">
        <v>293</v>
      </c>
      <c r="C3166" s="42" t="s">
        <v>912</v>
      </c>
      <c r="D3166" s="42" t="s">
        <v>170</v>
      </c>
      <c r="E3166" s="42" t="s">
        <v>808</v>
      </c>
      <c r="F3166" s="45">
        <v>71225670.24110663</v>
      </c>
      <c r="G3166" s="42" t="s">
        <v>1025</v>
      </c>
      <c r="H3166" s="42" t="s">
        <v>1072</v>
      </c>
      <c r="I3166" s="42" t="s">
        <v>893</v>
      </c>
    </row>
    <row r="3167" spans="1:9">
      <c r="A3167" s="42" t="s">
        <v>897</v>
      </c>
      <c r="B3167" s="42" t="s">
        <v>369</v>
      </c>
      <c r="C3167" s="42" t="s">
        <v>970</v>
      </c>
      <c r="D3167" s="42" t="s">
        <v>170</v>
      </c>
      <c r="E3167" s="42" t="s">
        <v>808</v>
      </c>
      <c r="F3167" s="45">
        <v>-57171870.3157167</v>
      </c>
      <c r="G3167" s="42" t="s">
        <v>1025</v>
      </c>
      <c r="H3167" s="42" t="s">
        <v>1065</v>
      </c>
      <c r="I3167" s="42" t="s">
        <v>886</v>
      </c>
    </row>
    <row r="3168" spans="1:9">
      <c r="A3168" s="42" t="s">
        <v>897</v>
      </c>
      <c r="B3168" s="42" t="s">
        <v>292</v>
      </c>
      <c r="C3168" s="42" t="s">
        <v>913</v>
      </c>
      <c r="D3168" s="42" t="s">
        <v>170</v>
      </c>
      <c r="E3168" s="42" t="s">
        <v>808</v>
      </c>
      <c r="F3168" s="45">
        <v>944326.4772001137</v>
      </c>
      <c r="G3168" s="42" t="s">
        <v>1025</v>
      </c>
      <c r="H3168" s="42" t="s">
        <v>1072</v>
      </c>
      <c r="I3168" s="42" t="s">
        <v>893</v>
      </c>
    </row>
    <row r="3169" spans="1:9">
      <c r="A3169" s="42" t="s">
        <v>897</v>
      </c>
      <c r="B3169" s="42" t="s">
        <v>241</v>
      </c>
      <c r="C3169" s="42" t="s">
        <v>914</v>
      </c>
      <c r="D3169" s="42" t="s">
        <v>170</v>
      </c>
      <c r="E3169" s="42" t="s">
        <v>808</v>
      </c>
      <c r="F3169" s="45">
        <v>257751751.7278036</v>
      </c>
      <c r="G3169" s="42" t="s">
        <v>1025</v>
      </c>
      <c r="H3169" s="42" t="s">
        <v>1072</v>
      </c>
      <c r="I3169" s="42" t="s">
        <v>893</v>
      </c>
    </row>
    <row r="3170" spans="1:9">
      <c r="A3170" s="42" t="s">
        <v>897</v>
      </c>
      <c r="B3170" s="42" t="s">
        <v>310</v>
      </c>
      <c r="C3170" s="42" t="s">
        <v>915</v>
      </c>
      <c r="D3170" s="42" t="s">
        <v>170</v>
      </c>
      <c r="E3170" s="42" t="s">
        <v>808</v>
      </c>
      <c r="F3170" s="45">
        <v>220484802.2550305</v>
      </c>
      <c r="G3170" s="42" t="s">
        <v>1025</v>
      </c>
      <c r="H3170" s="42" t="s">
        <v>1072</v>
      </c>
      <c r="I3170" s="42" t="s">
        <v>893</v>
      </c>
    </row>
    <row r="3171" spans="1:9">
      <c r="A3171" s="42" t="s">
        <v>897</v>
      </c>
      <c r="B3171" s="42" t="s">
        <v>305</v>
      </c>
      <c r="C3171" s="42" t="s">
        <v>916</v>
      </c>
      <c r="D3171" s="42" t="s">
        <v>170</v>
      </c>
      <c r="E3171" s="42" t="s">
        <v>808</v>
      </c>
      <c r="F3171" s="45">
        <v>-56091758.33199108</v>
      </c>
      <c r="G3171" s="42" t="s">
        <v>1025</v>
      </c>
      <c r="H3171" s="42" t="s">
        <v>1072</v>
      </c>
      <c r="I3171" s="42" t="s">
        <v>893</v>
      </c>
    </row>
    <row r="3172" spans="1:9">
      <c r="A3172" s="42" t="s">
        <v>897</v>
      </c>
      <c r="B3172" s="42" t="s">
        <v>306</v>
      </c>
      <c r="C3172" s="42" t="s">
        <v>917</v>
      </c>
      <c r="D3172" s="42" t="s">
        <v>170</v>
      </c>
      <c r="E3172" s="42" t="s">
        <v>808</v>
      </c>
      <c r="F3172" s="45">
        <v>71250358.51502036</v>
      </c>
      <c r="G3172" s="42" t="s">
        <v>1025</v>
      </c>
      <c r="H3172" s="42" t="s">
        <v>1072</v>
      </c>
      <c r="I3172" s="42" t="s">
        <v>893</v>
      </c>
    </row>
    <row r="3173" spans="1:9">
      <c r="A3173" s="42" t="s">
        <v>897</v>
      </c>
      <c r="B3173" s="42" t="s">
        <v>309</v>
      </c>
      <c r="C3173" s="42" t="s">
        <v>918</v>
      </c>
      <c r="D3173" s="42" t="s">
        <v>170</v>
      </c>
      <c r="E3173" s="42" t="s">
        <v>808</v>
      </c>
      <c r="F3173" s="45">
        <v>14387091.62322526</v>
      </c>
      <c r="G3173" s="42" t="s">
        <v>1025</v>
      </c>
      <c r="H3173" s="42" t="s">
        <v>1072</v>
      </c>
      <c r="I3173" s="42" t="s">
        <v>893</v>
      </c>
    </row>
    <row r="3174" spans="1:9">
      <c r="A3174" s="42" t="s">
        <v>897</v>
      </c>
      <c r="B3174" s="42" t="s">
        <v>325</v>
      </c>
      <c r="C3174" s="42" t="s">
        <v>919</v>
      </c>
      <c r="D3174" s="42" t="s">
        <v>170</v>
      </c>
      <c r="E3174" s="42" t="s">
        <v>808</v>
      </c>
      <c r="F3174" s="45">
        <v>-57171870.3157167</v>
      </c>
      <c r="G3174" s="42" t="s">
        <v>1025</v>
      </c>
      <c r="H3174" s="42" t="s">
        <v>1072</v>
      </c>
      <c r="I3174" s="42" t="s">
        <v>893</v>
      </c>
    </row>
    <row r="3175" spans="1:9">
      <c r="A3175" s="42" t="s">
        <v>897</v>
      </c>
      <c r="B3175" s="42" t="s">
        <v>242</v>
      </c>
      <c r="C3175" s="42" t="s">
        <v>920</v>
      </c>
      <c r="D3175" s="42" t="s">
        <v>170</v>
      </c>
      <c r="E3175" s="42" t="s">
        <v>808</v>
      </c>
      <c r="F3175" s="45">
        <v>1623254.009827647</v>
      </c>
      <c r="G3175" s="42" t="s">
        <v>1025</v>
      </c>
      <c r="H3175" s="42" t="s">
        <v>1072</v>
      </c>
      <c r="I3175" s="42" t="s">
        <v>893</v>
      </c>
    </row>
    <row r="3176" spans="1:9">
      <c r="A3176" s="42" t="s">
        <v>897</v>
      </c>
      <c r="B3176" s="42" t="s">
        <v>302</v>
      </c>
      <c r="C3176" s="42" t="s">
        <v>921</v>
      </c>
      <c r="D3176" s="42" t="s">
        <v>170</v>
      </c>
      <c r="E3176" s="42" t="s">
        <v>808</v>
      </c>
      <c r="F3176" s="45">
        <v>-170077518.9916754</v>
      </c>
      <c r="G3176" s="42" t="s">
        <v>1025</v>
      </c>
      <c r="H3176" s="42" t="s">
        <v>1072</v>
      </c>
      <c r="I3176" s="42" t="s">
        <v>893</v>
      </c>
    </row>
    <row r="3177" spans="1:9">
      <c r="A3177" s="42" t="s">
        <v>897</v>
      </c>
      <c r="B3177" s="42" t="s">
        <v>326</v>
      </c>
      <c r="C3177" s="42" t="s">
        <v>922</v>
      </c>
      <c r="D3177" s="42" t="s">
        <v>170</v>
      </c>
      <c r="E3177" s="42" t="s">
        <v>808</v>
      </c>
      <c r="F3177" s="45">
        <v>26916390.63444246</v>
      </c>
      <c r="G3177" s="42" t="s">
        <v>1025</v>
      </c>
      <c r="H3177" s="42" t="s">
        <v>1072</v>
      </c>
      <c r="I3177" s="42" t="s">
        <v>893</v>
      </c>
    </row>
    <row r="3178" spans="1:9">
      <c r="A3178" s="42" t="s">
        <v>897</v>
      </c>
      <c r="B3178" s="42" t="s">
        <v>327</v>
      </c>
      <c r="C3178" s="42" t="s">
        <v>1009</v>
      </c>
      <c r="D3178" s="42" t="s">
        <v>170</v>
      </c>
      <c r="E3178" s="42" t="s">
        <v>808</v>
      </c>
      <c r="F3178" s="45">
        <v>0</v>
      </c>
      <c r="G3178" s="42" t="s">
        <v>1025</v>
      </c>
      <c r="H3178" s="42" t="s">
        <v>1072</v>
      </c>
      <c r="I3178" s="42" t="s">
        <v>893</v>
      </c>
    </row>
    <row r="3179" spans="1:9">
      <c r="A3179" s="42" t="s">
        <v>897</v>
      </c>
      <c r="B3179" s="42" t="s">
        <v>328</v>
      </c>
      <c r="C3179" s="42" t="s">
        <v>924</v>
      </c>
      <c r="D3179" s="42" t="s">
        <v>170</v>
      </c>
      <c r="E3179" s="42" t="s">
        <v>808</v>
      </c>
      <c r="F3179" s="45">
        <v>-263763346.4257965</v>
      </c>
      <c r="G3179" s="42" t="s">
        <v>1025</v>
      </c>
      <c r="H3179" s="42" t="s">
        <v>1072</v>
      </c>
      <c r="I3179" s="42" t="s">
        <v>893</v>
      </c>
    </row>
    <row r="3180" spans="1:9">
      <c r="A3180" s="42" t="s">
        <v>897</v>
      </c>
      <c r="B3180" s="42" t="s">
        <v>329</v>
      </c>
      <c r="C3180" s="42" t="s">
        <v>925</v>
      </c>
      <c r="D3180" s="42" t="s">
        <v>170</v>
      </c>
      <c r="E3180" s="42" t="s">
        <v>808</v>
      </c>
      <c r="F3180" s="45">
        <v>1306997220.992785</v>
      </c>
      <c r="G3180" s="42" t="s">
        <v>1025</v>
      </c>
      <c r="H3180" s="42" t="s">
        <v>1072</v>
      </c>
      <c r="I3180" s="42" t="s">
        <v>893</v>
      </c>
    </row>
    <row r="3181" spans="1:9">
      <c r="A3181" s="42" t="s">
        <v>897</v>
      </c>
      <c r="B3181" s="42" t="s">
        <v>372</v>
      </c>
      <c r="C3181" s="42" t="s">
        <v>926</v>
      </c>
      <c r="D3181" s="42" t="s">
        <v>170</v>
      </c>
      <c r="E3181" s="42" t="s">
        <v>808</v>
      </c>
      <c r="F3181" s="45">
        <v>252869645.5613638</v>
      </c>
      <c r="G3181" s="42" t="s">
        <v>1025</v>
      </c>
      <c r="H3181" s="42" t="s">
        <v>1072</v>
      </c>
      <c r="I3181" s="42" t="s">
        <v>896</v>
      </c>
    </row>
    <row r="3182" spans="1:9">
      <c r="A3182" s="42" t="s">
        <v>897</v>
      </c>
      <c r="B3182" s="42" t="s">
        <v>373</v>
      </c>
      <c r="C3182" s="42" t="s">
        <v>1032</v>
      </c>
      <c r="D3182" s="42" t="s">
        <v>170</v>
      </c>
      <c r="E3182" s="42" t="s">
        <v>808</v>
      </c>
      <c r="F3182" s="45">
        <v>-96666936.50920381</v>
      </c>
      <c r="G3182" s="42" t="s">
        <v>1025</v>
      </c>
      <c r="H3182" s="42" t="s">
        <v>1072</v>
      </c>
      <c r="I3182" s="42" t="s">
        <v>896</v>
      </c>
    </row>
    <row r="3183" spans="1:9">
      <c r="A3183" s="42" t="s">
        <v>897</v>
      </c>
      <c r="B3183" s="42" t="s">
        <v>375</v>
      </c>
      <c r="C3183" s="42" t="s">
        <v>1033</v>
      </c>
      <c r="D3183" s="42" t="s">
        <v>170</v>
      </c>
      <c r="E3183" s="42" t="s">
        <v>808</v>
      </c>
      <c r="F3183" s="45">
        <v>1956545.707662981</v>
      </c>
      <c r="G3183" s="42" t="s">
        <v>1025</v>
      </c>
      <c r="H3183" s="42" t="s">
        <v>1074</v>
      </c>
      <c r="I3183" s="42" t="s">
        <v>891</v>
      </c>
    </row>
    <row r="3184" spans="1:9">
      <c r="A3184" s="42" t="s">
        <v>897</v>
      </c>
      <c r="B3184" s="42" t="s">
        <v>330</v>
      </c>
      <c r="C3184" s="42" t="s">
        <v>927</v>
      </c>
      <c r="D3184" s="42" t="s">
        <v>170</v>
      </c>
      <c r="E3184" s="42" t="s">
        <v>808</v>
      </c>
      <c r="F3184" s="45">
        <v>-1293147099.327183</v>
      </c>
      <c r="G3184" s="42" t="s">
        <v>1025</v>
      </c>
      <c r="H3184" s="42" t="s">
        <v>1072</v>
      </c>
      <c r="I3184" s="42" t="s">
        <v>893</v>
      </c>
    </row>
    <row r="3185" spans="1:9">
      <c r="A3185" s="42" t="s">
        <v>897</v>
      </c>
      <c r="B3185" s="42" t="s">
        <v>332</v>
      </c>
      <c r="C3185" s="42" t="s">
        <v>932</v>
      </c>
      <c r="D3185" s="42" t="s">
        <v>170</v>
      </c>
      <c r="E3185" s="42" t="s">
        <v>808</v>
      </c>
      <c r="F3185" s="45">
        <v>-1419575.750039387</v>
      </c>
      <c r="G3185" s="42" t="s">
        <v>1025</v>
      </c>
      <c r="H3185" s="42" t="s">
        <v>1072</v>
      </c>
      <c r="I3185" s="42" t="s">
        <v>893</v>
      </c>
    </row>
    <row r="3186" spans="1:9">
      <c r="A3186" s="42" t="s">
        <v>897</v>
      </c>
      <c r="B3186" s="42" t="s">
        <v>334</v>
      </c>
      <c r="C3186" s="42" t="s">
        <v>933</v>
      </c>
      <c r="D3186" s="42" t="s">
        <v>170</v>
      </c>
      <c r="E3186" s="42" t="s">
        <v>808</v>
      </c>
      <c r="F3186" s="45">
        <v>49092632.67744906</v>
      </c>
      <c r="G3186" s="42" t="s">
        <v>1025</v>
      </c>
      <c r="H3186" s="42" t="s">
        <v>1065</v>
      </c>
      <c r="I3186" s="42" t="s">
        <v>893</v>
      </c>
    </row>
    <row r="3187" spans="1:9">
      <c r="A3187" s="42" t="s">
        <v>897</v>
      </c>
      <c r="B3187" s="42" t="s">
        <v>336</v>
      </c>
      <c r="C3187" s="42" t="s">
        <v>938</v>
      </c>
      <c r="D3187" s="42" t="s">
        <v>170</v>
      </c>
      <c r="E3187" s="42" t="s">
        <v>808</v>
      </c>
      <c r="F3187" s="45">
        <v>-1105158237.611098</v>
      </c>
      <c r="G3187" s="42" t="s">
        <v>1025</v>
      </c>
      <c r="H3187" s="42" t="s">
        <v>1072</v>
      </c>
      <c r="I3187" s="42" t="s">
        <v>893</v>
      </c>
    </row>
    <row r="3188" spans="1:9">
      <c r="A3188" s="42" t="s">
        <v>897</v>
      </c>
      <c r="B3188" s="42" t="s">
        <v>337</v>
      </c>
      <c r="C3188" s="42" t="s">
        <v>991</v>
      </c>
      <c r="D3188" s="42" t="s">
        <v>170</v>
      </c>
      <c r="E3188" s="42" t="s">
        <v>808</v>
      </c>
      <c r="F3188" s="45">
        <v>-58029787.83421876</v>
      </c>
      <c r="G3188" s="42" t="s">
        <v>1025</v>
      </c>
      <c r="H3188" s="42" t="s">
        <v>1072</v>
      </c>
      <c r="I3188" s="42" t="s">
        <v>893</v>
      </c>
    </row>
    <row r="3189" spans="1:9">
      <c r="A3189" s="42" t="s">
        <v>897</v>
      </c>
      <c r="B3189" s="42" t="s">
        <v>338</v>
      </c>
      <c r="C3189" s="42" t="s">
        <v>972</v>
      </c>
      <c r="D3189" s="42" t="s">
        <v>170</v>
      </c>
      <c r="E3189" s="42" t="s">
        <v>808</v>
      </c>
      <c r="F3189" s="45">
        <v>-92476102.0123484</v>
      </c>
      <c r="G3189" s="42" t="s">
        <v>1025</v>
      </c>
      <c r="H3189" s="42" t="s">
        <v>1065</v>
      </c>
      <c r="I3189" s="42" t="s">
        <v>893</v>
      </c>
    </row>
    <row r="3190" spans="1:9">
      <c r="A3190" s="42" t="s">
        <v>897</v>
      </c>
      <c r="B3190" s="42" t="s">
        <v>939</v>
      </c>
      <c r="C3190" s="42" t="s">
        <v>973</v>
      </c>
      <c r="D3190" s="42" t="s">
        <v>170</v>
      </c>
      <c r="E3190" s="42" t="s">
        <v>808</v>
      </c>
      <c r="F3190" s="45">
        <v>25904171.40397959</v>
      </c>
      <c r="G3190" s="42" t="s">
        <v>1025</v>
      </c>
      <c r="H3190" s="42" t="s">
        <v>1072</v>
      </c>
      <c r="I3190" s="42" t="s">
        <v>893</v>
      </c>
    </row>
    <row r="3191" spans="1:9">
      <c r="A3191" s="42" t="s">
        <v>897</v>
      </c>
      <c r="B3191" s="42" t="s">
        <v>340</v>
      </c>
      <c r="C3191" s="42" t="s">
        <v>1034</v>
      </c>
      <c r="D3191" s="42" t="s">
        <v>170</v>
      </c>
      <c r="E3191" s="42" t="s">
        <v>808</v>
      </c>
      <c r="F3191" s="45">
        <v>77070619.09018184</v>
      </c>
      <c r="G3191" s="42" t="s">
        <v>1025</v>
      </c>
      <c r="H3191" s="42" t="s">
        <v>1072</v>
      </c>
      <c r="I3191" s="42" t="s">
        <v>893</v>
      </c>
    </row>
    <row r="3192" spans="1:9">
      <c r="A3192" s="42" t="s">
        <v>897</v>
      </c>
      <c r="B3192" s="42" t="s">
        <v>941</v>
      </c>
      <c r="C3192" s="42" t="s">
        <v>977</v>
      </c>
      <c r="D3192" s="42" t="s">
        <v>170</v>
      </c>
      <c r="E3192" s="42" t="s">
        <v>808</v>
      </c>
      <c r="F3192" s="45">
        <v>-20960344.55275547</v>
      </c>
      <c r="G3192" s="42" t="s">
        <v>1025</v>
      </c>
      <c r="H3192" s="42" t="s">
        <v>1072</v>
      </c>
      <c r="I3192" s="42" t="s">
        <v>893</v>
      </c>
    </row>
    <row r="3193" spans="1:9">
      <c r="A3193" s="42" t="s">
        <v>897</v>
      </c>
      <c r="B3193" s="42" t="s">
        <v>342</v>
      </c>
      <c r="C3193" s="42" t="s">
        <v>1014</v>
      </c>
      <c r="D3193" s="42" t="s">
        <v>170</v>
      </c>
      <c r="E3193" s="42" t="s">
        <v>808</v>
      </c>
      <c r="F3193" s="45">
        <v>-85359707.05671617</v>
      </c>
      <c r="G3193" s="42" t="s">
        <v>1025</v>
      </c>
      <c r="H3193" s="42" t="s">
        <v>1072</v>
      </c>
      <c r="I3193" s="42" t="s">
        <v>893</v>
      </c>
    </row>
    <row r="3194" spans="1:9">
      <c r="A3194" s="42" t="s">
        <v>897</v>
      </c>
      <c r="B3194" s="42" t="s">
        <v>343</v>
      </c>
      <c r="C3194" s="42" t="s">
        <v>1016</v>
      </c>
      <c r="D3194" s="42" t="s">
        <v>170</v>
      </c>
      <c r="E3194" s="42" t="s">
        <v>808</v>
      </c>
      <c r="F3194" s="45">
        <v>-3419325.937051393</v>
      </c>
      <c r="G3194" s="42" t="s">
        <v>1025</v>
      </c>
      <c r="H3194" s="42" t="s">
        <v>1065</v>
      </c>
      <c r="I3194" s="42" t="s">
        <v>893</v>
      </c>
    </row>
    <row r="3195" spans="1:9">
      <c r="A3195" s="42" t="s">
        <v>897</v>
      </c>
      <c r="B3195" s="42" t="s">
        <v>344</v>
      </c>
      <c r="C3195" s="42" t="s">
        <v>980</v>
      </c>
      <c r="D3195" s="42" t="s">
        <v>170</v>
      </c>
      <c r="E3195" s="42" t="s">
        <v>808</v>
      </c>
      <c r="F3195" s="45">
        <v>-157270476.8989288</v>
      </c>
      <c r="G3195" s="42" t="s">
        <v>1025</v>
      </c>
      <c r="H3195" s="42" t="s">
        <v>1072</v>
      </c>
      <c r="I3195" s="42" t="s">
        <v>893</v>
      </c>
    </row>
    <row r="3196" spans="1:9">
      <c r="A3196" s="42" t="s">
        <v>897</v>
      </c>
      <c r="B3196" s="42" t="s">
        <v>345</v>
      </c>
      <c r="C3196" s="42" t="s">
        <v>1035</v>
      </c>
      <c r="D3196" s="42" t="s">
        <v>170</v>
      </c>
      <c r="E3196" s="42" t="s">
        <v>808</v>
      </c>
      <c r="F3196" s="45">
        <v>42340389.76204432</v>
      </c>
      <c r="G3196" s="42" t="s">
        <v>1025</v>
      </c>
      <c r="H3196" s="42" t="s">
        <v>1072</v>
      </c>
      <c r="I3196" s="42" t="s">
        <v>893</v>
      </c>
    </row>
    <row r="3197" spans="1:9">
      <c r="A3197" s="42" t="s">
        <v>897</v>
      </c>
      <c r="B3197" s="42" t="s">
        <v>346</v>
      </c>
      <c r="C3197" s="42" t="s">
        <v>956</v>
      </c>
      <c r="D3197" s="42" t="s">
        <v>170</v>
      </c>
      <c r="E3197" s="42" t="s">
        <v>808</v>
      </c>
      <c r="F3197" s="45">
        <v>86908896.24480264</v>
      </c>
      <c r="G3197" s="42" t="s">
        <v>1025</v>
      </c>
      <c r="H3197" s="42" t="s">
        <v>1072</v>
      </c>
      <c r="I3197" s="42" t="s">
        <v>893</v>
      </c>
    </row>
    <row r="3198" spans="1:9">
      <c r="A3198" s="42" t="s">
        <v>897</v>
      </c>
      <c r="B3198" s="42" t="s">
        <v>347</v>
      </c>
      <c r="C3198" s="42" t="s">
        <v>981</v>
      </c>
      <c r="D3198" s="42" t="s">
        <v>170</v>
      </c>
      <c r="E3198" s="42" t="s">
        <v>808</v>
      </c>
      <c r="F3198" s="45">
        <v>835009040.0422103</v>
      </c>
      <c r="G3198" s="42" t="s">
        <v>1039</v>
      </c>
      <c r="H3198" s="42" t="s">
        <v>125</v>
      </c>
      <c r="I3198" s="42" t="s">
        <v>893</v>
      </c>
    </row>
    <row r="3199" spans="1:9">
      <c r="A3199" s="42" t="s">
        <v>897</v>
      </c>
      <c r="B3199" s="42" t="s">
        <v>348</v>
      </c>
      <c r="C3199" s="42" t="s">
        <v>982</v>
      </c>
      <c r="D3199" s="42" t="s">
        <v>170</v>
      </c>
      <c r="E3199" s="42" t="s">
        <v>808</v>
      </c>
      <c r="F3199" s="45">
        <v>773000000</v>
      </c>
      <c r="G3199" s="42" t="s">
        <v>985</v>
      </c>
      <c r="H3199" s="42" t="s">
        <v>139</v>
      </c>
      <c r="I3199" s="42" t="s">
        <v>893</v>
      </c>
    </row>
    <row r="3200" spans="1:9">
      <c r="A3200" s="42" t="s">
        <v>897</v>
      </c>
      <c r="B3200" s="42" t="s">
        <v>346</v>
      </c>
      <c r="C3200" s="42" t="s">
        <v>961</v>
      </c>
      <c r="D3200" s="42" t="s">
        <v>170</v>
      </c>
      <c r="E3200" s="42" t="s">
        <v>808</v>
      </c>
      <c r="F3200" s="45">
        <v>86908896.24480264</v>
      </c>
      <c r="G3200" s="42" t="s">
        <v>1025</v>
      </c>
      <c r="H3200" s="42" t="s">
        <v>1072</v>
      </c>
      <c r="I3200" s="42" t="s">
        <v>893</v>
      </c>
    </row>
    <row r="3201" spans="1:9">
      <c r="A3201" s="42" t="s">
        <v>897</v>
      </c>
      <c r="B3201" s="42" t="s">
        <v>313</v>
      </c>
      <c r="C3201" s="42" t="s">
        <v>994</v>
      </c>
      <c r="D3201" s="42" t="s">
        <v>658</v>
      </c>
      <c r="E3201" s="42" t="s">
        <v>762</v>
      </c>
      <c r="F3201" s="45">
        <v>-1277000000</v>
      </c>
      <c r="G3201" s="42" t="s">
        <v>763</v>
      </c>
      <c r="H3201" s="42" t="s">
        <v>149</v>
      </c>
      <c r="I3201" s="42" t="s">
        <v>893</v>
      </c>
    </row>
    <row r="3202" spans="1:9">
      <c r="A3202" s="42" t="s">
        <v>897</v>
      </c>
      <c r="B3202" s="42" t="s">
        <v>201</v>
      </c>
      <c r="C3202" s="42" t="s">
        <v>966</v>
      </c>
      <c r="D3202" s="42" t="s">
        <v>658</v>
      </c>
      <c r="E3202" s="42" t="s">
        <v>762</v>
      </c>
      <c r="F3202" s="45">
        <v>-94000000</v>
      </c>
      <c r="G3202" s="42" t="s">
        <v>763</v>
      </c>
      <c r="H3202" s="42" t="s">
        <v>149</v>
      </c>
      <c r="I3202" s="42" t="s">
        <v>893</v>
      </c>
    </row>
    <row r="3203" spans="1:9">
      <c r="A3203" s="42" t="s">
        <v>897</v>
      </c>
      <c r="B3203" s="42" t="s">
        <v>314</v>
      </c>
      <c r="C3203" s="42" t="s">
        <v>900</v>
      </c>
      <c r="D3203" s="42" t="s">
        <v>658</v>
      </c>
      <c r="E3203" s="42" t="s">
        <v>762</v>
      </c>
      <c r="F3203" s="45">
        <v>3016000000</v>
      </c>
      <c r="G3203" s="42" t="s">
        <v>763</v>
      </c>
      <c r="H3203" s="42" t="s">
        <v>149</v>
      </c>
      <c r="I3203" s="42" t="s">
        <v>893</v>
      </c>
    </row>
    <row r="3204" spans="1:9">
      <c r="A3204" s="42" t="s">
        <v>897</v>
      </c>
      <c r="B3204" s="42" t="s">
        <v>315</v>
      </c>
      <c r="C3204" s="42" t="s">
        <v>901</v>
      </c>
      <c r="D3204" s="42" t="s">
        <v>658</v>
      </c>
      <c r="E3204" s="42" t="s">
        <v>762</v>
      </c>
      <c r="F3204" s="45">
        <v>37000000</v>
      </c>
      <c r="G3204" s="42" t="s">
        <v>763</v>
      </c>
      <c r="H3204" s="42" t="s">
        <v>149</v>
      </c>
      <c r="I3204" s="42" t="s">
        <v>893</v>
      </c>
    </row>
    <row r="3205" spans="1:9">
      <c r="A3205" s="42" t="s">
        <v>897</v>
      </c>
      <c r="B3205" s="42" t="s">
        <v>316</v>
      </c>
      <c r="C3205" s="42" t="s">
        <v>1004</v>
      </c>
      <c r="D3205" s="42" t="s">
        <v>658</v>
      </c>
      <c r="E3205" s="42" t="s">
        <v>762</v>
      </c>
      <c r="F3205" s="45">
        <v>220000000</v>
      </c>
      <c r="G3205" s="42" t="s">
        <v>763</v>
      </c>
      <c r="H3205" s="42" t="s">
        <v>149</v>
      </c>
      <c r="I3205" s="42" t="s">
        <v>893</v>
      </c>
    </row>
    <row r="3206" spans="1:9">
      <c r="A3206" s="42" t="s">
        <v>897</v>
      </c>
      <c r="B3206" s="42" t="s">
        <v>317</v>
      </c>
      <c r="C3206" s="42" t="s">
        <v>967</v>
      </c>
      <c r="D3206" s="42" t="s">
        <v>658</v>
      </c>
      <c r="E3206" s="42" t="s">
        <v>762</v>
      </c>
      <c r="F3206" s="45">
        <v>383000000</v>
      </c>
      <c r="G3206" s="42" t="s">
        <v>763</v>
      </c>
      <c r="H3206" s="42" t="s">
        <v>149</v>
      </c>
      <c r="I3206" s="42" t="s">
        <v>893</v>
      </c>
    </row>
    <row r="3207" spans="1:9">
      <c r="A3207" s="42" t="s">
        <v>897</v>
      </c>
      <c r="B3207" s="42" t="s">
        <v>318</v>
      </c>
      <c r="C3207" s="42" t="s">
        <v>904</v>
      </c>
      <c r="D3207" s="42" t="s">
        <v>658</v>
      </c>
      <c r="E3207" s="42" t="s">
        <v>762</v>
      </c>
      <c r="F3207" s="45">
        <v>-381000000</v>
      </c>
      <c r="G3207" s="42" t="s">
        <v>763</v>
      </c>
      <c r="H3207" s="42" t="s">
        <v>149</v>
      </c>
      <c r="I3207" s="42" t="s">
        <v>893</v>
      </c>
    </row>
    <row r="3208" spans="1:9">
      <c r="A3208" s="42" t="s">
        <v>897</v>
      </c>
      <c r="B3208" s="42" t="s">
        <v>319</v>
      </c>
      <c r="C3208" s="42" t="s">
        <v>907</v>
      </c>
      <c r="D3208" s="42" t="s">
        <v>658</v>
      </c>
      <c r="E3208" s="42" t="s">
        <v>762</v>
      </c>
      <c r="F3208" s="45">
        <v>426000000</v>
      </c>
      <c r="G3208" s="42" t="s">
        <v>763</v>
      </c>
      <c r="H3208" s="42" t="s">
        <v>149</v>
      </c>
      <c r="I3208" s="42" t="s">
        <v>893</v>
      </c>
    </row>
    <row r="3209" spans="1:9">
      <c r="A3209" s="42" t="s">
        <v>897</v>
      </c>
      <c r="B3209" s="42" t="s">
        <v>352</v>
      </c>
      <c r="C3209" s="42" t="s">
        <v>1045</v>
      </c>
      <c r="D3209" s="42" t="s">
        <v>658</v>
      </c>
      <c r="E3209" s="42" t="s">
        <v>762</v>
      </c>
      <c r="F3209" s="45">
        <v>5510011197.767397</v>
      </c>
      <c r="G3209" s="42" t="s">
        <v>763</v>
      </c>
      <c r="H3209" s="42" t="s">
        <v>127</v>
      </c>
      <c r="I3209" s="42" t="s">
        <v>1046</v>
      </c>
    </row>
    <row r="3210" spans="1:9">
      <c r="A3210" s="42" t="s">
        <v>897</v>
      </c>
      <c r="B3210" s="42" t="s">
        <v>223</v>
      </c>
      <c r="C3210" s="42" t="s">
        <v>1047</v>
      </c>
      <c r="D3210" s="42" t="s">
        <v>658</v>
      </c>
      <c r="E3210" s="42" t="s">
        <v>762</v>
      </c>
      <c r="F3210" s="45">
        <v>2288000000</v>
      </c>
      <c r="G3210" s="42" t="s">
        <v>763</v>
      </c>
      <c r="H3210" s="42" t="s">
        <v>129</v>
      </c>
      <c r="I3210" s="42" t="s">
        <v>861</v>
      </c>
    </row>
    <row r="3211" spans="1:9">
      <c r="A3211" s="42" t="s">
        <v>897</v>
      </c>
      <c r="B3211" s="42" t="s">
        <v>198</v>
      </c>
      <c r="C3211" s="42" t="s">
        <v>1066</v>
      </c>
      <c r="D3211" s="42" t="s">
        <v>658</v>
      </c>
      <c r="E3211" s="42" t="s">
        <v>762</v>
      </c>
      <c r="F3211" s="45">
        <v>2288000000</v>
      </c>
      <c r="G3211" s="42" t="s">
        <v>763</v>
      </c>
      <c r="H3211" s="42" t="s">
        <v>149</v>
      </c>
      <c r="I3211" s="42" t="s">
        <v>893</v>
      </c>
    </row>
    <row r="3212" spans="1:9">
      <c r="A3212" s="42" t="s">
        <v>897</v>
      </c>
      <c r="B3212" s="42" t="s">
        <v>320</v>
      </c>
      <c r="C3212" s="42" t="s">
        <v>1048</v>
      </c>
      <c r="D3212" s="42" t="s">
        <v>658</v>
      </c>
      <c r="E3212" s="42" t="s">
        <v>762</v>
      </c>
      <c r="F3212" s="45">
        <v>709000000</v>
      </c>
      <c r="G3212" s="42" t="s">
        <v>763</v>
      </c>
      <c r="H3212" s="42" t="s">
        <v>149</v>
      </c>
      <c r="I3212" s="42" t="s">
        <v>893</v>
      </c>
    </row>
    <row r="3213" spans="1:9">
      <c r="A3213" s="42" t="s">
        <v>897</v>
      </c>
      <c r="B3213" s="42" t="s">
        <v>251</v>
      </c>
      <c r="C3213" s="42" t="s">
        <v>909</v>
      </c>
      <c r="D3213" s="42" t="s">
        <v>658</v>
      </c>
      <c r="E3213" s="42" t="s">
        <v>762</v>
      </c>
      <c r="F3213" s="45">
        <v>3000000</v>
      </c>
      <c r="G3213" s="42" t="s">
        <v>763</v>
      </c>
      <c r="H3213" s="42" t="s">
        <v>149</v>
      </c>
      <c r="I3213" s="42" t="s">
        <v>893</v>
      </c>
    </row>
    <row r="3214" spans="1:9">
      <c r="A3214" s="42" t="s">
        <v>897</v>
      </c>
      <c r="B3214" s="42" t="s">
        <v>293</v>
      </c>
      <c r="C3214" s="42" t="s">
        <v>912</v>
      </c>
      <c r="D3214" s="42" t="s">
        <v>658</v>
      </c>
      <c r="E3214" s="42" t="s">
        <v>762</v>
      </c>
      <c r="F3214" s="45">
        <v>-178000000</v>
      </c>
      <c r="G3214" s="42" t="s">
        <v>763</v>
      </c>
      <c r="H3214" s="42" t="s">
        <v>149</v>
      </c>
      <c r="I3214" s="42" t="s">
        <v>893</v>
      </c>
    </row>
    <row r="3215" spans="1:9">
      <c r="A3215" s="42" t="s">
        <v>897</v>
      </c>
      <c r="B3215" s="42" t="s">
        <v>292</v>
      </c>
      <c r="C3215" s="42" t="s">
        <v>913</v>
      </c>
      <c r="D3215" s="42" t="s">
        <v>658</v>
      </c>
      <c r="E3215" s="42" t="s">
        <v>762</v>
      </c>
      <c r="F3215" s="45">
        <v>-178000000</v>
      </c>
      <c r="G3215" s="42" t="s">
        <v>763</v>
      </c>
      <c r="H3215" s="42" t="s">
        <v>149</v>
      </c>
      <c r="I3215" s="42" t="s">
        <v>893</v>
      </c>
    </row>
    <row r="3216" spans="1:9">
      <c r="A3216" s="42" t="s">
        <v>897</v>
      </c>
      <c r="B3216" s="42" t="s">
        <v>241</v>
      </c>
      <c r="C3216" s="42" t="s">
        <v>914</v>
      </c>
      <c r="D3216" s="42" t="s">
        <v>658</v>
      </c>
      <c r="E3216" s="42" t="s">
        <v>762</v>
      </c>
      <c r="F3216" s="45">
        <v>44000000</v>
      </c>
      <c r="G3216" s="42" t="s">
        <v>763</v>
      </c>
      <c r="H3216" s="42" t="s">
        <v>149</v>
      </c>
      <c r="I3216" s="42" t="s">
        <v>893</v>
      </c>
    </row>
    <row r="3217" spans="1:9">
      <c r="A3217" s="42" t="s">
        <v>897</v>
      </c>
      <c r="B3217" s="42" t="s">
        <v>310</v>
      </c>
      <c r="C3217" s="42" t="s">
        <v>915</v>
      </c>
      <c r="D3217" s="42" t="s">
        <v>658</v>
      </c>
      <c r="E3217" s="42" t="s">
        <v>762</v>
      </c>
      <c r="F3217" s="45">
        <v>736000000</v>
      </c>
      <c r="G3217" s="42" t="s">
        <v>763</v>
      </c>
      <c r="H3217" s="42" t="s">
        <v>149</v>
      </c>
      <c r="I3217" s="42" t="s">
        <v>893</v>
      </c>
    </row>
    <row r="3218" spans="1:9">
      <c r="A3218" s="42" t="s">
        <v>897</v>
      </c>
      <c r="B3218" s="42" t="s">
        <v>305</v>
      </c>
      <c r="C3218" s="42" t="s">
        <v>916</v>
      </c>
      <c r="D3218" s="42" t="s">
        <v>658</v>
      </c>
      <c r="E3218" s="42" t="s">
        <v>762</v>
      </c>
      <c r="F3218" s="45">
        <v>74000000</v>
      </c>
      <c r="G3218" s="42" t="s">
        <v>763</v>
      </c>
      <c r="H3218" s="42" t="s">
        <v>149</v>
      </c>
      <c r="I3218" s="42" t="s">
        <v>893</v>
      </c>
    </row>
    <row r="3219" spans="1:9">
      <c r="A3219" s="42" t="s">
        <v>897</v>
      </c>
      <c r="B3219" s="42" t="s">
        <v>306</v>
      </c>
      <c r="C3219" s="42" t="s">
        <v>917</v>
      </c>
      <c r="D3219" s="42" t="s">
        <v>658</v>
      </c>
      <c r="E3219" s="42" t="s">
        <v>762</v>
      </c>
      <c r="F3219" s="45">
        <v>231000000</v>
      </c>
      <c r="G3219" s="42" t="s">
        <v>763</v>
      </c>
      <c r="H3219" s="42" t="s">
        <v>149</v>
      </c>
      <c r="I3219" s="42" t="s">
        <v>893</v>
      </c>
    </row>
    <row r="3220" spans="1:9">
      <c r="A3220" s="42" t="s">
        <v>897</v>
      </c>
      <c r="B3220" s="42" t="s">
        <v>309</v>
      </c>
      <c r="C3220" s="42" t="s">
        <v>918</v>
      </c>
      <c r="D3220" s="42" t="s">
        <v>658</v>
      </c>
      <c r="E3220" s="42" t="s">
        <v>762</v>
      </c>
      <c r="F3220" s="45">
        <v>66000000</v>
      </c>
      <c r="G3220" s="42" t="s">
        <v>763</v>
      </c>
      <c r="H3220" s="42" t="s">
        <v>149</v>
      </c>
      <c r="I3220" s="42" t="s">
        <v>893</v>
      </c>
    </row>
    <row r="3221" spans="1:9">
      <c r="A3221" s="42" t="s">
        <v>897</v>
      </c>
      <c r="B3221" s="42" t="s">
        <v>325</v>
      </c>
      <c r="C3221" s="42" t="s">
        <v>919</v>
      </c>
      <c r="D3221" s="42" t="s">
        <v>658</v>
      </c>
      <c r="E3221" s="42" t="s">
        <v>762</v>
      </c>
      <c r="F3221" s="45">
        <v>-491000000</v>
      </c>
      <c r="G3221" s="42" t="s">
        <v>763</v>
      </c>
      <c r="H3221" s="42" t="s">
        <v>149</v>
      </c>
      <c r="I3221" s="42" t="s">
        <v>893</v>
      </c>
    </row>
    <row r="3222" spans="1:9">
      <c r="A3222" s="42" t="s">
        <v>897</v>
      </c>
      <c r="B3222" s="42" t="s">
        <v>242</v>
      </c>
      <c r="C3222" s="42" t="s">
        <v>920</v>
      </c>
      <c r="D3222" s="42" t="s">
        <v>658</v>
      </c>
      <c r="E3222" s="42" t="s">
        <v>762</v>
      </c>
      <c r="F3222" s="45">
        <v>-12000000</v>
      </c>
      <c r="G3222" s="42" t="s">
        <v>763</v>
      </c>
      <c r="H3222" s="42" t="s">
        <v>149</v>
      </c>
      <c r="I3222" s="42" t="s">
        <v>893</v>
      </c>
    </row>
    <row r="3223" spans="1:9">
      <c r="A3223" s="42" t="s">
        <v>897</v>
      </c>
      <c r="B3223" s="42" t="s">
        <v>302</v>
      </c>
      <c r="C3223" s="42" t="s">
        <v>921</v>
      </c>
      <c r="D3223" s="42" t="s">
        <v>658</v>
      </c>
      <c r="E3223" s="42" t="s">
        <v>762</v>
      </c>
      <c r="F3223" s="45">
        <v>25000000</v>
      </c>
      <c r="G3223" s="42" t="s">
        <v>763</v>
      </c>
      <c r="H3223" s="42" t="s">
        <v>149</v>
      </c>
      <c r="I3223" s="42" t="s">
        <v>893</v>
      </c>
    </row>
    <row r="3224" spans="1:9">
      <c r="A3224" s="42" t="s">
        <v>897</v>
      </c>
      <c r="B3224" s="42" t="s">
        <v>326</v>
      </c>
      <c r="C3224" s="42" t="s">
        <v>922</v>
      </c>
      <c r="D3224" s="42" t="s">
        <v>658</v>
      </c>
      <c r="E3224" s="42" t="s">
        <v>762</v>
      </c>
      <c r="F3224" s="45">
        <v>276000000</v>
      </c>
      <c r="G3224" s="42" t="s">
        <v>763</v>
      </c>
      <c r="H3224" s="42" t="s">
        <v>149</v>
      </c>
      <c r="I3224" s="42" t="s">
        <v>893</v>
      </c>
    </row>
    <row r="3225" spans="1:9">
      <c r="A3225" s="42" t="s">
        <v>897</v>
      </c>
      <c r="B3225" s="42" t="s">
        <v>327</v>
      </c>
      <c r="C3225" s="42" t="s">
        <v>1009</v>
      </c>
      <c r="D3225" s="42" t="s">
        <v>658</v>
      </c>
      <c r="E3225" s="42" t="s">
        <v>762</v>
      </c>
      <c r="F3225" s="45">
        <v>211611.9968938892</v>
      </c>
      <c r="G3225" s="42" t="s">
        <v>763</v>
      </c>
      <c r="H3225" s="42" t="s">
        <v>137</v>
      </c>
      <c r="I3225" s="42" t="s">
        <v>893</v>
      </c>
    </row>
    <row r="3226" spans="1:9">
      <c r="A3226" s="42" t="s">
        <v>897</v>
      </c>
      <c r="B3226" s="42" t="s">
        <v>328</v>
      </c>
      <c r="C3226" s="42" t="s">
        <v>924</v>
      </c>
      <c r="D3226" s="42" t="s">
        <v>658</v>
      </c>
      <c r="E3226" s="42" t="s">
        <v>762</v>
      </c>
      <c r="F3226" s="45">
        <v>-10000000</v>
      </c>
      <c r="G3226" s="42" t="s">
        <v>763</v>
      </c>
      <c r="H3226" s="42" t="s">
        <v>149</v>
      </c>
      <c r="I3226" s="42" t="s">
        <v>893</v>
      </c>
    </row>
    <row r="3227" spans="1:9">
      <c r="A3227" s="42" t="s">
        <v>897</v>
      </c>
      <c r="B3227" s="42" t="s">
        <v>329</v>
      </c>
      <c r="C3227" s="42" t="s">
        <v>925</v>
      </c>
      <c r="D3227" s="42" t="s">
        <v>658</v>
      </c>
      <c r="E3227" s="42" t="s">
        <v>762</v>
      </c>
      <c r="F3227" s="45">
        <v>5913000000</v>
      </c>
      <c r="G3227" s="42" t="s">
        <v>763</v>
      </c>
      <c r="H3227" s="42" t="s">
        <v>149</v>
      </c>
      <c r="I3227" s="42" t="s">
        <v>893</v>
      </c>
    </row>
    <row r="3228" spans="1:9">
      <c r="A3228" s="42" t="s">
        <v>897</v>
      </c>
      <c r="B3228" s="42" t="s">
        <v>372</v>
      </c>
      <c r="C3228" s="42" t="s">
        <v>926</v>
      </c>
      <c r="D3228" s="42" t="s">
        <v>658</v>
      </c>
      <c r="E3228" s="42" t="s">
        <v>762</v>
      </c>
      <c r="F3228" s="45">
        <v>583000000</v>
      </c>
      <c r="G3228" s="42" t="s">
        <v>763</v>
      </c>
      <c r="H3228" s="42" t="s">
        <v>149</v>
      </c>
      <c r="I3228" s="42" t="s">
        <v>896</v>
      </c>
    </row>
    <row r="3229" spans="1:9">
      <c r="A3229" s="42" t="s">
        <v>897</v>
      </c>
      <c r="B3229" s="42" t="s">
        <v>373</v>
      </c>
      <c r="C3229" s="42" t="s">
        <v>1032</v>
      </c>
      <c r="D3229" s="42" t="s">
        <v>658</v>
      </c>
      <c r="E3229" s="42" t="s">
        <v>762</v>
      </c>
      <c r="F3229" s="45">
        <v>-337000000</v>
      </c>
      <c r="G3229" s="42" t="s">
        <v>763</v>
      </c>
      <c r="H3229" s="42" t="s">
        <v>149</v>
      </c>
      <c r="I3229" s="42" t="s">
        <v>896</v>
      </c>
    </row>
    <row r="3230" spans="1:9">
      <c r="A3230" s="42" t="s">
        <v>897</v>
      </c>
      <c r="B3230" s="42" t="s">
        <v>330</v>
      </c>
      <c r="C3230" s="42" t="s">
        <v>927</v>
      </c>
      <c r="D3230" s="42" t="s">
        <v>658</v>
      </c>
      <c r="E3230" s="42" t="s">
        <v>762</v>
      </c>
      <c r="F3230" s="45">
        <v>-5673000000</v>
      </c>
      <c r="G3230" s="42" t="s">
        <v>763</v>
      </c>
      <c r="H3230" s="42" t="s">
        <v>149</v>
      </c>
      <c r="I3230" s="42" t="s">
        <v>893</v>
      </c>
    </row>
    <row r="3231" spans="1:9">
      <c r="A3231" s="42" t="s">
        <v>897</v>
      </c>
      <c r="B3231" s="42" t="s">
        <v>332</v>
      </c>
      <c r="C3231" s="42" t="s">
        <v>932</v>
      </c>
      <c r="D3231" s="42" t="s">
        <v>658</v>
      </c>
      <c r="E3231" s="42" t="s">
        <v>762</v>
      </c>
      <c r="F3231" s="45">
        <v>-5000000</v>
      </c>
      <c r="G3231" s="42" t="s">
        <v>763</v>
      </c>
      <c r="H3231" s="42" t="s">
        <v>149</v>
      </c>
      <c r="I3231" s="42" t="s">
        <v>893</v>
      </c>
    </row>
    <row r="3232" spans="1:9">
      <c r="A3232" s="42" t="s">
        <v>897</v>
      </c>
      <c r="B3232" s="42" t="s">
        <v>382</v>
      </c>
      <c r="C3232" s="42" t="s">
        <v>1052</v>
      </c>
      <c r="D3232" s="42" t="s">
        <v>658</v>
      </c>
      <c r="E3232" s="42" t="s">
        <v>762</v>
      </c>
      <c r="F3232" s="45">
        <v>85000000</v>
      </c>
      <c r="G3232" s="42" t="s">
        <v>763</v>
      </c>
      <c r="H3232" s="42" t="s">
        <v>129</v>
      </c>
      <c r="I3232" s="42" t="s">
        <v>861</v>
      </c>
    </row>
    <row r="3233" spans="1:9">
      <c r="A3233" s="42" t="s">
        <v>897</v>
      </c>
      <c r="B3233" s="42" t="s">
        <v>383</v>
      </c>
      <c r="C3233" s="42" t="s">
        <v>1053</v>
      </c>
      <c r="D3233" s="42" t="s">
        <v>658</v>
      </c>
      <c r="E3233" s="42" t="s">
        <v>762</v>
      </c>
      <c r="F3233" s="45">
        <v>15000000</v>
      </c>
      <c r="G3233" s="42" t="s">
        <v>763</v>
      </c>
      <c r="H3233" s="42" t="s">
        <v>129</v>
      </c>
      <c r="I3233" s="42" t="s">
        <v>861</v>
      </c>
    </row>
    <row r="3234" spans="1:9">
      <c r="A3234" s="42" t="s">
        <v>897</v>
      </c>
      <c r="B3234" s="42" t="s">
        <v>334</v>
      </c>
      <c r="C3234" s="42" t="s">
        <v>933</v>
      </c>
      <c r="D3234" s="42" t="s">
        <v>658</v>
      </c>
      <c r="E3234" s="42" t="s">
        <v>762</v>
      </c>
      <c r="F3234" s="45">
        <v>85000000</v>
      </c>
      <c r="G3234" s="42" t="s">
        <v>763</v>
      </c>
      <c r="H3234" s="42" t="s">
        <v>149</v>
      </c>
      <c r="I3234" s="42" t="s">
        <v>893</v>
      </c>
    </row>
    <row r="3235" spans="1:9">
      <c r="A3235" s="42" t="s">
        <v>897</v>
      </c>
      <c r="B3235" s="42" t="s">
        <v>335</v>
      </c>
      <c r="C3235" s="42" t="s">
        <v>1068</v>
      </c>
      <c r="D3235" s="42" t="s">
        <v>658</v>
      </c>
      <c r="E3235" s="42" t="s">
        <v>762</v>
      </c>
      <c r="F3235" s="45">
        <v>15000000</v>
      </c>
      <c r="G3235" s="42" t="s">
        <v>763</v>
      </c>
      <c r="H3235" s="42" t="s">
        <v>149</v>
      </c>
      <c r="I3235" s="42" t="s">
        <v>893</v>
      </c>
    </row>
    <row r="3236" spans="1:9">
      <c r="A3236" s="42" t="s">
        <v>897</v>
      </c>
      <c r="B3236" s="42" t="s">
        <v>336</v>
      </c>
      <c r="C3236" s="42" t="s">
        <v>938</v>
      </c>
      <c r="D3236" s="42" t="s">
        <v>658</v>
      </c>
      <c r="E3236" s="42" t="s">
        <v>762</v>
      </c>
      <c r="F3236" s="45">
        <v>-5332000000</v>
      </c>
      <c r="G3236" s="42" t="s">
        <v>763</v>
      </c>
      <c r="H3236" s="42" t="s">
        <v>149</v>
      </c>
      <c r="I3236" s="42" t="s">
        <v>893</v>
      </c>
    </row>
    <row r="3237" spans="1:9">
      <c r="A3237" s="42" t="s">
        <v>897</v>
      </c>
      <c r="B3237" s="42" t="s">
        <v>936</v>
      </c>
      <c r="C3237" s="42" t="s">
        <v>997</v>
      </c>
      <c r="D3237" s="42" t="s">
        <v>658</v>
      </c>
      <c r="E3237" s="42" t="s">
        <v>762</v>
      </c>
      <c r="F3237" s="45">
        <v>-623000000</v>
      </c>
      <c r="G3237" s="42" t="s">
        <v>763</v>
      </c>
      <c r="H3237" s="42" t="s">
        <v>129</v>
      </c>
      <c r="I3237" s="42" t="s">
        <v>861</v>
      </c>
    </row>
    <row r="3238" spans="1:9">
      <c r="A3238" s="42" t="s">
        <v>897</v>
      </c>
      <c r="B3238" s="42" t="s">
        <v>337</v>
      </c>
      <c r="C3238" s="42" t="s">
        <v>991</v>
      </c>
      <c r="D3238" s="42" t="s">
        <v>658</v>
      </c>
      <c r="E3238" s="42" t="s">
        <v>762</v>
      </c>
      <c r="F3238" s="45">
        <v>-1396000000</v>
      </c>
      <c r="G3238" s="42" t="s">
        <v>763</v>
      </c>
      <c r="H3238" s="42" t="s">
        <v>149</v>
      </c>
      <c r="I3238" s="42" t="s">
        <v>893</v>
      </c>
    </row>
    <row r="3239" spans="1:9">
      <c r="A3239" s="42" t="s">
        <v>897</v>
      </c>
      <c r="B3239" s="42" t="s">
        <v>338</v>
      </c>
      <c r="C3239" s="42" t="s">
        <v>972</v>
      </c>
      <c r="D3239" s="42" t="s">
        <v>658</v>
      </c>
      <c r="E3239" s="42" t="s">
        <v>762</v>
      </c>
      <c r="F3239" s="45">
        <v>-623000000</v>
      </c>
      <c r="G3239" s="42" t="s">
        <v>763</v>
      </c>
      <c r="H3239" s="42" t="s">
        <v>149</v>
      </c>
      <c r="I3239" s="42" t="s">
        <v>893</v>
      </c>
    </row>
    <row r="3240" spans="1:9">
      <c r="A3240" s="42" t="s">
        <v>897</v>
      </c>
      <c r="B3240" s="42" t="s">
        <v>939</v>
      </c>
      <c r="C3240" s="42" t="s">
        <v>973</v>
      </c>
      <c r="D3240" s="42" t="s">
        <v>658</v>
      </c>
      <c r="E3240" s="42" t="s">
        <v>762</v>
      </c>
      <c r="F3240" s="45">
        <v>2667000000</v>
      </c>
      <c r="G3240" s="42" t="s">
        <v>763</v>
      </c>
      <c r="H3240" s="42" t="s">
        <v>149</v>
      </c>
      <c r="I3240" s="42" t="s">
        <v>893</v>
      </c>
    </row>
    <row r="3241" spans="1:9">
      <c r="A3241" s="42" t="s">
        <v>897</v>
      </c>
      <c r="B3241" s="42" t="s">
        <v>340</v>
      </c>
      <c r="C3241" s="42" t="s">
        <v>1034</v>
      </c>
      <c r="D3241" s="42" t="s">
        <v>658</v>
      </c>
      <c r="E3241" s="42" t="s">
        <v>762</v>
      </c>
      <c r="F3241" s="45">
        <v>-3000000</v>
      </c>
      <c r="G3241" s="42" t="s">
        <v>763</v>
      </c>
      <c r="H3241" s="42" t="s">
        <v>149</v>
      </c>
      <c r="I3241" s="42" t="s">
        <v>893</v>
      </c>
    </row>
    <row r="3242" spans="1:9">
      <c r="A3242" s="42" t="s">
        <v>897</v>
      </c>
      <c r="B3242" s="42" t="s">
        <v>391</v>
      </c>
      <c r="C3242" s="42" t="s">
        <v>1054</v>
      </c>
      <c r="D3242" s="42" t="s">
        <v>658</v>
      </c>
      <c r="E3242" s="42" t="s">
        <v>762</v>
      </c>
      <c r="F3242" s="45">
        <v>-8000000</v>
      </c>
      <c r="G3242" s="42" t="s">
        <v>763</v>
      </c>
      <c r="H3242" s="42" t="s">
        <v>129</v>
      </c>
      <c r="I3242" s="42" t="s">
        <v>861</v>
      </c>
    </row>
    <row r="3243" spans="1:9">
      <c r="A3243" s="42" t="s">
        <v>897</v>
      </c>
      <c r="B3243" s="42" t="s">
        <v>342</v>
      </c>
      <c r="C3243" s="42" t="s">
        <v>1014</v>
      </c>
      <c r="D3243" s="42" t="s">
        <v>658</v>
      </c>
      <c r="E3243" s="42" t="s">
        <v>762</v>
      </c>
      <c r="F3243" s="45">
        <v>-359000000</v>
      </c>
      <c r="G3243" s="42" t="s">
        <v>763</v>
      </c>
      <c r="H3243" s="42" t="s">
        <v>149</v>
      </c>
      <c r="I3243" s="42" t="s">
        <v>893</v>
      </c>
    </row>
    <row r="3244" spans="1:9">
      <c r="A3244" s="42" t="s">
        <v>897</v>
      </c>
      <c r="B3244" s="42" t="s">
        <v>343</v>
      </c>
      <c r="C3244" s="42" t="s">
        <v>1016</v>
      </c>
      <c r="D3244" s="42" t="s">
        <v>658</v>
      </c>
      <c r="E3244" s="42" t="s">
        <v>762</v>
      </c>
      <c r="F3244" s="45">
        <v>-8000000</v>
      </c>
      <c r="G3244" s="42" t="s">
        <v>763</v>
      </c>
      <c r="H3244" s="42" t="s">
        <v>149</v>
      </c>
      <c r="I3244" s="42" t="s">
        <v>893</v>
      </c>
    </row>
    <row r="3245" spans="1:9">
      <c r="A3245" s="42" t="s">
        <v>897</v>
      </c>
      <c r="B3245" s="42" t="s">
        <v>344</v>
      </c>
      <c r="C3245" s="42" t="s">
        <v>980</v>
      </c>
      <c r="D3245" s="42" t="s">
        <v>658</v>
      </c>
      <c r="E3245" s="42" t="s">
        <v>762</v>
      </c>
      <c r="F3245" s="45">
        <v>278000000</v>
      </c>
      <c r="G3245" s="42" t="s">
        <v>763</v>
      </c>
      <c r="H3245" s="42" t="s">
        <v>149</v>
      </c>
      <c r="I3245" s="42" t="s">
        <v>893</v>
      </c>
    </row>
    <row r="3246" spans="1:9">
      <c r="A3246" s="42" t="s">
        <v>897</v>
      </c>
      <c r="B3246" s="42" t="s">
        <v>345</v>
      </c>
      <c r="C3246" s="42" t="s">
        <v>1035</v>
      </c>
      <c r="D3246" s="42" t="s">
        <v>658</v>
      </c>
      <c r="E3246" s="42" t="s">
        <v>762</v>
      </c>
      <c r="F3246" s="45">
        <v>-509000000</v>
      </c>
      <c r="G3246" s="42" t="s">
        <v>763</v>
      </c>
      <c r="H3246" s="42" t="s">
        <v>149</v>
      </c>
      <c r="I3246" s="42" t="s">
        <v>893</v>
      </c>
    </row>
    <row r="3247" spans="1:9">
      <c r="A3247" s="42" t="s">
        <v>897</v>
      </c>
      <c r="B3247" s="42" t="s">
        <v>346</v>
      </c>
      <c r="C3247" s="42" t="s">
        <v>956</v>
      </c>
      <c r="D3247" s="42" t="s">
        <v>658</v>
      </c>
      <c r="E3247" s="42" t="s">
        <v>762</v>
      </c>
      <c r="F3247" s="45">
        <v>350000000</v>
      </c>
      <c r="G3247" s="42" t="s">
        <v>763</v>
      </c>
      <c r="H3247" s="42" t="s">
        <v>149</v>
      </c>
      <c r="I3247" s="42" t="s">
        <v>893</v>
      </c>
    </row>
    <row r="3248" spans="1:9">
      <c r="A3248" s="42" t="s">
        <v>897</v>
      </c>
      <c r="B3248" s="42" t="s">
        <v>347</v>
      </c>
      <c r="C3248" s="42" t="s">
        <v>981</v>
      </c>
      <c r="D3248" s="42" t="s">
        <v>658</v>
      </c>
      <c r="E3248" s="42" t="s">
        <v>762</v>
      </c>
      <c r="F3248" s="45">
        <v>773000000</v>
      </c>
      <c r="G3248" s="42" t="s">
        <v>763</v>
      </c>
      <c r="H3248" s="42" t="s">
        <v>149</v>
      </c>
      <c r="I3248" s="42" t="s">
        <v>893</v>
      </c>
    </row>
    <row r="3249" spans="1:9">
      <c r="A3249" s="42" t="s">
        <v>897</v>
      </c>
      <c r="B3249" s="42" t="s">
        <v>348</v>
      </c>
      <c r="C3249" s="42" t="s">
        <v>982</v>
      </c>
      <c r="D3249" s="42" t="s">
        <v>658</v>
      </c>
      <c r="E3249" s="42" t="s">
        <v>762</v>
      </c>
      <c r="F3249" s="45">
        <v>1123000000</v>
      </c>
      <c r="G3249" s="42" t="s">
        <v>763</v>
      </c>
      <c r="H3249" s="42" t="s">
        <v>149</v>
      </c>
      <c r="I3249" s="42" t="s">
        <v>893</v>
      </c>
    </row>
    <row r="3250" spans="1:9">
      <c r="A3250" s="42" t="s">
        <v>897</v>
      </c>
      <c r="B3250" s="42" t="s">
        <v>346</v>
      </c>
      <c r="C3250" s="42" t="s">
        <v>961</v>
      </c>
      <c r="D3250" s="42" t="s">
        <v>658</v>
      </c>
      <c r="E3250" s="42" t="s">
        <v>762</v>
      </c>
      <c r="F3250" s="45">
        <v>350000000</v>
      </c>
      <c r="G3250" s="42" t="s">
        <v>763</v>
      </c>
      <c r="H3250" s="42" t="s">
        <v>149</v>
      </c>
      <c r="I3250" s="42" t="s">
        <v>893</v>
      </c>
    </row>
    <row r="3251" spans="1:9">
      <c r="A3251" s="42" t="s">
        <v>897</v>
      </c>
      <c r="B3251" s="42" t="s">
        <v>396</v>
      </c>
      <c r="C3251" s="42" t="s">
        <v>1055</v>
      </c>
      <c r="D3251" s="42" t="s">
        <v>658</v>
      </c>
      <c r="E3251" s="42" t="s">
        <v>762</v>
      </c>
      <c r="F3251" s="45">
        <v>1454614040.455146</v>
      </c>
      <c r="G3251" s="42" t="s">
        <v>763</v>
      </c>
      <c r="H3251" s="42" t="s">
        <v>137</v>
      </c>
      <c r="I3251" s="42" t="s">
        <v>884</v>
      </c>
    </row>
    <row r="3252" spans="1:9">
      <c r="A3252" s="42" t="s">
        <v>897</v>
      </c>
      <c r="B3252" s="42" t="s">
        <v>398</v>
      </c>
      <c r="C3252" s="42" t="s">
        <v>1056</v>
      </c>
      <c r="D3252" s="42" t="s">
        <v>658</v>
      </c>
      <c r="E3252" s="42" t="s">
        <v>762</v>
      </c>
      <c r="F3252" s="45">
        <v>1397226232.136213</v>
      </c>
      <c r="G3252" s="42" t="s">
        <v>763</v>
      </c>
      <c r="H3252" s="42" t="s">
        <v>137</v>
      </c>
      <c r="I3252" s="42" t="s">
        <v>884</v>
      </c>
    </row>
    <row r="3253" spans="1:9">
      <c r="A3253" s="42" t="s">
        <v>897</v>
      </c>
      <c r="B3253" s="42" t="s">
        <v>399</v>
      </c>
      <c r="C3253" s="42" t="s">
        <v>1057</v>
      </c>
      <c r="D3253" s="42" t="s">
        <v>658</v>
      </c>
      <c r="E3253" s="42" t="s">
        <v>762</v>
      </c>
      <c r="F3253" s="45">
        <v>788026010.9492229</v>
      </c>
      <c r="G3253" s="42" t="s">
        <v>763</v>
      </c>
      <c r="H3253" s="42" t="s">
        <v>137</v>
      </c>
      <c r="I3253" s="42" t="s">
        <v>884</v>
      </c>
    </row>
    <row r="3254" spans="1:9">
      <c r="A3254" s="42" t="s">
        <v>897</v>
      </c>
      <c r="B3254" s="42" t="s">
        <v>400</v>
      </c>
      <c r="C3254" s="42" t="s">
        <v>1058</v>
      </c>
      <c r="D3254" s="42" t="s">
        <v>658</v>
      </c>
      <c r="E3254" s="42" t="s">
        <v>762</v>
      </c>
      <c r="F3254" s="45">
        <v>69913873.29636173</v>
      </c>
      <c r="G3254" s="42" t="s">
        <v>763</v>
      </c>
      <c r="H3254" s="42" t="s">
        <v>137</v>
      </c>
      <c r="I3254" s="42" t="s">
        <v>884</v>
      </c>
    </row>
    <row r="3255" spans="1:9">
      <c r="A3255" s="42" t="s">
        <v>897</v>
      </c>
      <c r="B3255" s="42" t="s">
        <v>401</v>
      </c>
      <c r="C3255" s="42" t="s">
        <v>1059</v>
      </c>
      <c r="D3255" s="42" t="s">
        <v>658</v>
      </c>
      <c r="E3255" s="42" t="s">
        <v>762</v>
      </c>
      <c r="F3255" s="45">
        <v>12379301.81829252</v>
      </c>
      <c r="G3255" s="42" t="s">
        <v>763</v>
      </c>
      <c r="H3255" s="42" t="s">
        <v>137</v>
      </c>
      <c r="I3255" s="42" t="s">
        <v>884</v>
      </c>
    </row>
    <row r="3256" spans="1:9">
      <c r="A3256" s="42" t="s">
        <v>897</v>
      </c>
      <c r="B3256" s="42" t="s">
        <v>313</v>
      </c>
      <c r="C3256" s="42" t="s">
        <v>994</v>
      </c>
      <c r="D3256" s="42" t="s">
        <v>171</v>
      </c>
      <c r="E3256" s="42" t="s">
        <v>808</v>
      </c>
      <c r="F3256" s="45">
        <v>341000000</v>
      </c>
      <c r="G3256" s="42" t="s">
        <v>763</v>
      </c>
      <c r="H3256" s="42" t="s">
        <v>131</v>
      </c>
      <c r="I3256" s="42" t="s">
        <v>893</v>
      </c>
    </row>
    <row r="3257" spans="1:9">
      <c r="A3257" s="42" t="s">
        <v>897</v>
      </c>
      <c r="B3257" s="42" t="s">
        <v>201</v>
      </c>
      <c r="C3257" s="42" t="s">
        <v>966</v>
      </c>
      <c r="D3257" s="42" t="s">
        <v>171</v>
      </c>
      <c r="E3257" s="42" t="s">
        <v>808</v>
      </c>
      <c r="F3257" s="45">
        <v>-89000000</v>
      </c>
      <c r="G3257" s="42" t="s">
        <v>763</v>
      </c>
      <c r="H3257" s="42" t="s">
        <v>131</v>
      </c>
      <c r="I3257" s="42" t="s">
        <v>893</v>
      </c>
    </row>
    <row r="3258" spans="1:9">
      <c r="A3258" s="42" t="s">
        <v>897</v>
      </c>
      <c r="B3258" s="42" t="s">
        <v>314</v>
      </c>
      <c r="C3258" s="42" t="s">
        <v>900</v>
      </c>
      <c r="D3258" s="42" t="s">
        <v>171</v>
      </c>
      <c r="E3258" s="42" t="s">
        <v>808</v>
      </c>
      <c r="F3258" s="45">
        <v>709000000</v>
      </c>
      <c r="G3258" s="42" t="s">
        <v>763</v>
      </c>
      <c r="H3258" s="42" t="s">
        <v>131</v>
      </c>
      <c r="I3258" s="42" t="s">
        <v>893</v>
      </c>
    </row>
    <row r="3259" spans="1:9">
      <c r="A3259" s="42" t="s">
        <v>897</v>
      </c>
      <c r="B3259" s="42" t="s">
        <v>315</v>
      </c>
      <c r="C3259" s="42" t="s">
        <v>901</v>
      </c>
      <c r="D3259" s="42" t="s">
        <v>171</v>
      </c>
      <c r="E3259" s="42" t="s">
        <v>808</v>
      </c>
      <c r="F3259" s="45">
        <v>10000000</v>
      </c>
      <c r="G3259" s="42" t="s">
        <v>763</v>
      </c>
      <c r="H3259" s="42" t="s">
        <v>131</v>
      </c>
      <c r="I3259" s="42" t="s">
        <v>893</v>
      </c>
    </row>
    <row r="3260" spans="1:9">
      <c r="A3260" s="42" t="s">
        <v>897</v>
      </c>
      <c r="B3260" s="42" t="s">
        <v>316</v>
      </c>
      <c r="C3260" s="42" t="s">
        <v>1004</v>
      </c>
      <c r="D3260" s="42" t="s">
        <v>171</v>
      </c>
      <c r="E3260" s="42" t="s">
        <v>808</v>
      </c>
      <c r="F3260" s="45">
        <v>56000000</v>
      </c>
      <c r="G3260" s="42" t="s">
        <v>763</v>
      </c>
      <c r="H3260" s="42" t="s">
        <v>131</v>
      </c>
      <c r="I3260" s="42" t="s">
        <v>893</v>
      </c>
    </row>
    <row r="3261" spans="1:9">
      <c r="A3261" s="42" t="s">
        <v>897</v>
      </c>
      <c r="B3261" s="42" t="s">
        <v>317</v>
      </c>
      <c r="C3261" s="42" t="s">
        <v>967</v>
      </c>
      <c r="D3261" s="42" t="s">
        <v>171</v>
      </c>
      <c r="E3261" s="42" t="s">
        <v>808</v>
      </c>
      <c r="F3261" s="45">
        <v>84000000</v>
      </c>
      <c r="G3261" s="42" t="s">
        <v>763</v>
      </c>
      <c r="H3261" s="42" t="s">
        <v>131</v>
      </c>
      <c r="I3261" s="42" t="s">
        <v>893</v>
      </c>
    </row>
    <row r="3262" spans="1:9">
      <c r="A3262" s="42" t="s">
        <v>897</v>
      </c>
      <c r="B3262" s="42" t="s">
        <v>318</v>
      </c>
      <c r="C3262" s="42" t="s">
        <v>904</v>
      </c>
      <c r="D3262" s="42" t="s">
        <v>171</v>
      </c>
      <c r="E3262" s="42" t="s">
        <v>808</v>
      </c>
      <c r="F3262" s="45">
        <v>85000000</v>
      </c>
      <c r="G3262" s="42" t="s">
        <v>763</v>
      </c>
      <c r="H3262" s="42" t="s">
        <v>131</v>
      </c>
      <c r="I3262" s="42" t="s">
        <v>893</v>
      </c>
    </row>
    <row r="3263" spans="1:9">
      <c r="A3263" s="42" t="s">
        <v>897</v>
      </c>
      <c r="B3263" s="42" t="s">
        <v>319</v>
      </c>
      <c r="C3263" s="42" t="s">
        <v>907</v>
      </c>
      <c r="D3263" s="42" t="s">
        <v>171</v>
      </c>
      <c r="E3263" s="42" t="s">
        <v>808</v>
      </c>
      <c r="F3263" s="45">
        <v>99000000</v>
      </c>
      <c r="G3263" s="42" t="s">
        <v>763</v>
      </c>
      <c r="H3263" s="42" t="s">
        <v>131</v>
      </c>
      <c r="I3263" s="42" t="s">
        <v>893</v>
      </c>
    </row>
    <row r="3264" spans="1:9">
      <c r="A3264" s="42" t="s">
        <v>897</v>
      </c>
      <c r="B3264" s="42" t="s">
        <v>320</v>
      </c>
      <c r="C3264" s="42" t="s">
        <v>1048</v>
      </c>
      <c r="D3264" s="42" t="s">
        <v>171</v>
      </c>
      <c r="E3264" s="42" t="s">
        <v>808</v>
      </c>
      <c r="F3264" s="45">
        <v>29000000</v>
      </c>
      <c r="G3264" s="42" t="s">
        <v>763</v>
      </c>
      <c r="H3264" s="42" t="s">
        <v>131</v>
      </c>
      <c r="I3264" s="42" t="s">
        <v>893</v>
      </c>
    </row>
    <row r="3265" spans="1:9">
      <c r="A3265" s="42" t="s">
        <v>897</v>
      </c>
      <c r="B3265" s="42" t="s">
        <v>251</v>
      </c>
      <c r="C3265" s="42" t="s">
        <v>909</v>
      </c>
      <c r="D3265" s="42" t="s">
        <v>171</v>
      </c>
      <c r="E3265" s="42" t="s">
        <v>808</v>
      </c>
      <c r="F3265" s="45">
        <v>4000000</v>
      </c>
      <c r="G3265" s="42" t="s">
        <v>763</v>
      </c>
      <c r="H3265" s="42" t="s">
        <v>131</v>
      </c>
      <c r="I3265" s="42" t="s">
        <v>893</v>
      </c>
    </row>
    <row r="3266" spans="1:9">
      <c r="A3266" s="42" t="s">
        <v>897</v>
      </c>
      <c r="B3266" s="42" t="s">
        <v>293</v>
      </c>
      <c r="C3266" s="42" t="s">
        <v>912</v>
      </c>
      <c r="D3266" s="42" t="s">
        <v>171</v>
      </c>
      <c r="E3266" s="42" t="s">
        <v>808</v>
      </c>
      <c r="F3266" s="45">
        <v>144000000</v>
      </c>
      <c r="G3266" s="42" t="s">
        <v>763</v>
      </c>
      <c r="H3266" s="42" t="s">
        <v>131</v>
      </c>
      <c r="I3266" s="42" t="s">
        <v>893</v>
      </c>
    </row>
    <row r="3267" spans="1:9">
      <c r="A3267" s="42" t="s">
        <v>897</v>
      </c>
      <c r="B3267" s="42" t="s">
        <v>369</v>
      </c>
      <c r="C3267" s="42" t="s">
        <v>970</v>
      </c>
      <c r="D3267" s="42" t="s">
        <v>171</v>
      </c>
      <c r="E3267" s="42" t="s">
        <v>808</v>
      </c>
      <c r="F3267" s="45">
        <v>-49030719.88841833</v>
      </c>
      <c r="G3267" s="42" t="s">
        <v>763</v>
      </c>
      <c r="H3267" s="42" t="s">
        <v>121</v>
      </c>
      <c r="I3267" s="42" t="s">
        <v>886</v>
      </c>
    </row>
    <row r="3268" spans="1:9">
      <c r="A3268" s="42" t="s">
        <v>897</v>
      </c>
      <c r="B3268" s="42" t="s">
        <v>292</v>
      </c>
      <c r="C3268" s="42" t="s">
        <v>913</v>
      </c>
      <c r="D3268" s="42" t="s">
        <v>171</v>
      </c>
      <c r="E3268" s="42" t="s">
        <v>808</v>
      </c>
      <c r="F3268" s="45">
        <v>41000000</v>
      </c>
      <c r="G3268" s="42" t="s">
        <v>763</v>
      </c>
      <c r="H3268" s="42" t="s">
        <v>131</v>
      </c>
      <c r="I3268" s="42" t="s">
        <v>893</v>
      </c>
    </row>
    <row r="3269" spans="1:9">
      <c r="A3269" s="42" t="s">
        <v>897</v>
      </c>
      <c r="B3269" s="42" t="s">
        <v>241</v>
      </c>
      <c r="C3269" s="42" t="s">
        <v>914</v>
      </c>
      <c r="D3269" s="42" t="s">
        <v>171</v>
      </c>
      <c r="E3269" s="42" t="s">
        <v>808</v>
      </c>
      <c r="F3269" s="45">
        <v>-126000000</v>
      </c>
      <c r="G3269" s="42" t="s">
        <v>763</v>
      </c>
      <c r="H3269" s="42" t="s">
        <v>131</v>
      </c>
      <c r="I3269" s="42" t="s">
        <v>893</v>
      </c>
    </row>
    <row r="3270" spans="1:9">
      <c r="A3270" s="42" t="s">
        <v>897</v>
      </c>
      <c r="B3270" s="42" t="s">
        <v>310</v>
      </c>
      <c r="C3270" s="42" t="s">
        <v>915</v>
      </c>
      <c r="D3270" s="42" t="s">
        <v>171</v>
      </c>
      <c r="E3270" s="42" t="s">
        <v>808</v>
      </c>
      <c r="F3270" s="45">
        <v>27000000</v>
      </c>
      <c r="G3270" s="42" t="s">
        <v>763</v>
      </c>
      <c r="H3270" s="42" t="s">
        <v>131</v>
      </c>
      <c r="I3270" s="42" t="s">
        <v>893</v>
      </c>
    </row>
    <row r="3271" spans="1:9">
      <c r="A3271" s="42" t="s">
        <v>897</v>
      </c>
      <c r="B3271" s="42" t="s">
        <v>305</v>
      </c>
      <c r="C3271" s="42" t="s">
        <v>916</v>
      </c>
      <c r="D3271" s="42" t="s">
        <v>171</v>
      </c>
      <c r="E3271" s="42" t="s">
        <v>808</v>
      </c>
      <c r="F3271" s="45">
        <v>-7000000</v>
      </c>
      <c r="G3271" s="42" t="s">
        <v>763</v>
      </c>
      <c r="H3271" s="42" t="s">
        <v>131</v>
      </c>
      <c r="I3271" s="42" t="s">
        <v>893</v>
      </c>
    </row>
    <row r="3272" spans="1:9">
      <c r="A3272" s="42" t="s">
        <v>897</v>
      </c>
      <c r="B3272" s="42" t="s">
        <v>306</v>
      </c>
      <c r="C3272" s="42" t="s">
        <v>917</v>
      </c>
      <c r="D3272" s="42" t="s">
        <v>171</v>
      </c>
      <c r="E3272" s="42" t="s">
        <v>808</v>
      </c>
      <c r="F3272" s="45">
        <v>-58000000</v>
      </c>
      <c r="G3272" s="42" t="s">
        <v>763</v>
      </c>
      <c r="H3272" s="42" t="s">
        <v>131</v>
      </c>
      <c r="I3272" s="42" t="s">
        <v>893</v>
      </c>
    </row>
    <row r="3273" spans="1:9">
      <c r="A3273" s="42" t="s">
        <v>897</v>
      </c>
      <c r="B3273" s="42" t="s">
        <v>309</v>
      </c>
      <c r="C3273" s="42" t="s">
        <v>918</v>
      </c>
      <c r="D3273" s="42" t="s">
        <v>171</v>
      </c>
      <c r="E3273" s="42" t="s">
        <v>808</v>
      </c>
      <c r="F3273" s="45">
        <v>-9000000</v>
      </c>
      <c r="G3273" s="42" t="s">
        <v>763</v>
      </c>
      <c r="H3273" s="42" t="s">
        <v>131</v>
      </c>
      <c r="I3273" s="42" t="s">
        <v>893</v>
      </c>
    </row>
    <row r="3274" spans="1:9">
      <c r="A3274" s="42" t="s">
        <v>897</v>
      </c>
      <c r="B3274" s="42" t="s">
        <v>325</v>
      </c>
      <c r="C3274" s="42" t="s">
        <v>919</v>
      </c>
      <c r="D3274" s="42" t="s">
        <v>171</v>
      </c>
      <c r="E3274" s="42" t="s">
        <v>808</v>
      </c>
      <c r="F3274" s="45">
        <v>-48000000</v>
      </c>
      <c r="G3274" s="42" t="s">
        <v>763</v>
      </c>
      <c r="H3274" s="42" t="s">
        <v>131</v>
      </c>
      <c r="I3274" s="42" t="s">
        <v>893</v>
      </c>
    </row>
    <row r="3275" spans="1:9">
      <c r="A3275" s="42" t="s">
        <v>897</v>
      </c>
      <c r="B3275" s="42" t="s">
        <v>242</v>
      </c>
      <c r="C3275" s="42" t="s">
        <v>920</v>
      </c>
      <c r="D3275" s="42" t="s">
        <v>171</v>
      </c>
      <c r="E3275" s="42" t="s">
        <v>808</v>
      </c>
      <c r="F3275" s="45">
        <v>-9000000</v>
      </c>
      <c r="G3275" s="42" t="s">
        <v>763</v>
      </c>
      <c r="H3275" s="42" t="s">
        <v>131</v>
      </c>
      <c r="I3275" s="42" t="s">
        <v>893</v>
      </c>
    </row>
    <row r="3276" spans="1:9">
      <c r="A3276" s="42" t="s">
        <v>897</v>
      </c>
      <c r="B3276" s="42" t="s">
        <v>302</v>
      </c>
      <c r="C3276" s="42" t="s">
        <v>921</v>
      </c>
      <c r="D3276" s="42" t="s">
        <v>171</v>
      </c>
      <c r="E3276" s="42" t="s">
        <v>808</v>
      </c>
      <c r="F3276" s="45">
        <v>17000000</v>
      </c>
      <c r="G3276" s="42" t="s">
        <v>763</v>
      </c>
      <c r="H3276" s="42" t="s">
        <v>131</v>
      </c>
      <c r="I3276" s="42" t="s">
        <v>893</v>
      </c>
    </row>
    <row r="3277" spans="1:9">
      <c r="A3277" s="42" t="s">
        <v>897</v>
      </c>
      <c r="B3277" s="42" t="s">
        <v>326</v>
      </c>
      <c r="C3277" s="42" t="s">
        <v>922</v>
      </c>
      <c r="D3277" s="42" t="s">
        <v>171</v>
      </c>
      <c r="E3277" s="42" t="s">
        <v>808</v>
      </c>
      <c r="F3277" s="45">
        <v>198000000</v>
      </c>
      <c r="G3277" s="42" t="s">
        <v>763</v>
      </c>
      <c r="H3277" s="42" t="s">
        <v>131</v>
      </c>
      <c r="I3277" s="42" t="s">
        <v>893</v>
      </c>
    </row>
    <row r="3278" spans="1:9">
      <c r="A3278" s="42" t="s">
        <v>897</v>
      </c>
      <c r="B3278" s="42" t="s">
        <v>327</v>
      </c>
      <c r="C3278" s="42" t="s">
        <v>1009</v>
      </c>
      <c r="D3278" s="42" t="s">
        <v>171</v>
      </c>
      <c r="E3278" s="42" t="s">
        <v>808</v>
      </c>
      <c r="F3278" s="45">
        <v>322810.3040333372</v>
      </c>
      <c r="G3278" s="42" t="s">
        <v>763</v>
      </c>
      <c r="H3278" s="42" t="s">
        <v>121</v>
      </c>
      <c r="I3278" s="42" t="s">
        <v>893</v>
      </c>
    </row>
    <row r="3279" spans="1:9">
      <c r="A3279" s="42" t="s">
        <v>897</v>
      </c>
      <c r="B3279" s="42" t="s">
        <v>328</v>
      </c>
      <c r="C3279" s="42" t="s">
        <v>924</v>
      </c>
      <c r="D3279" s="42" t="s">
        <v>171</v>
      </c>
      <c r="E3279" s="42" t="s">
        <v>808</v>
      </c>
      <c r="F3279" s="45">
        <v>-1000000</v>
      </c>
      <c r="G3279" s="42" t="s">
        <v>763</v>
      </c>
      <c r="H3279" s="42" t="s">
        <v>131</v>
      </c>
      <c r="I3279" s="42" t="s">
        <v>893</v>
      </c>
    </row>
    <row r="3280" spans="1:9">
      <c r="A3280" s="42" t="s">
        <v>897</v>
      </c>
      <c r="B3280" s="42" t="s">
        <v>329</v>
      </c>
      <c r="C3280" s="42" t="s">
        <v>925</v>
      </c>
      <c r="D3280" s="42" t="s">
        <v>171</v>
      </c>
      <c r="E3280" s="42" t="s">
        <v>808</v>
      </c>
      <c r="F3280" s="45">
        <v>1497000000</v>
      </c>
      <c r="G3280" s="42" t="s">
        <v>763</v>
      </c>
      <c r="H3280" s="42" t="s">
        <v>131</v>
      </c>
      <c r="I3280" s="42" t="s">
        <v>893</v>
      </c>
    </row>
    <row r="3281" spans="1:9">
      <c r="A3281" s="42" t="s">
        <v>897</v>
      </c>
      <c r="B3281" s="42" t="s">
        <v>372</v>
      </c>
      <c r="C3281" s="42" t="s">
        <v>926</v>
      </c>
      <c r="D3281" s="42" t="s">
        <v>171</v>
      </c>
      <c r="E3281" s="42" t="s">
        <v>808</v>
      </c>
      <c r="F3281" s="45">
        <v>128000000</v>
      </c>
      <c r="G3281" s="42" t="s">
        <v>763</v>
      </c>
      <c r="H3281" s="42" t="s">
        <v>131</v>
      </c>
      <c r="I3281" s="42" t="s">
        <v>896</v>
      </c>
    </row>
    <row r="3282" spans="1:9">
      <c r="A3282" s="42" t="s">
        <v>897</v>
      </c>
      <c r="B3282" s="42" t="s">
        <v>373</v>
      </c>
      <c r="C3282" s="42" t="s">
        <v>1032</v>
      </c>
      <c r="D3282" s="42" t="s">
        <v>171</v>
      </c>
      <c r="E3282" s="42" t="s">
        <v>808</v>
      </c>
      <c r="F3282" s="45">
        <v>-82000000</v>
      </c>
      <c r="G3282" s="42" t="s">
        <v>763</v>
      </c>
      <c r="H3282" s="42" t="s">
        <v>131</v>
      </c>
      <c r="I3282" s="42" t="s">
        <v>896</v>
      </c>
    </row>
    <row r="3283" spans="1:9">
      <c r="A3283" s="42" t="s">
        <v>897</v>
      </c>
      <c r="B3283" s="42" t="s">
        <v>375</v>
      </c>
      <c r="C3283" s="42" t="s">
        <v>1033</v>
      </c>
      <c r="D3283" s="42" t="s">
        <v>171</v>
      </c>
      <c r="E3283" s="42" t="s">
        <v>808</v>
      </c>
      <c r="F3283" s="45">
        <v>2000000</v>
      </c>
      <c r="G3283" s="42" t="s">
        <v>763</v>
      </c>
      <c r="H3283" s="42" t="s">
        <v>131</v>
      </c>
      <c r="I3283" s="42" t="s">
        <v>891</v>
      </c>
    </row>
    <row r="3284" spans="1:9">
      <c r="A3284" s="42" t="s">
        <v>897</v>
      </c>
      <c r="B3284" s="42" t="s">
        <v>330</v>
      </c>
      <c r="C3284" s="42" t="s">
        <v>927</v>
      </c>
      <c r="D3284" s="42" t="s">
        <v>171</v>
      </c>
      <c r="E3284" s="42" t="s">
        <v>808</v>
      </c>
      <c r="F3284" s="45">
        <v>-1262000000</v>
      </c>
      <c r="G3284" s="42" t="s">
        <v>763</v>
      </c>
      <c r="H3284" s="42" t="s">
        <v>131</v>
      </c>
      <c r="I3284" s="42" t="s">
        <v>893</v>
      </c>
    </row>
    <row r="3285" spans="1:9">
      <c r="A3285" s="42" t="s">
        <v>897</v>
      </c>
      <c r="B3285" s="42" t="s">
        <v>332</v>
      </c>
      <c r="C3285" s="42" t="s">
        <v>932</v>
      </c>
      <c r="D3285" s="42" t="s">
        <v>171</v>
      </c>
      <c r="E3285" s="42" t="s">
        <v>808</v>
      </c>
      <c r="F3285" s="45">
        <v>-2000000</v>
      </c>
      <c r="G3285" s="42" t="s">
        <v>763</v>
      </c>
      <c r="H3285" s="42" t="s">
        <v>131</v>
      </c>
      <c r="I3285" s="42" t="s">
        <v>893</v>
      </c>
    </row>
    <row r="3286" spans="1:9">
      <c r="A3286" s="42" t="s">
        <v>897</v>
      </c>
      <c r="B3286" s="42" t="s">
        <v>334</v>
      </c>
      <c r="C3286" s="42" t="s">
        <v>933</v>
      </c>
      <c r="D3286" s="42" t="s">
        <v>171</v>
      </c>
      <c r="E3286" s="42" t="s">
        <v>808</v>
      </c>
      <c r="F3286" s="45">
        <v>27000000</v>
      </c>
      <c r="G3286" s="42" t="s">
        <v>763</v>
      </c>
      <c r="H3286" s="42" t="s">
        <v>131</v>
      </c>
      <c r="I3286" s="42" t="s">
        <v>893</v>
      </c>
    </row>
    <row r="3287" spans="1:9">
      <c r="A3287" s="42" t="s">
        <v>897</v>
      </c>
      <c r="B3287" s="42" t="s">
        <v>336</v>
      </c>
      <c r="C3287" s="42" t="s">
        <v>938</v>
      </c>
      <c r="D3287" s="42" t="s">
        <v>171</v>
      </c>
      <c r="E3287" s="42" t="s">
        <v>808</v>
      </c>
      <c r="F3287" s="45">
        <v>-1189000000</v>
      </c>
      <c r="G3287" s="42" t="s">
        <v>763</v>
      </c>
      <c r="H3287" s="42" t="s">
        <v>131</v>
      </c>
      <c r="I3287" s="42" t="s">
        <v>893</v>
      </c>
    </row>
    <row r="3288" spans="1:9">
      <c r="A3288" s="42" t="s">
        <v>897</v>
      </c>
      <c r="B3288" s="42" t="s">
        <v>337</v>
      </c>
      <c r="C3288" s="42" t="s">
        <v>991</v>
      </c>
      <c r="D3288" s="42" t="s">
        <v>171</v>
      </c>
      <c r="E3288" s="42" t="s">
        <v>808</v>
      </c>
      <c r="F3288" s="45">
        <v>-133000000</v>
      </c>
      <c r="G3288" s="42" t="s">
        <v>763</v>
      </c>
      <c r="H3288" s="42" t="s">
        <v>131</v>
      </c>
      <c r="I3288" s="42" t="s">
        <v>893</v>
      </c>
    </row>
    <row r="3289" spans="1:9">
      <c r="A3289" s="42" t="s">
        <v>897</v>
      </c>
      <c r="B3289" s="42" t="s">
        <v>338</v>
      </c>
      <c r="C3289" s="42" t="s">
        <v>972</v>
      </c>
      <c r="D3289" s="42" t="s">
        <v>171</v>
      </c>
      <c r="E3289" s="42" t="s">
        <v>808</v>
      </c>
      <c r="F3289" s="45">
        <v>-157000000</v>
      </c>
      <c r="G3289" s="42" t="s">
        <v>763</v>
      </c>
      <c r="H3289" s="42" t="s">
        <v>131</v>
      </c>
      <c r="I3289" s="42" t="s">
        <v>893</v>
      </c>
    </row>
    <row r="3290" spans="1:9">
      <c r="A3290" s="42" t="s">
        <v>897</v>
      </c>
      <c r="B3290" s="42" t="s">
        <v>939</v>
      </c>
      <c r="C3290" s="42" t="s">
        <v>973</v>
      </c>
      <c r="D3290" s="42" t="s">
        <v>171</v>
      </c>
      <c r="E3290" s="42" t="s">
        <v>808</v>
      </c>
      <c r="F3290" s="45">
        <v>472000000</v>
      </c>
      <c r="G3290" s="42" t="s">
        <v>763</v>
      </c>
      <c r="H3290" s="42" t="s">
        <v>131</v>
      </c>
      <c r="I3290" s="42" t="s">
        <v>893</v>
      </c>
    </row>
    <row r="3291" spans="1:9">
      <c r="A3291" s="42" t="s">
        <v>897</v>
      </c>
      <c r="B3291" s="42" t="s">
        <v>340</v>
      </c>
      <c r="C3291" s="42" t="s">
        <v>1034</v>
      </c>
      <c r="D3291" s="42" t="s">
        <v>171</v>
      </c>
      <c r="E3291" s="42" t="s">
        <v>808</v>
      </c>
      <c r="F3291" s="45">
        <v>-70000000</v>
      </c>
      <c r="G3291" s="42" t="s">
        <v>763</v>
      </c>
      <c r="H3291" s="42" t="s">
        <v>131</v>
      </c>
      <c r="I3291" s="42" t="s">
        <v>893</v>
      </c>
    </row>
    <row r="3292" spans="1:9">
      <c r="A3292" s="42" t="s">
        <v>897</v>
      </c>
      <c r="B3292" s="42" t="s">
        <v>342</v>
      </c>
      <c r="C3292" s="42" t="s">
        <v>1014</v>
      </c>
      <c r="D3292" s="42" t="s">
        <v>171</v>
      </c>
      <c r="E3292" s="42" t="s">
        <v>808</v>
      </c>
      <c r="F3292" s="45">
        <v>-92000000</v>
      </c>
      <c r="G3292" s="42" t="s">
        <v>763</v>
      </c>
      <c r="H3292" s="42" t="s">
        <v>131</v>
      </c>
      <c r="I3292" s="42" t="s">
        <v>893</v>
      </c>
    </row>
    <row r="3293" spans="1:9">
      <c r="A3293" s="42" t="s">
        <v>897</v>
      </c>
      <c r="B3293" s="42" t="s">
        <v>343</v>
      </c>
      <c r="C3293" s="42" t="s">
        <v>1016</v>
      </c>
      <c r="D3293" s="42" t="s">
        <v>171</v>
      </c>
      <c r="E3293" s="42" t="s">
        <v>808</v>
      </c>
      <c r="F3293" s="45">
        <v>-3000000</v>
      </c>
      <c r="G3293" s="42" t="s">
        <v>763</v>
      </c>
      <c r="H3293" s="42" t="s">
        <v>131</v>
      </c>
      <c r="I3293" s="42" t="s">
        <v>893</v>
      </c>
    </row>
    <row r="3294" spans="1:9">
      <c r="A3294" s="42" t="s">
        <v>897</v>
      </c>
      <c r="B3294" s="42" t="s">
        <v>344</v>
      </c>
      <c r="C3294" s="42" t="s">
        <v>980</v>
      </c>
      <c r="D3294" s="42" t="s">
        <v>171</v>
      </c>
      <c r="E3294" s="42" t="s">
        <v>808</v>
      </c>
      <c r="F3294" s="45">
        <v>17000000</v>
      </c>
      <c r="G3294" s="42" t="s">
        <v>763</v>
      </c>
      <c r="H3294" s="42" t="s">
        <v>131</v>
      </c>
      <c r="I3294" s="42" t="s">
        <v>893</v>
      </c>
    </row>
    <row r="3295" spans="1:9">
      <c r="A3295" s="42" t="s">
        <v>897</v>
      </c>
      <c r="B3295" s="42" t="s">
        <v>345</v>
      </c>
      <c r="C3295" s="42" t="s">
        <v>1035</v>
      </c>
      <c r="D3295" s="42" t="s">
        <v>171</v>
      </c>
      <c r="E3295" s="42" t="s">
        <v>808</v>
      </c>
      <c r="F3295" s="45">
        <v>-84000000</v>
      </c>
      <c r="G3295" s="42" t="s">
        <v>763</v>
      </c>
      <c r="H3295" s="42" t="s">
        <v>131</v>
      </c>
      <c r="I3295" s="42" t="s">
        <v>893</v>
      </c>
    </row>
    <row r="3296" spans="1:9">
      <c r="A3296" s="42" t="s">
        <v>897</v>
      </c>
      <c r="B3296" s="42" t="s">
        <v>346</v>
      </c>
      <c r="C3296" s="42" t="s">
        <v>956</v>
      </c>
      <c r="D3296" s="42" t="s">
        <v>171</v>
      </c>
      <c r="E3296" s="42" t="s">
        <v>808</v>
      </c>
      <c r="F3296" s="45">
        <v>241000000</v>
      </c>
      <c r="G3296" s="42" t="s">
        <v>763</v>
      </c>
      <c r="H3296" s="42" t="s">
        <v>131</v>
      </c>
      <c r="I3296" s="42" t="s">
        <v>893</v>
      </c>
    </row>
    <row r="3297" spans="1:9">
      <c r="A3297" s="42" t="s">
        <v>897</v>
      </c>
      <c r="B3297" s="42" t="s">
        <v>347</v>
      </c>
      <c r="C3297" s="42" t="s">
        <v>981</v>
      </c>
      <c r="D3297" s="42" t="s">
        <v>171</v>
      </c>
      <c r="E3297" s="42" t="s">
        <v>808</v>
      </c>
      <c r="F3297" s="45">
        <v>773000000</v>
      </c>
      <c r="G3297" s="42" t="s">
        <v>763</v>
      </c>
      <c r="H3297" s="42" t="s">
        <v>131</v>
      </c>
      <c r="I3297" s="42" t="s">
        <v>893</v>
      </c>
    </row>
    <row r="3298" spans="1:9">
      <c r="A3298" s="42" t="s">
        <v>897</v>
      </c>
      <c r="B3298" s="42" t="s">
        <v>348</v>
      </c>
      <c r="C3298" s="42" t="s">
        <v>982</v>
      </c>
      <c r="D3298" s="42" t="s">
        <v>171</v>
      </c>
      <c r="E3298" s="42" t="s">
        <v>808</v>
      </c>
      <c r="F3298" s="45">
        <v>1014000000</v>
      </c>
      <c r="G3298" s="42" t="s">
        <v>763</v>
      </c>
      <c r="H3298" s="42" t="s">
        <v>131</v>
      </c>
      <c r="I3298" s="42" t="s">
        <v>893</v>
      </c>
    </row>
    <row r="3299" spans="1:9">
      <c r="A3299" s="42" t="s">
        <v>897</v>
      </c>
      <c r="B3299" s="42" t="s">
        <v>346</v>
      </c>
      <c r="C3299" s="42" t="s">
        <v>961</v>
      </c>
      <c r="D3299" s="42" t="s">
        <v>171</v>
      </c>
      <c r="E3299" s="42" t="s">
        <v>808</v>
      </c>
      <c r="F3299" s="45">
        <v>241000000</v>
      </c>
      <c r="G3299" s="42" t="s">
        <v>763</v>
      </c>
      <c r="H3299" s="42" t="s">
        <v>131</v>
      </c>
      <c r="I3299" s="42" t="s">
        <v>893</v>
      </c>
    </row>
    <row r="3300" spans="1:9">
      <c r="A3300" s="42" t="s">
        <v>897</v>
      </c>
      <c r="B3300" s="42" t="s">
        <v>313</v>
      </c>
      <c r="C3300" s="42" t="s">
        <v>994</v>
      </c>
      <c r="D3300" s="42" t="s">
        <v>172</v>
      </c>
      <c r="E3300" s="42" t="s">
        <v>808</v>
      </c>
      <c r="F3300" s="45">
        <v>380000000</v>
      </c>
      <c r="G3300" s="42" t="s">
        <v>1001</v>
      </c>
      <c r="H3300" s="42" t="s">
        <v>1075</v>
      </c>
      <c r="I3300" s="42" t="s">
        <v>893</v>
      </c>
    </row>
    <row r="3301" spans="1:9">
      <c r="A3301" s="42" t="s">
        <v>897</v>
      </c>
      <c r="B3301" s="42" t="s">
        <v>201</v>
      </c>
      <c r="C3301" s="42" t="s">
        <v>966</v>
      </c>
      <c r="D3301" s="42" t="s">
        <v>172</v>
      </c>
      <c r="E3301" s="42" t="s">
        <v>808</v>
      </c>
      <c r="F3301" s="45">
        <v>-94000000</v>
      </c>
      <c r="G3301" s="42" t="s">
        <v>1001</v>
      </c>
      <c r="H3301" s="42" t="s">
        <v>1075</v>
      </c>
      <c r="I3301" s="42" t="s">
        <v>893</v>
      </c>
    </row>
    <row r="3302" spans="1:9">
      <c r="A3302" s="42" t="s">
        <v>897</v>
      </c>
      <c r="B3302" s="42" t="s">
        <v>314</v>
      </c>
      <c r="C3302" s="42" t="s">
        <v>900</v>
      </c>
      <c r="D3302" s="42" t="s">
        <v>172</v>
      </c>
      <c r="E3302" s="42" t="s">
        <v>808</v>
      </c>
      <c r="F3302" s="45">
        <v>791000000</v>
      </c>
      <c r="G3302" s="42" t="s">
        <v>1001</v>
      </c>
      <c r="H3302" s="42" t="s">
        <v>1075</v>
      </c>
      <c r="I3302" s="42" t="s">
        <v>893</v>
      </c>
    </row>
    <row r="3303" spans="1:9">
      <c r="A3303" s="42" t="s">
        <v>897</v>
      </c>
      <c r="B3303" s="42" t="s">
        <v>315</v>
      </c>
      <c r="C3303" s="42" t="s">
        <v>901</v>
      </c>
      <c r="D3303" s="42" t="s">
        <v>172</v>
      </c>
      <c r="E3303" s="42" t="s">
        <v>808</v>
      </c>
      <c r="F3303" s="45">
        <v>9000000</v>
      </c>
      <c r="G3303" s="42" t="s">
        <v>1001</v>
      </c>
      <c r="H3303" s="42" t="s">
        <v>1075</v>
      </c>
      <c r="I3303" s="42" t="s">
        <v>893</v>
      </c>
    </row>
    <row r="3304" spans="1:9">
      <c r="A3304" s="42" t="s">
        <v>897</v>
      </c>
      <c r="B3304" s="42" t="s">
        <v>316</v>
      </c>
      <c r="C3304" s="42" t="s">
        <v>1004</v>
      </c>
      <c r="D3304" s="42" t="s">
        <v>172</v>
      </c>
      <c r="E3304" s="42" t="s">
        <v>808</v>
      </c>
      <c r="F3304" s="45">
        <v>54000000</v>
      </c>
      <c r="G3304" s="42" t="s">
        <v>1001</v>
      </c>
      <c r="H3304" s="42" t="s">
        <v>1075</v>
      </c>
      <c r="I3304" s="42" t="s">
        <v>893</v>
      </c>
    </row>
    <row r="3305" spans="1:9">
      <c r="A3305" s="42" t="s">
        <v>897</v>
      </c>
      <c r="B3305" s="42" t="s">
        <v>317</v>
      </c>
      <c r="C3305" s="42" t="s">
        <v>967</v>
      </c>
      <c r="D3305" s="42" t="s">
        <v>172</v>
      </c>
      <c r="E3305" s="42" t="s">
        <v>808</v>
      </c>
      <c r="F3305" s="45">
        <v>79000000</v>
      </c>
      <c r="G3305" s="42" t="s">
        <v>1001</v>
      </c>
      <c r="H3305" s="42" t="s">
        <v>1075</v>
      </c>
      <c r="I3305" s="42" t="s">
        <v>893</v>
      </c>
    </row>
    <row r="3306" spans="1:9">
      <c r="A3306" s="42" t="s">
        <v>897</v>
      </c>
      <c r="B3306" s="42" t="s">
        <v>318</v>
      </c>
      <c r="C3306" s="42" t="s">
        <v>904</v>
      </c>
      <c r="D3306" s="42" t="s">
        <v>172</v>
      </c>
      <c r="E3306" s="42" t="s">
        <v>808</v>
      </c>
      <c r="F3306" s="45">
        <v>75000000</v>
      </c>
      <c r="G3306" s="42" t="s">
        <v>1001</v>
      </c>
      <c r="H3306" s="42" t="s">
        <v>1075</v>
      </c>
      <c r="I3306" s="42" t="s">
        <v>893</v>
      </c>
    </row>
    <row r="3307" spans="1:9">
      <c r="A3307" s="42" t="s">
        <v>897</v>
      </c>
      <c r="B3307" s="42" t="s">
        <v>319</v>
      </c>
      <c r="C3307" s="42" t="s">
        <v>907</v>
      </c>
      <c r="D3307" s="42" t="s">
        <v>172</v>
      </c>
      <c r="E3307" s="42" t="s">
        <v>808</v>
      </c>
      <c r="F3307" s="45">
        <v>98000000</v>
      </c>
      <c r="G3307" s="42" t="s">
        <v>1001</v>
      </c>
      <c r="H3307" s="42" t="s">
        <v>1075</v>
      </c>
      <c r="I3307" s="42" t="s">
        <v>893</v>
      </c>
    </row>
    <row r="3308" spans="1:9">
      <c r="A3308" s="42" t="s">
        <v>897</v>
      </c>
      <c r="B3308" s="42" t="s">
        <v>320</v>
      </c>
      <c r="C3308" s="42" t="s">
        <v>1048</v>
      </c>
      <c r="D3308" s="42" t="s">
        <v>172</v>
      </c>
      <c r="E3308" s="42" t="s">
        <v>808</v>
      </c>
      <c r="F3308" s="45">
        <v>-34000000</v>
      </c>
      <c r="G3308" s="42" t="s">
        <v>1001</v>
      </c>
      <c r="H3308" s="42" t="s">
        <v>1075</v>
      </c>
      <c r="I3308" s="42" t="s">
        <v>893</v>
      </c>
    </row>
    <row r="3309" spans="1:9">
      <c r="A3309" s="42" t="s">
        <v>897</v>
      </c>
      <c r="B3309" s="42" t="s">
        <v>251</v>
      </c>
      <c r="C3309" s="42" t="s">
        <v>909</v>
      </c>
      <c r="D3309" s="42" t="s">
        <v>172</v>
      </c>
      <c r="E3309" s="42" t="s">
        <v>808</v>
      </c>
      <c r="F3309" s="45">
        <v>8000000</v>
      </c>
      <c r="G3309" s="42" t="s">
        <v>1001</v>
      </c>
      <c r="H3309" s="42" t="s">
        <v>1075</v>
      </c>
      <c r="I3309" s="42" t="s">
        <v>893</v>
      </c>
    </row>
    <row r="3310" spans="1:9">
      <c r="A3310" s="42" t="s">
        <v>897</v>
      </c>
      <c r="B3310" s="42" t="s">
        <v>293</v>
      </c>
      <c r="C3310" s="42" t="s">
        <v>912</v>
      </c>
      <c r="D3310" s="42" t="s">
        <v>172</v>
      </c>
      <c r="E3310" s="42" t="s">
        <v>808</v>
      </c>
      <c r="F3310" s="45">
        <v>-175000000</v>
      </c>
      <c r="G3310" s="42" t="s">
        <v>1001</v>
      </c>
      <c r="H3310" s="42" t="s">
        <v>1075</v>
      </c>
      <c r="I3310" s="42" t="s">
        <v>893</v>
      </c>
    </row>
    <row r="3311" spans="1:9">
      <c r="A3311" s="42" t="s">
        <v>897</v>
      </c>
      <c r="B3311" s="42" t="s">
        <v>369</v>
      </c>
      <c r="C3311" s="42" t="s">
        <v>970</v>
      </c>
      <c r="D3311" s="42" t="s">
        <v>172</v>
      </c>
      <c r="E3311" s="42" t="s">
        <v>808</v>
      </c>
      <c r="F3311" s="45">
        <v>-60797979.07242569</v>
      </c>
      <c r="G3311" s="42" t="s">
        <v>1001</v>
      </c>
      <c r="H3311" s="42" t="s">
        <v>1070</v>
      </c>
      <c r="I3311" s="42" t="s">
        <v>886</v>
      </c>
    </row>
    <row r="3312" spans="1:9">
      <c r="A3312" s="42" t="s">
        <v>897</v>
      </c>
      <c r="B3312" s="42" t="s">
        <v>292</v>
      </c>
      <c r="C3312" s="42" t="s">
        <v>913</v>
      </c>
      <c r="D3312" s="42" t="s">
        <v>172</v>
      </c>
      <c r="E3312" s="42" t="s">
        <v>808</v>
      </c>
      <c r="F3312" s="45">
        <v>-177000000</v>
      </c>
      <c r="G3312" s="42" t="s">
        <v>1001</v>
      </c>
      <c r="H3312" s="42" t="s">
        <v>1075</v>
      </c>
      <c r="I3312" s="42" t="s">
        <v>893</v>
      </c>
    </row>
    <row r="3313" spans="1:9">
      <c r="A3313" s="42" t="s">
        <v>897</v>
      </c>
      <c r="B3313" s="42" t="s">
        <v>241</v>
      </c>
      <c r="C3313" s="42" t="s">
        <v>914</v>
      </c>
      <c r="D3313" s="42" t="s">
        <v>172</v>
      </c>
      <c r="E3313" s="42" t="s">
        <v>808</v>
      </c>
      <c r="F3313" s="45">
        <v>-25000000</v>
      </c>
      <c r="G3313" s="42" t="s">
        <v>1001</v>
      </c>
      <c r="H3313" s="42" t="s">
        <v>1075</v>
      </c>
      <c r="I3313" s="42" t="s">
        <v>893</v>
      </c>
    </row>
    <row r="3314" spans="1:9">
      <c r="A3314" s="42" t="s">
        <v>897</v>
      </c>
      <c r="B3314" s="42" t="s">
        <v>310</v>
      </c>
      <c r="C3314" s="42" t="s">
        <v>915</v>
      </c>
      <c r="D3314" s="42" t="s">
        <v>172</v>
      </c>
      <c r="E3314" s="42" t="s">
        <v>808</v>
      </c>
      <c r="F3314" s="45">
        <v>118000000</v>
      </c>
      <c r="G3314" s="42" t="s">
        <v>1001</v>
      </c>
      <c r="H3314" s="42" t="s">
        <v>1075</v>
      </c>
      <c r="I3314" s="42" t="s">
        <v>893</v>
      </c>
    </row>
    <row r="3315" spans="1:9">
      <c r="A3315" s="42" t="s">
        <v>897</v>
      </c>
      <c r="B3315" s="42" t="s">
        <v>305</v>
      </c>
      <c r="C3315" s="42" t="s">
        <v>916</v>
      </c>
      <c r="D3315" s="42" t="s">
        <v>172</v>
      </c>
      <c r="E3315" s="42" t="s">
        <v>808</v>
      </c>
      <c r="F3315" s="45">
        <v>61000000</v>
      </c>
      <c r="G3315" s="42" t="s">
        <v>1001</v>
      </c>
      <c r="H3315" s="42" t="s">
        <v>1075</v>
      </c>
      <c r="I3315" s="42" t="s">
        <v>893</v>
      </c>
    </row>
    <row r="3316" spans="1:9">
      <c r="A3316" s="42" t="s">
        <v>897</v>
      </c>
      <c r="B3316" s="42" t="s">
        <v>306</v>
      </c>
      <c r="C3316" s="42" t="s">
        <v>917</v>
      </c>
      <c r="D3316" s="42" t="s">
        <v>172</v>
      </c>
      <c r="E3316" s="42" t="s">
        <v>808</v>
      </c>
      <c r="F3316" s="45">
        <v>21000000</v>
      </c>
      <c r="G3316" s="42" t="s">
        <v>1001</v>
      </c>
      <c r="H3316" s="42" t="s">
        <v>1075</v>
      </c>
      <c r="I3316" s="42" t="s">
        <v>893</v>
      </c>
    </row>
    <row r="3317" spans="1:9">
      <c r="A3317" s="42" t="s">
        <v>897</v>
      </c>
      <c r="B3317" s="42" t="s">
        <v>309</v>
      </c>
      <c r="C3317" s="42" t="s">
        <v>918</v>
      </c>
      <c r="D3317" s="42" t="s">
        <v>172</v>
      </c>
      <c r="E3317" s="42" t="s">
        <v>808</v>
      </c>
      <c r="F3317" s="45">
        <v>35000000</v>
      </c>
      <c r="G3317" s="42" t="s">
        <v>1001</v>
      </c>
      <c r="H3317" s="42" t="s">
        <v>1075</v>
      </c>
      <c r="I3317" s="42" t="s">
        <v>893</v>
      </c>
    </row>
    <row r="3318" spans="1:9">
      <c r="A3318" s="42" t="s">
        <v>897</v>
      </c>
      <c r="B3318" s="42" t="s">
        <v>325</v>
      </c>
      <c r="C3318" s="42" t="s">
        <v>919</v>
      </c>
      <c r="D3318" s="42" t="s">
        <v>172</v>
      </c>
      <c r="E3318" s="42" t="s">
        <v>808</v>
      </c>
      <c r="F3318" s="45">
        <v>-57000000</v>
      </c>
      <c r="G3318" s="42" t="s">
        <v>1001</v>
      </c>
      <c r="H3318" s="42" t="s">
        <v>1075</v>
      </c>
      <c r="I3318" s="42" t="s">
        <v>893</v>
      </c>
    </row>
    <row r="3319" spans="1:9">
      <c r="A3319" s="42" t="s">
        <v>897</v>
      </c>
      <c r="B3319" s="42" t="s">
        <v>242</v>
      </c>
      <c r="C3319" s="42" t="s">
        <v>920</v>
      </c>
      <c r="D3319" s="42" t="s">
        <v>172</v>
      </c>
      <c r="E3319" s="42" t="s">
        <v>808</v>
      </c>
      <c r="F3319" s="45">
        <v>1000000</v>
      </c>
      <c r="G3319" s="42" t="s">
        <v>1001</v>
      </c>
      <c r="H3319" s="42" t="s">
        <v>1075</v>
      </c>
      <c r="I3319" s="42" t="s">
        <v>893</v>
      </c>
    </row>
    <row r="3320" spans="1:9">
      <c r="A3320" s="42" t="s">
        <v>897</v>
      </c>
      <c r="B3320" s="42" t="s">
        <v>302</v>
      </c>
      <c r="C3320" s="42" t="s">
        <v>921</v>
      </c>
      <c r="D3320" s="42" t="s">
        <v>172</v>
      </c>
      <c r="E3320" s="42" t="s">
        <v>808</v>
      </c>
      <c r="F3320" s="45">
        <v>75000000</v>
      </c>
      <c r="G3320" s="42" t="s">
        <v>1001</v>
      </c>
      <c r="H3320" s="42" t="s">
        <v>1075</v>
      </c>
      <c r="I3320" s="42" t="s">
        <v>893</v>
      </c>
    </row>
    <row r="3321" spans="1:9">
      <c r="A3321" s="42" t="s">
        <v>897</v>
      </c>
      <c r="B3321" s="42" t="s">
        <v>326</v>
      </c>
      <c r="C3321" s="42" t="s">
        <v>922</v>
      </c>
      <c r="D3321" s="42" t="s">
        <v>172</v>
      </c>
      <c r="E3321" s="42" t="s">
        <v>808</v>
      </c>
      <c r="F3321" s="45">
        <v>73000000</v>
      </c>
      <c r="G3321" s="42" t="s">
        <v>1001</v>
      </c>
      <c r="H3321" s="42" t="s">
        <v>1075</v>
      </c>
      <c r="I3321" s="42" t="s">
        <v>893</v>
      </c>
    </row>
    <row r="3322" spans="1:9">
      <c r="A3322" s="42" t="s">
        <v>897</v>
      </c>
      <c r="B3322" s="42" t="s">
        <v>327</v>
      </c>
      <c r="C3322" s="42" t="s">
        <v>1009</v>
      </c>
      <c r="D3322" s="42" t="s">
        <v>172</v>
      </c>
      <c r="E3322" s="42" t="s">
        <v>808</v>
      </c>
      <c r="F3322" s="45">
        <v>0</v>
      </c>
      <c r="G3322" s="42" t="s">
        <v>1001</v>
      </c>
      <c r="H3322" s="42" t="s">
        <v>1070</v>
      </c>
      <c r="I3322" s="42" t="s">
        <v>893</v>
      </c>
    </row>
    <row r="3323" spans="1:9">
      <c r="A3323" s="42" t="s">
        <v>897</v>
      </c>
      <c r="B3323" s="42" t="s">
        <v>328</v>
      </c>
      <c r="C3323" s="42" t="s">
        <v>924</v>
      </c>
      <c r="D3323" s="42" t="s">
        <v>172</v>
      </c>
      <c r="E3323" s="42" t="s">
        <v>808</v>
      </c>
      <c r="F3323" s="45">
        <v>-7000000</v>
      </c>
      <c r="G3323" s="42" t="s">
        <v>1001</v>
      </c>
      <c r="H3323" s="42" t="s">
        <v>1075</v>
      </c>
      <c r="I3323" s="42" t="s">
        <v>893</v>
      </c>
    </row>
    <row r="3324" spans="1:9">
      <c r="A3324" s="42" t="s">
        <v>897</v>
      </c>
      <c r="B3324" s="42" t="s">
        <v>329</v>
      </c>
      <c r="C3324" s="42" t="s">
        <v>925</v>
      </c>
      <c r="D3324" s="42" t="s">
        <v>172</v>
      </c>
      <c r="E3324" s="42" t="s">
        <v>808</v>
      </c>
      <c r="F3324" s="45">
        <v>1309000000</v>
      </c>
      <c r="G3324" s="42" t="s">
        <v>1001</v>
      </c>
      <c r="H3324" s="42" t="s">
        <v>1075</v>
      </c>
      <c r="I3324" s="42" t="s">
        <v>893</v>
      </c>
    </row>
    <row r="3325" spans="1:9">
      <c r="A3325" s="42" t="s">
        <v>897</v>
      </c>
      <c r="B3325" s="42" t="s">
        <v>372</v>
      </c>
      <c r="C3325" s="42" t="s">
        <v>926</v>
      </c>
      <c r="D3325" s="42" t="s">
        <v>172</v>
      </c>
      <c r="E3325" s="42" t="s">
        <v>808</v>
      </c>
      <c r="F3325" s="45">
        <v>199000000</v>
      </c>
      <c r="G3325" s="42" t="s">
        <v>1001</v>
      </c>
      <c r="H3325" s="42" t="s">
        <v>1075</v>
      </c>
      <c r="I3325" s="42" t="s">
        <v>896</v>
      </c>
    </row>
    <row r="3326" spans="1:9">
      <c r="A3326" s="42" t="s">
        <v>897</v>
      </c>
      <c r="B3326" s="42" t="s">
        <v>373</v>
      </c>
      <c r="C3326" s="42" t="s">
        <v>1032</v>
      </c>
      <c r="D3326" s="42" t="s">
        <v>172</v>
      </c>
      <c r="E3326" s="42" t="s">
        <v>808</v>
      </c>
      <c r="F3326" s="45">
        <v>-121000000</v>
      </c>
      <c r="G3326" s="42" t="s">
        <v>1001</v>
      </c>
      <c r="H3326" s="42" t="s">
        <v>1075</v>
      </c>
      <c r="I3326" s="42" t="s">
        <v>896</v>
      </c>
    </row>
    <row r="3327" spans="1:9">
      <c r="A3327" s="42" t="s">
        <v>897</v>
      </c>
      <c r="B3327" s="42" t="s">
        <v>375</v>
      </c>
      <c r="C3327" s="42" t="s">
        <v>1033</v>
      </c>
      <c r="D3327" s="42" t="s">
        <v>172</v>
      </c>
      <c r="E3327" s="42" t="s">
        <v>808</v>
      </c>
      <c r="F3327" s="45">
        <v>10000000</v>
      </c>
      <c r="G3327" s="42" t="s">
        <v>1001</v>
      </c>
      <c r="H3327" s="42" t="s">
        <v>1075</v>
      </c>
      <c r="I3327" s="42" t="s">
        <v>891</v>
      </c>
    </row>
    <row r="3328" spans="1:9">
      <c r="A3328" s="42" t="s">
        <v>897</v>
      </c>
      <c r="B3328" s="42" t="s">
        <v>330</v>
      </c>
      <c r="C3328" s="42" t="s">
        <v>927</v>
      </c>
      <c r="D3328" s="42" t="s">
        <v>172</v>
      </c>
      <c r="E3328" s="42" t="s">
        <v>808</v>
      </c>
      <c r="F3328" s="45">
        <v>-1366000000</v>
      </c>
      <c r="G3328" s="42" t="s">
        <v>1001</v>
      </c>
      <c r="H3328" s="42" t="s">
        <v>1075</v>
      </c>
      <c r="I3328" s="42" t="s">
        <v>893</v>
      </c>
    </row>
    <row r="3329" spans="1:9">
      <c r="A3329" s="42" t="s">
        <v>897</v>
      </c>
      <c r="B3329" s="42" t="s">
        <v>332</v>
      </c>
      <c r="C3329" s="42" t="s">
        <v>932</v>
      </c>
      <c r="D3329" s="42" t="s">
        <v>172</v>
      </c>
      <c r="E3329" s="42" t="s">
        <v>808</v>
      </c>
      <c r="F3329" s="45">
        <v>-2000000</v>
      </c>
      <c r="G3329" s="42" t="s">
        <v>1001</v>
      </c>
      <c r="H3329" s="42" t="s">
        <v>1075</v>
      </c>
      <c r="I3329" s="42" t="s">
        <v>893</v>
      </c>
    </row>
    <row r="3330" spans="1:9">
      <c r="A3330" s="42" t="s">
        <v>897</v>
      </c>
      <c r="B3330" s="42" t="s">
        <v>334</v>
      </c>
      <c r="C3330" s="42" t="s">
        <v>933</v>
      </c>
      <c r="D3330" s="42" t="s">
        <v>172</v>
      </c>
      <c r="E3330" s="42" t="s">
        <v>808</v>
      </c>
      <c r="F3330" s="45">
        <v>21000000</v>
      </c>
      <c r="G3330" s="42" t="s">
        <v>1001</v>
      </c>
      <c r="H3330" s="42" t="s">
        <v>1075</v>
      </c>
      <c r="I3330" s="42" t="s">
        <v>893</v>
      </c>
    </row>
    <row r="3331" spans="1:9">
      <c r="A3331" s="42" t="s">
        <v>897</v>
      </c>
      <c r="B3331" s="42" t="s">
        <v>336</v>
      </c>
      <c r="C3331" s="42" t="s">
        <v>938</v>
      </c>
      <c r="D3331" s="42" t="s">
        <v>172</v>
      </c>
      <c r="E3331" s="42" t="s">
        <v>808</v>
      </c>
      <c r="F3331" s="45">
        <v>-1259000000</v>
      </c>
      <c r="G3331" s="42" t="s">
        <v>1001</v>
      </c>
      <c r="H3331" s="42" t="s">
        <v>1075</v>
      </c>
      <c r="I3331" s="42" t="s">
        <v>893</v>
      </c>
    </row>
    <row r="3332" spans="1:9">
      <c r="A3332" s="42" t="s">
        <v>897</v>
      </c>
      <c r="B3332" s="42" t="s">
        <v>337</v>
      </c>
      <c r="C3332" s="42" t="s">
        <v>991</v>
      </c>
      <c r="D3332" s="42" t="s">
        <v>172</v>
      </c>
      <c r="E3332" s="42" t="s">
        <v>808</v>
      </c>
      <c r="F3332" s="45">
        <v>-371000000</v>
      </c>
      <c r="G3332" s="42" t="s">
        <v>1001</v>
      </c>
      <c r="H3332" s="42" t="s">
        <v>1075</v>
      </c>
      <c r="I3332" s="42" t="s">
        <v>893</v>
      </c>
    </row>
    <row r="3333" spans="1:9">
      <c r="A3333" s="42" t="s">
        <v>897</v>
      </c>
      <c r="B3333" s="42" t="s">
        <v>338</v>
      </c>
      <c r="C3333" s="42" t="s">
        <v>972</v>
      </c>
      <c r="D3333" s="42" t="s">
        <v>172</v>
      </c>
      <c r="E3333" s="42" t="s">
        <v>808</v>
      </c>
      <c r="F3333" s="45">
        <v>-144000000</v>
      </c>
      <c r="G3333" s="42" t="s">
        <v>1001</v>
      </c>
      <c r="H3333" s="42" t="s">
        <v>1075</v>
      </c>
      <c r="I3333" s="42" t="s">
        <v>893</v>
      </c>
    </row>
    <row r="3334" spans="1:9">
      <c r="A3334" s="42" t="s">
        <v>897</v>
      </c>
      <c r="B3334" s="42" t="s">
        <v>939</v>
      </c>
      <c r="C3334" s="42" t="s">
        <v>973</v>
      </c>
      <c r="D3334" s="42" t="s">
        <v>172</v>
      </c>
      <c r="E3334" s="42" t="s">
        <v>808</v>
      </c>
      <c r="F3334" s="45">
        <v>820000000</v>
      </c>
      <c r="G3334" s="42" t="s">
        <v>1001</v>
      </c>
      <c r="H3334" s="42" t="s">
        <v>1075</v>
      </c>
      <c r="I3334" s="42" t="s">
        <v>893</v>
      </c>
    </row>
    <row r="3335" spans="1:9">
      <c r="A3335" s="42" t="s">
        <v>897</v>
      </c>
      <c r="B3335" s="42" t="s">
        <v>340</v>
      </c>
      <c r="C3335" s="42" t="s">
        <v>1034</v>
      </c>
      <c r="D3335" s="42" t="s">
        <v>172</v>
      </c>
      <c r="E3335" s="42" t="s">
        <v>808</v>
      </c>
      <c r="F3335" s="45">
        <v>0</v>
      </c>
      <c r="G3335" s="42" t="s">
        <v>1001</v>
      </c>
      <c r="H3335" s="42" t="s">
        <v>1075</v>
      </c>
      <c r="I3335" s="42" t="s">
        <v>893</v>
      </c>
    </row>
    <row r="3336" spans="1:9">
      <c r="A3336" s="42" t="s">
        <v>897</v>
      </c>
      <c r="B3336" s="42" t="s">
        <v>342</v>
      </c>
      <c r="C3336" s="42" t="s">
        <v>1014</v>
      </c>
      <c r="D3336" s="42" t="s">
        <v>172</v>
      </c>
      <c r="E3336" s="42" t="s">
        <v>808</v>
      </c>
      <c r="F3336" s="45">
        <v>-89000000</v>
      </c>
      <c r="G3336" s="42" t="s">
        <v>1001</v>
      </c>
      <c r="H3336" s="42" t="s">
        <v>1075</v>
      </c>
      <c r="I3336" s="42" t="s">
        <v>893</v>
      </c>
    </row>
    <row r="3337" spans="1:9">
      <c r="A3337" s="42" t="s">
        <v>897</v>
      </c>
      <c r="B3337" s="42" t="s">
        <v>343</v>
      </c>
      <c r="C3337" s="42" t="s">
        <v>1016</v>
      </c>
      <c r="D3337" s="42" t="s">
        <v>172</v>
      </c>
      <c r="E3337" s="42" t="s">
        <v>808</v>
      </c>
      <c r="F3337" s="45">
        <v>-2000000</v>
      </c>
      <c r="G3337" s="42" t="s">
        <v>1001</v>
      </c>
      <c r="H3337" s="42" t="s">
        <v>1075</v>
      </c>
      <c r="I3337" s="42" t="s">
        <v>893</v>
      </c>
    </row>
    <row r="3338" spans="1:9">
      <c r="A3338" s="42" t="s">
        <v>897</v>
      </c>
      <c r="B3338" s="42" t="s">
        <v>344</v>
      </c>
      <c r="C3338" s="42" t="s">
        <v>980</v>
      </c>
      <c r="D3338" s="42" t="s">
        <v>172</v>
      </c>
      <c r="E3338" s="42" t="s">
        <v>808</v>
      </c>
      <c r="F3338" s="45">
        <v>214000000</v>
      </c>
      <c r="G3338" s="42" t="s">
        <v>1001</v>
      </c>
      <c r="H3338" s="42" t="s">
        <v>1075</v>
      </c>
      <c r="I3338" s="42" t="s">
        <v>893</v>
      </c>
    </row>
    <row r="3339" spans="1:9">
      <c r="A3339" s="42" t="s">
        <v>897</v>
      </c>
      <c r="B3339" s="42" t="s">
        <v>345</v>
      </c>
      <c r="C3339" s="42" t="s">
        <v>1035</v>
      </c>
      <c r="D3339" s="42" t="s">
        <v>172</v>
      </c>
      <c r="E3339" s="42" t="s">
        <v>808</v>
      </c>
      <c r="F3339" s="45">
        <v>-111000000</v>
      </c>
      <c r="G3339" s="42" t="s">
        <v>1001</v>
      </c>
      <c r="H3339" s="42" t="s">
        <v>1075</v>
      </c>
      <c r="I3339" s="42" t="s">
        <v>893</v>
      </c>
    </row>
    <row r="3340" spans="1:9">
      <c r="A3340" s="42" t="s">
        <v>897</v>
      </c>
      <c r="B3340" s="42" t="s">
        <v>346</v>
      </c>
      <c r="C3340" s="42" t="s">
        <v>956</v>
      </c>
      <c r="D3340" s="42" t="s">
        <v>172</v>
      </c>
      <c r="E3340" s="42" t="s">
        <v>808</v>
      </c>
      <c r="F3340" s="45">
        <v>376677314.5498674</v>
      </c>
      <c r="G3340" s="42" t="s">
        <v>1001</v>
      </c>
      <c r="H3340" s="42" t="s">
        <v>1070</v>
      </c>
      <c r="I3340" s="42" t="s">
        <v>893</v>
      </c>
    </row>
    <row r="3341" spans="1:9">
      <c r="A3341" s="42" t="s">
        <v>897</v>
      </c>
      <c r="B3341" s="42" t="s">
        <v>347</v>
      </c>
      <c r="C3341" s="42" t="s">
        <v>981</v>
      </c>
      <c r="D3341" s="42" t="s">
        <v>172</v>
      </c>
      <c r="E3341" s="42" t="s">
        <v>808</v>
      </c>
      <c r="F3341" s="45">
        <v>1014000000</v>
      </c>
      <c r="G3341" s="42" t="s">
        <v>1039</v>
      </c>
      <c r="H3341" s="42" t="s">
        <v>131</v>
      </c>
      <c r="I3341" s="42" t="s">
        <v>893</v>
      </c>
    </row>
    <row r="3342" spans="1:9">
      <c r="A3342" s="42" t="s">
        <v>897</v>
      </c>
      <c r="B3342" s="42" t="s">
        <v>348</v>
      </c>
      <c r="C3342" s="42" t="s">
        <v>982</v>
      </c>
      <c r="D3342" s="42" t="s">
        <v>172</v>
      </c>
      <c r="E3342" s="42" t="s">
        <v>808</v>
      </c>
      <c r="F3342" s="45">
        <v>1167000000</v>
      </c>
      <c r="G3342" s="42" t="s">
        <v>985</v>
      </c>
      <c r="H3342" s="42" t="s">
        <v>133</v>
      </c>
      <c r="I3342" s="42" t="s">
        <v>893</v>
      </c>
    </row>
    <row r="3343" spans="1:9">
      <c r="A3343" s="42" t="s">
        <v>897</v>
      </c>
      <c r="B3343" s="42" t="s">
        <v>346</v>
      </c>
      <c r="C3343" s="42" t="s">
        <v>961</v>
      </c>
      <c r="D3343" s="42" t="s">
        <v>172</v>
      </c>
      <c r="E3343" s="42" t="s">
        <v>808</v>
      </c>
      <c r="F3343" s="45">
        <v>376677314.5498674</v>
      </c>
      <c r="G3343" s="42" t="s">
        <v>1001</v>
      </c>
      <c r="H3343" s="42" t="s">
        <v>1070</v>
      </c>
      <c r="I3343" s="42" t="s">
        <v>893</v>
      </c>
    </row>
    <row r="3344" spans="1:9">
      <c r="A3344" s="42" t="s">
        <v>897</v>
      </c>
      <c r="B3344" s="42" t="s">
        <v>313</v>
      </c>
      <c r="C3344" s="42" t="s">
        <v>994</v>
      </c>
      <c r="D3344" s="42" t="s">
        <v>173</v>
      </c>
      <c r="E3344" s="42" t="s">
        <v>808</v>
      </c>
      <c r="F3344" s="45">
        <v>-137000000</v>
      </c>
      <c r="G3344" s="42" t="s">
        <v>1022</v>
      </c>
      <c r="H3344" s="42" t="s">
        <v>1076</v>
      </c>
      <c r="I3344" s="42" t="s">
        <v>893</v>
      </c>
    </row>
    <row r="3345" spans="1:9">
      <c r="A3345" s="42" t="s">
        <v>897</v>
      </c>
      <c r="B3345" s="42" t="s">
        <v>201</v>
      </c>
      <c r="C3345" s="42" t="s">
        <v>966</v>
      </c>
      <c r="D3345" s="42" t="s">
        <v>173</v>
      </c>
      <c r="E3345" s="42" t="s">
        <v>808</v>
      </c>
      <c r="F3345" s="45">
        <v>-44000000</v>
      </c>
      <c r="G3345" s="42" t="s">
        <v>1022</v>
      </c>
      <c r="H3345" s="42" t="s">
        <v>1076</v>
      </c>
      <c r="I3345" s="42" t="s">
        <v>893</v>
      </c>
    </row>
    <row r="3346" spans="1:9">
      <c r="A3346" s="42" t="s">
        <v>897</v>
      </c>
      <c r="B3346" s="42" t="s">
        <v>314</v>
      </c>
      <c r="C3346" s="42" t="s">
        <v>900</v>
      </c>
      <c r="D3346" s="42" t="s">
        <v>173</v>
      </c>
      <c r="E3346" s="42" t="s">
        <v>808</v>
      </c>
      <c r="F3346" s="45">
        <v>798000000</v>
      </c>
      <c r="G3346" s="42" t="s">
        <v>1022</v>
      </c>
      <c r="H3346" s="42" t="s">
        <v>1076</v>
      </c>
      <c r="I3346" s="42" t="s">
        <v>893</v>
      </c>
    </row>
    <row r="3347" spans="1:9">
      <c r="A3347" s="42" t="s">
        <v>897</v>
      </c>
      <c r="B3347" s="42" t="s">
        <v>315</v>
      </c>
      <c r="C3347" s="42" t="s">
        <v>901</v>
      </c>
      <c r="D3347" s="42" t="s">
        <v>173</v>
      </c>
      <c r="E3347" s="42" t="s">
        <v>808</v>
      </c>
      <c r="F3347" s="45">
        <v>11000000</v>
      </c>
      <c r="G3347" s="42" t="s">
        <v>1022</v>
      </c>
      <c r="H3347" s="42" t="s">
        <v>1076</v>
      </c>
      <c r="I3347" s="42" t="s">
        <v>893</v>
      </c>
    </row>
    <row r="3348" spans="1:9">
      <c r="A3348" s="42" t="s">
        <v>897</v>
      </c>
      <c r="B3348" s="42" t="s">
        <v>316</v>
      </c>
      <c r="C3348" s="42" t="s">
        <v>1004</v>
      </c>
      <c r="D3348" s="42" t="s">
        <v>173</v>
      </c>
      <c r="E3348" s="42" t="s">
        <v>808</v>
      </c>
      <c r="F3348" s="45">
        <v>55000000</v>
      </c>
      <c r="G3348" s="42" t="s">
        <v>1022</v>
      </c>
      <c r="H3348" s="42" t="s">
        <v>1076</v>
      </c>
      <c r="I3348" s="42" t="s">
        <v>893</v>
      </c>
    </row>
    <row r="3349" spans="1:9">
      <c r="A3349" s="42" t="s">
        <v>897</v>
      </c>
      <c r="B3349" s="42" t="s">
        <v>317</v>
      </c>
      <c r="C3349" s="42" t="s">
        <v>967</v>
      </c>
      <c r="D3349" s="42" t="s">
        <v>173</v>
      </c>
      <c r="E3349" s="42" t="s">
        <v>808</v>
      </c>
      <c r="F3349" s="45">
        <v>108000000</v>
      </c>
      <c r="G3349" s="42" t="s">
        <v>1022</v>
      </c>
      <c r="H3349" s="42" t="s">
        <v>1076</v>
      </c>
      <c r="I3349" s="42" t="s">
        <v>893</v>
      </c>
    </row>
    <row r="3350" spans="1:9">
      <c r="A3350" s="42" t="s">
        <v>897</v>
      </c>
      <c r="B3350" s="42" t="s">
        <v>318</v>
      </c>
      <c r="C3350" s="42" t="s">
        <v>904</v>
      </c>
      <c r="D3350" s="42" t="s">
        <v>173</v>
      </c>
      <c r="E3350" s="42" t="s">
        <v>808</v>
      </c>
      <c r="F3350" s="45">
        <v>0</v>
      </c>
      <c r="G3350" s="42" t="s">
        <v>1022</v>
      </c>
      <c r="H3350" s="42" t="s">
        <v>1076</v>
      </c>
      <c r="I3350" s="42" t="s">
        <v>893</v>
      </c>
    </row>
    <row r="3351" spans="1:9">
      <c r="A3351" s="42" t="s">
        <v>897</v>
      </c>
      <c r="B3351" s="42" t="s">
        <v>319</v>
      </c>
      <c r="C3351" s="42" t="s">
        <v>907</v>
      </c>
      <c r="D3351" s="42" t="s">
        <v>173</v>
      </c>
      <c r="E3351" s="42" t="s">
        <v>808</v>
      </c>
      <c r="F3351" s="45">
        <v>111000000</v>
      </c>
      <c r="G3351" s="42" t="s">
        <v>1022</v>
      </c>
      <c r="H3351" s="42" t="s">
        <v>1076</v>
      </c>
      <c r="I3351" s="42" t="s">
        <v>893</v>
      </c>
    </row>
    <row r="3352" spans="1:9">
      <c r="A3352" s="42" t="s">
        <v>897</v>
      </c>
      <c r="B3352" s="42" t="s">
        <v>320</v>
      </c>
      <c r="C3352" s="42" t="s">
        <v>1048</v>
      </c>
      <c r="D3352" s="42" t="s">
        <v>173</v>
      </c>
      <c r="E3352" s="42" t="s">
        <v>808</v>
      </c>
      <c r="F3352" s="45">
        <v>-130000000</v>
      </c>
      <c r="G3352" s="42" t="s">
        <v>1022</v>
      </c>
      <c r="H3352" s="42" t="s">
        <v>1076</v>
      </c>
      <c r="I3352" s="42" t="s">
        <v>893</v>
      </c>
    </row>
    <row r="3353" spans="1:9">
      <c r="A3353" s="42" t="s">
        <v>897</v>
      </c>
      <c r="B3353" s="42" t="s">
        <v>251</v>
      </c>
      <c r="C3353" s="42" t="s">
        <v>909</v>
      </c>
      <c r="D3353" s="42" t="s">
        <v>173</v>
      </c>
      <c r="E3353" s="42" t="s">
        <v>808</v>
      </c>
      <c r="F3353" s="45">
        <v>3000000</v>
      </c>
      <c r="G3353" s="42" t="s">
        <v>1022</v>
      </c>
      <c r="H3353" s="42" t="s">
        <v>1076</v>
      </c>
      <c r="I3353" s="42" t="s">
        <v>893</v>
      </c>
    </row>
    <row r="3354" spans="1:9">
      <c r="A3354" s="42" t="s">
        <v>897</v>
      </c>
      <c r="B3354" s="42" t="s">
        <v>293</v>
      </c>
      <c r="C3354" s="42" t="s">
        <v>912</v>
      </c>
      <c r="D3354" s="42" t="s">
        <v>173</v>
      </c>
      <c r="E3354" s="42" t="s">
        <v>808</v>
      </c>
      <c r="F3354" s="45">
        <v>-233000000</v>
      </c>
      <c r="G3354" s="42" t="s">
        <v>1022</v>
      </c>
      <c r="H3354" s="42" t="s">
        <v>1076</v>
      </c>
      <c r="I3354" s="42" t="s">
        <v>893</v>
      </c>
    </row>
    <row r="3355" spans="1:9">
      <c r="A3355" s="42" t="s">
        <v>897</v>
      </c>
      <c r="B3355" s="42" t="s">
        <v>292</v>
      </c>
      <c r="C3355" s="42" t="s">
        <v>913</v>
      </c>
      <c r="D3355" s="42" t="s">
        <v>173</v>
      </c>
      <c r="E3355" s="42" t="s">
        <v>808</v>
      </c>
      <c r="F3355" s="45">
        <v>143000000</v>
      </c>
      <c r="G3355" s="42" t="s">
        <v>1022</v>
      </c>
      <c r="H3355" s="42" t="s">
        <v>1076</v>
      </c>
      <c r="I3355" s="42" t="s">
        <v>893</v>
      </c>
    </row>
    <row r="3356" spans="1:9">
      <c r="A3356" s="42" t="s">
        <v>897</v>
      </c>
      <c r="B3356" s="42" t="s">
        <v>241</v>
      </c>
      <c r="C3356" s="42" t="s">
        <v>914</v>
      </c>
      <c r="D3356" s="42" t="s">
        <v>173</v>
      </c>
      <c r="E3356" s="42" t="s">
        <v>808</v>
      </c>
      <c r="F3356" s="45">
        <v>127000000</v>
      </c>
      <c r="G3356" s="42" t="s">
        <v>1022</v>
      </c>
      <c r="H3356" s="42" t="s">
        <v>1076</v>
      </c>
      <c r="I3356" s="42" t="s">
        <v>893</v>
      </c>
    </row>
    <row r="3357" spans="1:9">
      <c r="A3357" s="42" t="s">
        <v>897</v>
      </c>
      <c r="B3357" s="42" t="s">
        <v>310</v>
      </c>
      <c r="C3357" s="42" t="s">
        <v>915</v>
      </c>
      <c r="D3357" s="42" t="s">
        <v>173</v>
      </c>
      <c r="E3357" s="42" t="s">
        <v>808</v>
      </c>
      <c r="F3357" s="45">
        <v>330000000</v>
      </c>
      <c r="G3357" s="42" t="s">
        <v>1022</v>
      </c>
      <c r="H3357" s="42" t="s">
        <v>1076</v>
      </c>
      <c r="I3357" s="42" t="s">
        <v>893</v>
      </c>
    </row>
    <row r="3358" spans="1:9">
      <c r="A3358" s="42" t="s">
        <v>897</v>
      </c>
      <c r="B3358" s="42" t="s">
        <v>305</v>
      </c>
      <c r="C3358" s="42" t="s">
        <v>916</v>
      </c>
      <c r="D3358" s="42" t="s">
        <v>173</v>
      </c>
      <c r="E3358" s="42" t="s">
        <v>808</v>
      </c>
      <c r="F3358" s="45">
        <v>-6000000</v>
      </c>
      <c r="G3358" s="42" t="s">
        <v>1022</v>
      </c>
      <c r="H3358" s="42" t="s">
        <v>1076</v>
      </c>
      <c r="I3358" s="42" t="s">
        <v>893</v>
      </c>
    </row>
    <row r="3359" spans="1:9">
      <c r="A3359" s="42" t="s">
        <v>897</v>
      </c>
      <c r="B3359" s="42" t="s">
        <v>306</v>
      </c>
      <c r="C3359" s="42" t="s">
        <v>917</v>
      </c>
      <c r="D3359" s="42" t="s">
        <v>173</v>
      </c>
      <c r="E3359" s="42" t="s">
        <v>808</v>
      </c>
      <c r="F3359" s="45">
        <v>85000000</v>
      </c>
      <c r="G3359" s="42" t="s">
        <v>1022</v>
      </c>
      <c r="H3359" s="42" t="s">
        <v>1076</v>
      </c>
      <c r="I3359" s="42" t="s">
        <v>893</v>
      </c>
    </row>
    <row r="3360" spans="1:9">
      <c r="A3360" s="42" t="s">
        <v>897</v>
      </c>
      <c r="B3360" s="42" t="s">
        <v>309</v>
      </c>
      <c r="C3360" s="42" t="s">
        <v>918</v>
      </c>
      <c r="D3360" s="42" t="s">
        <v>173</v>
      </c>
      <c r="E3360" s="42" t="s">
        <v>808</v>
      </c>
      <c r="F3360" s="45">
        <v>28000000</v>
      </c>
      <c r="G3360" s="42" t="s">
        <v>1022</v>
      </c>
      <c r="H3360" s="42" t="s">
        <v>1076</v>
      </c>
      <c r="I3360" s="42" t="s">
        <v>893</v>
      </c>
    </row>
    <row r="3361" spans="1:9">
      <c r="A3361" s="42" t="s">
        <v>897</v>
      </c>
      <c r="B3361" s="42" t="s">
        <v>325</v>
      </c>
      <c r="C3361" s="42" t="s">
        <v>919</v>
      </c>
      <c r="D3361" s="42" t="s">
        <v>173</v>
      </c>
      <c r="E3361" s="42" t="s">
        <v>808</v>
      </c>
      <c r="F3361" s="45">
        <v>-333000000</v>
      </c>
      <c r="G3361" s="42" t="s">
        <v>1022</v>
      </c>
      <c r="H3361" s="42" t="s">
        <v>1076</v>
      </c>
      <c r="I3361" s="42" t="s">
        <v>893</v>
      </c>
    </row>
    <row r="3362" spans="1:9">
      <c r="A3362" s="42" t="s">
        <v>897</v>
      </c>
      <c r="B3362" s="42" t="s">
        <v>242</v>
      </c>
      <c r="C3362" s="42" t="s">
        <v>920</v>
      </c>
      <c r="D3362" s="42" t="s">
        <v>173</v>
      </c>
      <c r="E3362" s="42" t="s">
        <v>808</v>
      </c>
      <c r="F3362" s="45">
        <v>-3000000</v>
      </c>
      <c r="G3362" s="42" t="s">
        <v>1022</v>
      </c>
      <c r="H3362" s="42" t="s">
        <v>1076</v>
      </c>
      <c r="I3362" s="42" t="s">
        <v>893</v>
      </c>
    </row>
    <row r="3363" spans="1:9">
      <c r="A3363" s="42" t="s">
        <v>897</v>
      </c>
      <c r="B3363" s="42" t="s">
        <v>302</v>
      </c>
      <c r="C3363" s="42" t="s">
        <v>921</v>
      </c>
      <c r="D3363" s="42" t="s">
        <v>173</v>
      </c>
      <c r="E3363" s="42" t="s">
        <v>808</v>
      </c>
      <c r="F3363" s="45">
        <v>-16000000</v>
      </c>
      <c r="G3363" s="42" t="s">
        <v>1022</v>
      </c>
      <c r="H3363" s="42" t="s">
        <v>1076</v>
      </c>
      <c r="I3363" s="42" t="s">
        <v>893</v>
      </c>
    </row>
    <row r="3364" spans="1:9">
      <c r="A3364" s="42" t="s">
        <v>897</v>
      </c>
      <c r="B3364" s="42" t="s">
        <v>326</v>
      </c>
      <c r="C3364" s="42" t="s">
        <v>922</v>
      </c>
      <c r="D3364" s="42" t="s">
        <v>173</v>
      </c>
      <c r="E3364" s="42" t="s">
        <v>808</v>
      </c>
      <c r="F3364" s="45">
        <v>0</v>
      </c>
      <c r="G3364" s="42" t="s">
        <v>1022</v>
      </c>
      <c r="H3364" s="42" t="s">
        <v>1076</v>
      </c>
      <c r="I3364" s="42" t="s">
        <v>893</v>
      </c>
    </row>
    <row r="3365" spans="1:9">
      <c r="A3365" s="42" t="s">
        <v>897</v>
      </c>
      <c r="B3365" s="42" t="s">
        <v>327</v>
      </c>
      <c r="C3365" s="42" t="s">
        <v>1009</v>
      </c>
      <c r="D3365" s="42" t="s">
        <v>173</v>
      </c>
      <c r="E3365" s="42" t="s">
        <v>808</v>
      </c>
      <c r="F3365" s="45">
        <v>0</v>
      </c>
      <c r="G3365" s="42" t="s">
        <v>1022</v>
      </c>
      <c r="H3365" s="42" t="s">
        <v>1071</v>
      </c>
      <c r="I3365" s="42" t="s">
        <v>893</v>
      </c>
    </row>
    <row r="3366" spans="1:9">
      <c r="A3366" s="42" t="s">
        <v>897</v>
      </c>
      <c r="B3366" s="42" t="s">
        <v>328</v>
      </c>
      <c r="C3366" s="42" t="s">
        <v>924</v>
      </c>
      <c r="D3366" s="42" t="s">
        <v>173</v>
      </c>
      <c r="E3366" s="42" t="s">
        <v>808</v>
      </c>
      <c r="F3366" s="45">
        <v>-4000000</v>
      </c>
      <c r="G3366" s="42" t="s">
        <v>1022</v>
      </c>
      <c r="H3366" s="42" t="s">
        <v>1076</v>
      </c>
      <c r="I3366" s="42" t="s">
        <v>893</v>
      </c>
    </row>
    <row r="3367" spans="1:9">
      <c r="A3367" s="42" t="s">
        <v>897</v>
      </c>
      <c r="B3367" s="42" t="s">
        <v>329</v>
      </c>
      <c r="C3367" s="42" t="s">
        <v>925</v>
      </c>
      <c r="D3367" s="42" t="s">
        <v>173</v>
      </c>
      <c r="E3367" s="42" t="s">
        <v>808</v>
      </c>
      <c r="F3367" s="45">
        <v>1399000000</v>
      </c>
      <c r="G3367" s="42" t="s">
        <v>1022</v>
      </c>
      <c r="H3367" s="42" t="s">
        <v>1076</v>
      </c>
      <c r="I3367" s="42" t="s">
        <v>893</v>
      </c>
    </row>
    <row r="3368" spans="1:9">
      <c r="A3368" s="42" t="s">
        <v>897</v>
      </c>
      <c r="B3368" s="42" t="s">
        <v>372</v>
      </c>
      <c r="C3368" s="42" t="s">
        <v>926</v>
      </c>
      <c r="D3368" s="42" t="s">
        <v>173</v>
      </c>
      <c r="E3368" s="42" t="s">
        <v>808</v>
      </c>
      <c r="F3368" s="45">
        <v>224000000</v>
      </c>
      <c r="G3368" s="42" t="s">
        <v>1022</v>
      </c>
      <c r="H3368" s="42" t="s">
        <v>1076</v>
      </c>
      <c r="I3368" s="42" t="s">
        <v>896</v>
      </c>
    </row>
    <row r="3369" spans="1:9">
      <c r="A3369" s="42" t="s">
        <v>897</v>
      </c>
      <c r="B3369" s="42" t="s">
        <v>373</v>
      </c>
      <c r="C3369" s="42" t="s">
        <v>1032</v>
      </c>
      <c r="D3369" s="42" t="s">
        <v>173</v>
      </c>
      <c r="E3369" s="42" t="s">
        <v>808</v>
      </c>
      <c r="F3369" s="45">
        <v>-73000000</v>
      </c>
      <c r="G3369" s="42" t="s">
        <v>1022</v>
      </c>
      <c r="H3369" s="42" t="s">
        <v>1076</v>
      </c>
      <c r="I3369" s="42" t="s">
        <v>896</v>
      </c>
    </row>
    <row r="3370" spans="1:9">
      <c r="A3370" s="42" t="s">
        <v>897</v>
      </c>
      <c r="B3370" s="42" t="s">
        <v>375</v>
      </c>
      <c r="C3370" s="42" t="s">
        <v>1033</v>
      </c>
      <c r="D3370" s="42" t="s">
        <v>173</v>
      </c>
      <c r="E3370" s="42" t="s">
        <v>808</v>
      </c>
      <c r="F3370" s="45">
        <v>1952059.932755746</v>
      </c>
      <c r="G3370" s="42" t="s">
        <v>1022</v>
      </c>
      <c r="H3370" s="42" t="s">
        <v>1071</v>
      </c>
      <c r="I3370" s="42" t="s">
        <v>891</v>
      </c>
    </row>
    <row r="3371" spans="1:9">
      <c r="A3371" s="42" t="s">
        <v>897</v>
      </c>
      <c r="B3371" s="42" t="s">
        <v>330</v>
      </c>
      <c r="C3371" s="42" t="s">
        <v>927</v>
      </c>
      <c r="D3371" s="42" t="s">
        <v>173</v>
      </c>
      <c r="E3371" s="42" t="s">
        <v>808</v>
      </c>
      <c r="F3371" s="45">
        <v>-1500000000</v>
      </c>
      <c r="G3371" s="42" t="s">
        <v>1022</v>
      </c>
      <c r="H3371" s="42" t="s">
        <v>1076</v>
      </c>
      <c r="I3371" s="42" t="s">
        <v>893</v>
      </c>
    </row>
    <row r="3372" spans="1:9">
      <c r="A3372" s="42" t="s">
        <v>897</v>
      </c>
      <c r="B3372" s="42" t="s">
        <v>332</v>
      </c>
      <c r="C3372" s="42" t="s">
        <v>932</v>
      </c>
      <c r="D3372" s="42" t="s">
        <v>173</v>
      </c>
      <c r="E3372" s="42" t="s">
        <v>808</v>
      </c>
      <c r="F3372" s="45">
        <v>0</v>
      </c>
      <c r="G3372" s="42" t="s">
        <v>1022</v>
      </c>
      <c r="H3372" s="42" t="s">
        <v>1076</v>
      </c>
      <c r="I3372" s="42" t="s">
        <v>893</v>
      </c>
    </row>
    <row r="3373" spans="1:9">
      <c r="A3373" s="42" t="s">
        <v>897</v>
      </c>
      <c r="B3373" s="42" t="s">
        <v>334</v>
      </c>
      <c r="C3373" s="42" t="s">
        <v>933</v>
      </c>
      <c r="D3373" s="42" t="s">
        <v>173</v>
      </c>
      <c r="E3373" s="42" t="s">
        <v>808</v>
      </c>
      <c r="F3373" s="45">
        <v>26000000</v>
      </c>
      <c r="G3373" s="42" t="s">
        <v>1022</v>
      </c>
      <c r="H3373" s="42" t="s">
        <v>1076</v>
      </c>
      <c r="I3373" s="42" t="s">
        <v>893</v>
      </c>
    </row>
    <row r="3374" spans="1:9">
      <c r="A3374" s="42" t="s">
        <v>897</v>
      </c>
      <c r="B3374" s="42" t="s">
        <v>336</v>
      </c>
      <c r="C3374" s="42" t="s">
        <v>938</v>
      </c>
      <c r="D3374" s="42" t="s">
        <v>173</v>
      </c>
      <c r="E3374" s="42" t="s">
        <v>808</v>
      </c>
      <c r="F3374" s="45">
        <v>-1321000000</v>
      </c>
      <c r="G3374" s="42" t="s">
        <v>1022</v>
      </c>
      <c r="H3374" s="42" t="s">
        <v>1076</v>
      </c>
      <c r="I3374" s="42" t="s">
        <v>893</v>
      </c>
    </row>
    <row r="3375" spans="1:9">
      <c r="A3375" s="42" t="s">
        <v>897</v>
      </c>
      <c r="B3375" s="42" t="s">
        <v>337</v>
      </c>
      <c r="C3375" s="42" t="s">
        <v>991</v>
      </c>
      <c r="D3375" s="42" t="s">
        <v>173</v>
      </c>
      <c r="E3375" s="42" t="s">
        <v>808</v>
      </c>
      <c r="F3375" s="45">
        <v>-571000000</v>
      </c>
      <c r="G3375" s="42" t="s">
        <v>1022</v>
      </c>
      <c r="H3375" s="42" t="s">
        <v>1076</v>
      </c>
      <c r="I3375" s="42" t="s">
        <v>893</v>
      </c>
    </row>
    <row r="3376" spans="1:9">
      <c r="A3376" s="42" t="s">
        <v>897</v>
      </c>
      <c r="B3376" s="42" t="s">
        <v>338</v>
      </c>
      <c r="C3376" s="42" t="s">
        <v>972</v>
      </c>
      <c r="D3376" s="42" t="s">
        <v>173</v>
      </c>
      <c r="E3376" s="42" t="s">
        <v>808</v>
      </c>
      <c r="F3376" s="45">
        <v>-192000000</v>
      </c>
      <c r="G3376" s="42" t="s">
        <v>1022</v>
      </c>
      <c r="H3376" s="42" t="s">
        <v>1076</v>
      </c>
      <c r="I3376" s="42" t="s">
        <v>893</v>
      </c>
    </row>
    <row r="3377" spans="1:9">
      <c r="A3377" s="42" t="s">
        <v>897</v>
      </c>
      <c r="B3377" s="42" t="s">
        <v>939</v>
      </c>
      <c r="C3377" s="42" t="s">
        <v>973</v>
      </c>
      <c r="D3377" s="42" t="s">
        <v>173</v>
      </c>
      <c r="E3377" s="42" t="s">
        <v>808</v>
      </c>
      <c r="F3377" s="45">
        <v>976000000</v>
      </c>
      <c r="G3377" s="42" t="s">
        <v>1022</v>
      </c>
      <c r="H3377" s="42" t="s">
        <v>1076</v>
      </c>
      <c r="I3377" s="42" t="s">
        <v>893</v>
      </c>
    </row>
    <row r="3378" spans="1:9">
      <c r="A3378" s="42" t="s">
        <v>897</v>
      </c>
      <c r="B3378" s="42" t="s">
        <v>340</v>
      </c>
      <c r="C3378" s="42" t="s">
        <v>1034</v>
      </c>
      <c r="D3378" s="42" t="s">
        <v>173</v>
      </c>
      <c r="E3378" s="42" t="s">
        <v>808</v>
      </c>
      <c r="F3378" s="45">
        <v>33000000</v>
      </c>
      <c r="G3378" s="42" t="s">
        <v>1022</v>
      </c>
      <c r="H3378" s="42" t="s">
        <v>1076</v>
      </c>
      <c r="I3378" s="42" t="s">
        <v>893</v>
      </c>
    </row>
    <row r="3379" spans="1:9">
      <c r="A3379" s="42" t="s">
        <v>897</v>
      </c>
      <c r="B3379" s="42" t="s">
        <v>342</v>
      </c>
      <c r="C3379" s="42" t="s">
        <v>1014</v>
      </c>
      <c r="D3379" s="42" t="s">
        <v>173</v>
      </c>
      <c r="E3379" s="42" t="s">
        <v>808</v>
      </c>
      <c r="F3379" s="45">
        <v>-86000000</v>
      </c>
      <c r="G3379" s="42" t="s">
        <v>1022</v>
      </c>
      <c r="H3379" s="42" t="s">
        <v>1076</v>
      </c>
      <c r="I3379" s="42" t="s">
        <v>893</v>
      </c>
    </row>
    <row r="3380" spans="1:9">
      <c r="A3380" s="42" t="s">
        <v>897</v>
      </c>
      <c r="B3380" s="42" t="s">
        <v>343</v>
      </c>
      <c r="C3380" s="42" t="s">
        <v>1016</v>
      </c>
      <c r="D3380" s="42" t="s">
        <v>173</v>
      </c>
      <c r="E3380" s="42" t="s">
        <v>808</v>
      </c>
      <c r="F3380" s="45">
        <v>-2000000</v>
      </c>
      <c r="G3380" s="42" t="s">
        <v>1022</v>
      </c>
      <c r="H3380" s="42" t="s">
        <v>1076</v>
      </c>
      <c r="I3380" s="42" t="s">
        <v>893</v>
      </c>
    </row>
    <row r="3381" spans="1:9">
      <c r="A3381" s="42" t="s">
        <v>897</v>
      </c>
      <c r="B3381" s="42" t="s">
        <v>344</v>
      </c>
      <c r="C3381" s="42" t="s">
        <v>980</v>
      </c>
      <c r="D3381" s="42" t="s">
        <v>173</v>
      </c>
      <c r="E3381" s="42" t="s">
        <v>808</v>
      </c>
      <c r="F3381" s="45">
        <v>158000000</v>
      </c>
      <c r="G3381" s="42" t="s">
        <v>1022</v>
      </c>
      <c r="H3381" s="42" t="s">
        <v>1076</v>
      </c>
      <c r="I3381" s="42" t="s">
        <v>893</v>
      </c>
    </row>
    <row r="3382" spans="1:9">
      <c r="A3382" s="42" t="s">
        <v>897</v>
      </c>
      <c r="B3382" s="42" t="s">
        <v>345</v>
      </c>
      <c r="C3382" s="42" t="s">
        <v>1035</v>
      </c>
      <c r="D3382" s="42" t="s">
        <v>173</v>
      </c>
      <c r="E3382" s="42" t="s">
        <v>808</v>
      </c>
      <c r="F3382" s="45">
        <v>-107000000</v>
      </c>
      <c r="G3382" s="42" t="s">
        <v>1022</v>
      </c>
      <c r="H3382" s="42" t="s">
        <v>1076</v>
      </c>
      <c r="I3382" s="42" t="s">
        <v>893</v>
      </c>
    </row>
    <row r="3383" spans="1:9">
      <c r="A3383" s="42" t="s">
        <v>897</v>
      </c>
      <c r="B3383" s="42" t="s">
        <v>346</v>
      </c>
      <c r="C3383" s="42" t="s">
        <v>956</v>
      </c>
      <c r="D3383" s="42" t="s">
        <v>173</v>
      </c>
      <c r="E3383" s="42" t="s">
        <v>808</v>
      </c>
      <c r="F3383" s="45">
        <v>492236432.9942556</v>
      </c>
      <c r="G3383" s="42" t="s">
        <v>1022</v>
      </c>
      <c r="H3383" s="42" t="s">
        <v>1071</v>
      </c>
      <c r="I3383" s="42" t="s">
        <v>893</v>
      </c>
    </row>
    <row r="3384" spans="1:9">
      <c r="A3384" s="42" t="s">
        <v>897</v>
      </c>
      <c r="B3384" s="42" t="s">
        <v>347</v>
      </c>
      <c r="C3384" s="42" t="s">
        <v>981</v>
      </c>
      <c r="D3384" s="42" t="s">
        <v>173</v>
      </c>
      <c r="E3384" s="42" t="s">
        <v>808</v>
      </c>
      <c r="F3384" s="45">
        <v>1167000000</v>
      </c>
      <c r="G3384" s="42" t="s">
        <v>1039</v>
      </c>
      <c r="H3384" s="42" t="s">
        <v>133</v>
      </c>
      <c r="I3384" s="42" t="s">
        <v>893</v>
      </c>
    </row>
    <row r="3385" spans="1:9">
      <c r="A3385" s="42" t="s">
        <v>897</v>
      </c>
      <c r="B3385" s="42" t="s">
        <v>348</v>
      </c>
      <c r="C3385" s="42" t="s">
        <v>982</v>
      </c>
      <c r="D3385" s="42" t="s">
        <v>173</v>
      </c>
      <c r="E3385" s="42" t="s">
        <v>808</v>
      </c>
      <c r="F3385" s="45">
        <v>1296000000</v>
      </c>
      <c r="G3385" s="42" t="s">
        <v>985</v>
      </c>
      <c r="H3385" s="42" t="s">
        <v>135</v>
      </c>
      <c r="I3385" s="42" t="s">
        <v>893</v>
      </c>
    </row>
    <row r="3386" spans="1:9">
      <c r="A3386" s="42" t="s">
        <v>897</v>
      </c>
      <c r="B3386" s="42" t="s">
        <v>346</v>
      </c>
      <c r="C3386" s="42" t="s">
        <v>961</v>
      </c>
      <c r="D3386" s="42" t="s">
        <v>173</v>
      </c>
      <c r="E3386" s="42" t="s">
        <v>808</v>
      </c>
      <c r="F3386" s="45">
        <v>492236432.9942556</v>
      </c>
      <c r="G3386" s="42" t="s">
        <v>1022</v>
      </c>
      <c r="H3386" s="42" t="s">
        <v>1071</v>
      </c>
      <c r="I3386" s="42" t="s">
        <v>893</v>
      </c>
    </row>
    <row r="3387" spans="1:9">
      <c r="A3387" s="42" t="s">
        <v>897</v>
      </c>
      <c r="B3387" s="42" t="s">
        <v>313</v>
      </c>
      <c r="C3387" s="42" t="s">
        <v>994</v>
      </c>
      <c r="D3387" s="42" t="s">
        <v>174</v>
      </c>
      <c r="E3387" s="42" t="s">
        <v>808</v>
      </c>
      <c r="F3387" s="45">
        <v>-1861000000</v>
      </c>
      <c r="G3387" s="42" t="s">
        <v>1025</v>
      </c>
      <c r="H3387" s="42" t="s">
        <v>1077</v>
      </c>
      <c r="I3387" s="42" t="s">
        <v>893</v>
      </c>
    </row>
    <row r="3388" spans="1:9">
      <c r="A3388" s="42" t="s">
        <v>897</v>
      </c>
      <c r="B3388" s="42" t="s">
        <v>201</v>
      </c>
      <c r="C3388" s="42" t="s">
        <v>966</v>
      </c>
      <c r="D3388" s="42" t="s">
        <v>174</v>
      </c>
      <c r="E3388" s="42" t="s">
        <v>808</v>
      </c>
      <c r="F3388" s="45">
        <v>133000000</v>
      </c>
      <c r="G3388" s="42" t="s">
        <v>1025</v>
      </c>
      <c r="H3388" s="42" t="s">
        <v>1077</v>
      </c>
      <c r="I3388" s="42" t="s">
        <v>893</v>
      </c>
    </row>
    <row r="3389" spans="1:9">
      <c r="A3389" s="42" t="s">
        <v>897</v>
      </c>
      <c r="B3389" s="42" t="s">
        <v>314</v>
      </c>
      <c r="C3389" s="42" t="s">
        <v>900</v>
      </c>
      <c r="D3389" s="42" t="s">
        <v>174</v>
      </c>
      <c r="E3389" s="42" t="s">
        <v>808</v>
      </c>
      <c r="F3389" s="45">
        <v>718000000</v>
      </c>
      <c r="G3389" s="42" t="s">
        <v>1025</v>
      </c>
      <c r="H3389" s="42" t="s">
        <v>1077</v>
      </c>
      <c r="I3389" s="42" t="s">
        <v>893</v>
      </c>
    </row>
    <row r="3390" spans="1:9">
      <c r="A3390" s="42" t="s">
        <v>897</v>
      </c>
      <c r="B3390" s="42" t="s">
        <v>315</v>
      </c>
      <c r="C3390" s="42" t="s">
        <v>901</v>
      </c>
      <c r="D3390" s="42" t="s">
        <v>174</v>
      </c>
      <c r="E3390" s="42" t="s">
        <v>808</v>
      </c>
      <c r="F3390" s="45">
        <v>7000000</v>
      </c>
      <c r="G3390" s="42" t="s">
        <v>1025</v>
      </c>
      <c r="H3390" s="42" t="s">
        <v>1077</v>
      </c>
      <c r="I3390" s="42" t="s">
        <v>893</v>
      </c>
    </row>
    <row r="3391" spans="1:9">
      <c r="A3391" s="42" t="s">
        <v>897</v>
      </c>
      <c r="B3391" s="42" t="s">
        <v>316</v>
      </c>
      <c r="C3391" s="42" t="s">
        <v>1004</v>
      </c>
      <c r="D3391" s="42" t="s">
        <v>174</v>
      </c>
      <c r="E3391" s="42" t="s">
        <v>808</v>
      </c>
      <c r="F3391" s="45">
        <v>55000000</v>
      </c>
      <c r="G3391" s="42" t="s">
        <v>1025</v>
      </c>
      <c r="H3391" s="42" t="s">
        <v>1077</v>
      </c>
      <c r="I3391" s="42" t="s">
        <v>893</v>
      </c>
    </row>
    <row r="3392" spans="1:9">
      <c r="A3392" s="42" t="s">
        <v>897</v>
      </c>
      <c r="B3392" s="42" t="s">
        <v>317</v>
      </c>
      <c r="C3392" s="42" t="s">
        <v>967</v>
      </c>
      <c r="D3392" s="42" t="s">
        <v>174</v>
      </c>
      <c r="E3392" s="42" t="s">
        <v>808</v>
      </c>
      <c r="F3392" s="45">
        <v>112000000</v>
      </c>
      <c r="G3392" s="42" t="s">
        <v>1025</v>
      </c>
      <c r="H3392" s="42" t="s">
        <v>1077</v>
      </c>
      <c r="I3392" s="42" t="s">
        <v>893</v>
      </c>
    </row>
    <row r="3393" spans="1:9">
      <c r="A3393" s="42" t="s">
        <v>897</v>
      </c>
      <c r="B3393" s="42" t="s">
        <v>318</v>
      </c>
      <c r="C3393" s="42" t="s">
        <v>904</v>
      </c>
      <c r="D3393" s="42" t="s">
        <v>174</v>
      </c>
      <c r="E3393" s="42" t="s">
        <v>808</v>
      </c>
      <c r="F3393" s="45">
        <v>860000000</v>
      </c>
      <c r="G3393" s="42" t="s">
        <v>1025</v>
      </c>
      <c r="H3393" s="42" t="s">
        <v>1077</v>
      </c>
      <c r="I3393" s="42" t="s">
        <v>893</v>
      </c>
    </row>
    <row r="3394" spans="1:9">
      <c r="A3394" s="42" t="s">
        <v>897</v>
      </c>
      <c r="B3394" s="42" t="s">
        <v>319</v>
      </c>
      <c r="C3394" s="42" t="s">
        <v>907</v>
      </c>
      <c r="D3394" s="42" t="s">
        <v>174</v>
      </c>
      <c r="E3394" s="42" t="s">
        <v>808</v>
      </c>
      <c r="F3394" s="45">
        <v>118000000</v>
      </c>
      <c r="G3394" s="42" t="s">
        <v>1025</v>
      </c>
      <c r="H3394" s="42" t="s">
        <v>1077</v>
      </c>
      <c r="I3394" s="42" t="s">
        <v>893</v>
      </c>
    </row>
    <row r="3395" spans="1:9">
      <c r="A3395" s="42" t="s">
        <v>897</v>
      </c>
      <c r="B3395" s="42" t="s">
        <v>198</v>
      </c>
      <c r="C3395" s="42" t="s">
        <v>1066</v>
      </c>
      <c r="D3395" s="42" t="s">
        <v>174</v>
      </c>
      <c r="E3395" s="42" t="s">
        <v>808</v>
      </c>
      <c r="F3395" s="45">
        <v>1782000000</v>
      </c>
      <c r="G3395" s="42" t="s">
        <v>1025</v>
      </c>
      <c r="H3395" s="42" t="s">
        <v>1077</v>
      </c>
      <c r="I3395" s="42" t="s">
        <v>893</v>
      </c>
    </row>
    <row r="3396" spans="1:9">
      <c r="A3396" s="42" t="s">
        <v>897</v>
      </c>
      <c r="B3396" s="42" t="s">
        <v>320</v>
      </c>
      <c r="C3396" s="42" t="s">
        <v>1048</v>
      </c>
      <c r="D3396" s="42" t="s">
        <v>174</v>
      </c>
      <c r="E3396" s="42" t="s">
        <v>808</v>
      </c>
      <c r="F3396" s="45">
        <v>-557000000</v>
      </c>
      <c r="G3396" s="42" t="s">
        <v>1025</v>
      </c>
      <c r="H3396" s="42" t="s">
        <v>1077</v>
      </c>
      <c r="I3396" s="42" t="s">
        <v>893</v>
      </c>
    </row>
    <row r="3397" spans="1:9">
      <c r="A3397" s="42" t="s">
        <v>897</v>
      </c>
      <c r="B3397" s="42" t="s">
        <v>251</v>
      </c>
      <c r="C3397" s="42" t="s">
        <v>909</v>
      </c>
      <c r="D3397" s="42" t="s">
        <v>174</v>
      </c>
      <c r="E3397" s="42" t="s">
        <v>808</v>
      </c>
      <c r="F3397" s="45">
        <v>-12000000</v>
      </c>
      <c r="G3397" s="42" t="s">
        <v>1025</v>
      </c>
      <c r="H3397" s="42" t="s">
        <v>1077</v>
      </c>
      <c r="I3397" s="42" t="s">
        <v>893</v>
      </c>
    </row>
    <row r="3398" spans="1:9">
      <c r="A3398" s="42" t="s">
        <v>897</v>
      </c>
      <c r="B3398" s="42" t="s">
        <v>293</v>
      </c>
      <c r="C3398" s="42" t="s">
        <v>912</v>
      </c>
      <c r="D3398" s="42" t="s">
        <v>174</v>
      </c>
      <c r="E3398" s="42" t="s">
        <v>808</v>
      </c>
      <c r="F3398" s="45">
        <v>86000000</v>
      </c>
      <c r="G3398" s="42" t="s">
        <v>1025</v>
      </c>
      <c r="H3398" s="42" t="s">
        <v>1077</v>
      </c>
      <c r="I3398" s="42" t="s">
        <v>893</v>
      </c>
    </row>
    <row r="3399" spans="1:9">
      <c r="A3399" s="42" t="s">
        <v>897</v>
      </c>
      <c r="B3399" s="42" t="s">
        <v>292</v>
      </c>
      <c r="C3399" s="42" t="s">
        <v>913</v>
      </c>
      <c r="D3399" s="42" t="s">
        <v>174</v>
      </c>
      <c r="E3399" s="42" t="s">
        <v>808</v>
      </c>
      <c r="F3399" s="45">
        <v>-185000000</v>
      </c>
      <c r="G3399" s="42" t="s">
        <v>1025</v>
      </c>
      <c r="H3399" s="42" t="s">
        <v>1077</v>
      </c>
      <c r="I3399" s="42" t="s">
        <v>893</v>
      </c>
    </row>
    <row r="3400" spans="1:9">
      <c r="A3400" s="42" t="s">
        <v>897</v>
      </c>
      <c r="B3400" s="42" t="s">
        <v>241</v>
      </c>
      <c r="C3400" s="42" t="s">
        <v>914</v>
      </c>
      <c r="D3400" s="42" t="s">
        <v>174</v>
      </c>
      <c r="E3400" s="42" t="s">
        <v>808</v>
      </c>
      <c r="F3400" s="45">
        <v>68000000</v>
      </c>
      <c r="G3400" s="42" t="s">
        <v>1025</v>
      </c>
      <c r="H3400" s="42" t="s">
        <v>1077</v>
      </c>
      <c r="I3400" s="42" t="s">
        <v>893</v>
      </c>
    </row>
    <row r="3401" spans="1:9">
      <c r="A3401" s="42" t="s">
        <v>897</v>
      </c>
      <c r="B3401" s="42" t="s">
        <v>310</v>
      </c>
      <c r="C3401" s="42" t="s">
        <v>915</v>
      </c>
      <c r="D3401" s="42" t="s">
        <v>174</v>
      </c>
      <c r="E3401" s="42" t="s">
        <v>808</v>
      </c>
      <c r="F3401" s="45">
        <v>261000000</v>
      </c>
      <c r="G3401" s="42" t="s">
        <v>1025</v>
      </c>
      <c r="H3401" s="42" t="s">
        <v>1077</v>
      </c>
      <c r="I3401" s="42" t="s">
        <v>893</v>
      </c>
    </row>
    <row r="3402" spans="1:9">
      <c r="A3402" s="42" t="s">
        <v>897</v>
      </c>
      <c r="B3402" s="42" t="s">
        <v>305</v>
      </c>
      <c r="C3402" s="42" t="s">
        <v>916</v>
      </c>
      <c r="D3402" s="42" t="s">
        <v>174</v>
      </c>
      <c r="E3402" s="42" t="s">
        <v>808</v>
      </c>
      <c r="F3402" s="45">
        <v>26000000</v>
      </c>
      <c r="G3402" s="42" t="s">
        <v>1025</v>
      </c>
      <c r="H3402" s="42" t="s">
        <v>1077</v>
      </c>
      <c r="I3402" s="42" t="s">
        <v>893</v>
      </c>
    </row>
    <row r="3403" spans="1:9">
      <c r="A3403" s="42" t="s">
        <v>897</v>
      </c>
      <c r="B3403" s="42" t="s">
        <v>306</v>
      </c>
      <c r="C3403" s="42" t="s">
        <v>917</v>
      </c>
      <c r="D3403" s="42" t="s">
        <v>174</v>
      </c>
      <c r="E3403" s="42" t="s">
        <v>808</v>
      </c>
      <c r="F3403" s="45">
        <v>183000000</v>
      </c>
      <c r="G3403" s="42" t="s">
        <v>1025</v>
      </c>
      <c r="H3403" s="42" t="s">
        <v>1077</v>
      </c>
      <c r="I3403" s="42" t="s">
        <v>893</v>
      </c>
    </row>
    <row r="3404" spans="1:9">
      <c r="A3404" s="42" t="s">
        <v>897</v>
      </c>
      <c r="B3404" s="42" t="s">
        <v>309</v>
      </c>
      <c r="C3404" s="42" t="s">
        <v>918</v>
      </c>
      <c r="D3404" s="42" t="s">
        <v>174</v>
      </c>
      <c r="E3404" s="42" t="s">
        <v>808</v>
      </c>
      <c r="F3404" s="45">
        <v>12000000</v>
      </c>
      <c r="G3404" s="42" t="s">
        <v>1025</v>
      </c>
      <c r="H3404" s="42" t="s">
        <v>1077</v>
      </c>
      <c r="I3404" s="42" t="s">
        <v>893</v>
      </c>
    </row>
    <row r="3405" spans="1:9">
      <c r="A3405" s="42" t="s">
        <v>897</v>
      </c>
      <c r="B3405" s="42" t="s">
        <v>325</v>
      </c>
      <c r="C3405" s="42" t="s">
        <v>919</v>
      </c>
      <c r="D3405" s="42" t="s">
        <v>174</v>
      </c>
      <c r="E3405" s="42" t="s">
        <v>808</v>
      </c>
      <c r="F3405" s="45">
        <v>-53000000</v>
      </c>
      <c r="G3405" s="42" t="s">
        <v>1025</v>
      </c>
      <c r="H3405" s="42" t="s">
        <v>1077</v>
      </c>
      <c r="I3405" s="42" t="s">
        <v>893</v>
      </c>
    </row>
    <row r="3406" spans="1:9">
      <c r="A3406" s="42" t="s">
        <v>897</v>
      </c>
      <c r="B3406" s="42" t="s">
        <v>242</v>
      </c>
      <c r="C3406" s="42" t="s">
        <v>920</v>
      </c>
      <c r="D3406" s="42" t="s">
        <v>174</v>
      </c>
      <c r="E3406" s="42" t="s">
        <v>808</v>
      </c>
      <c r="F3406" s="45">
        <v>-1000000</v>
      </c>
      <c r="G3406" s="42" t="s">
        <v>1025</v>
      </c>
      <c r="H3406" s="42" t="s">
        <v>1077</v>
      </c>
      <c r="I3406" s="42" t="s">
        <v>893</v>
      </c>
    </row>
    <row r="3407" spans="1:9">
      <c r="A3407" s="42" t="s">
        <v>897</v>
      </c>
      <c r="B3407" s="42" t="s">
        <v>302</v>
      </c>
      <c r="C3407" s="42" t="s">
        <v>921</v>
      </c>
      <c r="D3407" s="42" t="s">
        <v>174</v>
      </c>
      <c r="E3407" s="42" t="s">
        <v>808</v>
      </c>
      <c r="F3407" s="45">
        <v>-51000000</v>
      </c>
      <c r="G3407" s="42" t="s">
        <v>1025</v>
      </c>
      <c r="H3407" s="42" t="s">
        <v>1077</v>
      </c>
      <c r="I3407" s="42" t="s">
        <v>893</v>
      </c>
    </row>
    <row r="3408" spans="1:9">
      <c r="A3408" s="42" t="s">
        <v>897</v>
      </c>
      <c r="B3408" s="42" t="s">
        <v>326</v>
      </c>
      <c r="C3408" s="42" t="s">
        <v>922</v>
      </c>
      <c r="D3408" s="42" t="s">
        <v>174</v>
      </c>
      <c r="E3408" s="42" t="s">
        <v>808</v>
      </c>
      <c r="F3408" s="45">
        <v>5000000</v>
      </c>
      <c r="G3408" s="42" t="s">
        <v>1025</v>
      </c>
      <c r="H3408" s="42" t="s">
        <v>1077</v>
      </c>
      <c r="I3408" s="42" t="s">
        <v>893</v>
      </c>
    </row>
    <row r="3409" spans="1:9">
      <c r="A3409" s="42" t="s">
        <v>897</v>
      </c>
      <c r="B3409" s="42" t="s">
        <v>327</v>
      </c>
      <c r="C3409" s="42" t="s">
        <v>1009</v>
      </c>
      <c r="D3409" s="42" t="s">
        <v>174</v>
      </c>
      <c r="E3409" s="42" t="s">
        <v>808</v>
      </c>
      <c r="F3409" s="45">
        <v>0</v>
      </c>
      <c r="G3409" s="42" t="s">
        <v>1025</v>
      </c>
      <c r="H3409" s="42" t="s">
        <v>1072</v>
      </c>
      <c r="I3409" s="42" t="s">
        <v>893</v>
      </c>
    </row>
    <row r="3410" spans="1:9">
      <c r="A3410" s="42" t="s">
        <v>897</v>
      </c>
      <c r="B3410" s="42" t="s">
        <v>328</v>
      </c>
      <c r="C3410" s="42" t="s">
        <v>924</v>
      </c>
      <c r="D3410" s="42" t="s">
        <v>174</v>
      </c>
      <c r="E3410" s="42" t="s">
        <v>808</v>
      </c>
      <c r="F3410" s="45">
        <v>2000000</v>
      </c>
      <c r="G3410" s="42" t="s">
        <v>1025</v>
      </c>
      <c r="H3410" s="42" t="s">
        <v>1077</v>
      </c>
      <c r="I3410" s="42" t="s">
        <v>893</v>
      </c>
    </row>
    <row r="3411" spans="1:9">
      <c r="A3411" s="42" t="s">
        <v>897</v>
      </c>
      <c r="B3411" s="42" t="s">
        <v>329</v>
      </c>
      <c r="C3411" s="42" t="s">
        <v>925</v>
      </c>
      <c r="D3411" s="42" t="s">
        <v>174</v>
      </c>
      <c r="E3411" s="42" t="s">
        <v>808</v>
      </c>
      <c r="F3411" s="45">
        <v>1708000000</v>
      </c>
      <c r="G3411" s="42" t="s">
        <v>1025</v>
      </c>
      <c r="H3411" s="42" t="s">
        <v>1077</v>
      </c>
      <c r="I3411" s="42" t="s">
        <v>893</v>
      </c>
    </row>
    <row r="3412" spans="1:9">
      <c r="A3412" s="42" t="s">
        <v>897</v>
      </c>
      <c r="B3412" s="42" t="s">
        <v>372</v>
      </c>
      <c r="C3412" s="42" t="s">
        <v>926</v>
      </c>
      <c r="D3412" s="42" t="s">
        <v>174</v>
      </c>
      <c r="E3412" s="42" t="s">
        <v>808</v>
      </c>
      <c r="F3412" s="45">
        <v>32000000</v>
      </c>
      <c r="G3412" s="42" t="s">
        <v>1025</v>
      </c>
      <c r="H3412" s="42" t="s">
        <v>1077</v>
      </c>
      <c r="I3412" s="42" t="s">
        <v>896</v>
      </c>
    </row>
    <row r="3413" spans="1:9">
      <c r="A3413" s="42" t="s">
        <v>897</v>
      </c>
      <c r="B3413" s="42" t="s">
        <v>373</v>
      </c>
      <c r="C3413" s="42" t="s">
        <v>1032</v>
      </c>
      <c r="D3413" s="42" t="s">
        <v>174</v>
      </c>
      <c r="E3413" s="42" t="s">
        <v>808</v>
      </c>
      <c r="F3413" s="45">
        <v>-61000000</v>
      </c>
      <c r="G3413" s="42" t="s">
        <v>1025</v>
      </c>
      <c r="H3413" s="42" t="s">
        <v>1077</v>
      </c>
      <c r="I3413" s="42" t="s">
        <v>896</v>
      </c>
    </row>
    <row r="3414" spans="1:9">
      <c r="A3414" s="42" t="s">
        <v>897</v>
      </c>
      <c r="B3414" s="42" t="s">
        <v>330</v>
      </c>
      <c r="C3414" s="42" t="s">
        <v>927</v>
      </c>
      <c r="D3414" s="42" t="s">
        <v>174</v>
      </c>
      <c r="E3414" s="42" t="s">
        <v>808</v>
      </c>
      <c r="F3414" s="45">
        <v>-1545000000</v>
      </c>
      <c r="G3414" s="42" t="s">
        <v>1025</v>
      </c>
      <c r="H3414" s="42" t="s">
        <v>1077</v>
      </c>
      <c r="I3414" s="42" t="s">
        <v>893</v>
      </c>
    </row>
    <row r="3415" spans="1:9">
      <c r="A3415" s="42" t="s">
        <v>897</v>
      </c>
      <c r="B3415" s="42" t="s">
        <v>332</v>
      </c>
      <c r="C3415" s="42" t="s">
        <v>932</v>
      </c>
      <c r="D3415" s="42" t="s">
        <v>174</v>
      </c>
      <c r="E3415" s="42" t="s">
        <v>808</v>
      </c>
      <c r="F3415" s="45">
        <v>-1000000</v>
      </c>
      <c r="G3415" s="42" t="s">
        <v>1025</v>
      </c>
      <c r="H3415" s="42" t="s">
        <v>1077</v>
      </c>
      <c r="I3415" s="42" t="s">
        <v>893</v>
      </c>
    </row>
    <row r="3416" spans="1:9">
      <c r="A3416" s="42" t="s">
        <v>897</v>
      </c>
      <c r="B3416" s="42" t="s">
        <v>334</v>
      </c>
      <c r="C3416" s="42" t="s">
        <v>933</v>
      </c>
      <c r="D3416" s="42" t="s">
        <v>174</v>
      </c>
      <c r="E3416" s="42" t="s">
        <v>808</v>
      </c>
      <c r="F3416" s="45">
        <v>11000000</v>
      </c>
      <c r="G3416" s="42" t="s">
        <v>1025</v>
      </c>
      <c r="H3416" s="42" t="s">
        <v>1077</v>
      </c>
      <c r="I3416" s="42" t="s">
        <v>893</v>
      </c>
    </row>
    <row r="3417" spans="1:9">
      <c r="A3417" s="42" t="s">
        <v>897</v>
      </c>
      <c r="B3417" s="42" t="s">
        <v>335</v>
      </c>
      <c r="C3417" s="42" t="s">
        <v>1068</v>
      </c>
      <c r="D3417" s="42" t="s">
        <v>174</v>
      </c>
      <c r="E3417" s="42" t="s">
        <v>808</v>
      </c>
      <c r="F3417" s="45">
        <v>1000000</v>
      </c>
      <c r="G3417" s="42" t="s">
        <v>1025</v>
      </c>
      <c r="H3417" s="42" t="s">
        <v>1077</v>
      </c>
      <c r="I3417" s="42" t="s">
        <v>893</v>
      </c>
    </row>
    <row r="3418" spans="1:9">
      <c r="A3418" s="42" t="s">
        <v>897</v>
      </c>
      <c r="B3418" s="42" t="s">
        <v>336</v>
      </c>
      <c r="C3418" s="42" t="s">
        <v>938</v>
      </c>
      <c r="D3418" s="42" t="s">
        <v>174</v>
      </c>
      <c r="E3418" s="42" t="s">
        <v>808</v>
      </c>
      <c r="F3418" s="45">
        <v>-1563000000</v>
      </c>
      <c r="G3418" s="42" t="s">
        <v>1025</v>
      </c>
      <c r="H3418" s="42" t="s">
        <v>1077</v>
      </c>
      <c r="I3418" s="42" t="s">
        <v>893</v>
      </c>
    </row>
    <row r="3419" spans="1:9">
      <c r="A3419" s="42" t="s">
        <v>897</v>
      </c>
      <c r="B3419" s="42" t="s">
        <v>337</v>
      </c>
      <c r="C3419" s="42" t="s">
        <v>991</v>
      </c>
      <c r="D3419" s="42" t="s">
        <v>174</v>
      </c>
      <c r="E3419" s="42" t="s">
        <v>808</v>
      </c>
      <c r="F3419" s="45">
        <v>-321000000</v>
      </c>
      <c r="G3419" s="42" t="s">
        <v>1025</v>
      </c>
      <c r="H3419" s="42" t="s">
        <v>1077</v>
      </c>
      <c r="I3419" s="42" t="s">
        <v>893</v>
      </c>
    </row>
    <row r="3420" spans="1:9">
      <c r="A3420" s="42" t="s">
        <v>897</v>
      </c>
      <c r="B3420" s="42" t="s">
        <v>338</v>
      </c>
      <c r="C3420" s="42" t="s">
        <v>972</v>
      </c>
      <c r="D3420" s="42" t="s">
        <v>174</v>
      </c>
      <c r="E3420" s="42" t="s">
        <v>808</v>
      </c>
      <c r="F3420" s="45">
        <v>-130000000</v>
      </c>
      <c r="G3420" s="42" t="s">
        <v>1025</v>
      </c>
      <c r="H3420" s="42" t="s">
        <v>1077</v>
      </c>
      <c r="I3420" s="42" t="s">
        <v>893</v>
      </c>
    </row>
    <row r="3421" spans="1:9">
      <c r="A3421" s="42" t="s">
        <v>897</v>
      </c>
      <c r="B3421" s="42" t="s">
        <v>939</v>
      </c>
      <c r="C3421" s="42" t="s">
        <v>973</v>
      </c>
      <c r="D3421" s="42" t="s">
        <v>174</v>
      </c>
      <c r="E3421" s="42" t="s">
        <v>808</v>
      </c>
      <c r="F3421" s="45">
        <v>399000000</v>
      </c>
      <c r="G3421" s="42" t="s">
        <v>1025</v>
      </c>
      <c r="H3421" s="42" t="s">
        <v>1077</v>
      </c>
      <c r="I3421" s="42" t="s">
        <v>893</v>
      </c>
    </row>
    <row r="3422" spans="1:9">
      <c r="A3422" s="42" t="s">
        <v>897</v>
      </c>
      <c r="B3422" s="42" t="s">
        <v>340</v>
      </c>
      <c r="C3422" s="42" t="s">
        <v>1034</v>
      </c>
      <c r="D3422" s="42" t="s">
        <v>174</v>
      </c>
      <c r="E3422" s="42" t="s">
        <v>808</v>
      </c>
      <c r="F3422" s="45">
        <v>34000000</v>
      </c>
      <c r="G3422" s="42" t="s">
        <v>1025</v>
      </c>
      <c r="H3422" s="42" t="s">
        <v>1077</v>
      </c>
      <c r="I3422" s="42" t="s">
        <v>893</v>
      </c>
    </row>
    <row r="3423" spans="1:9">
      <c r="A3423" s="42" t="s">
        <v>897</v>
      </c>
      <c r="B3423" s="42" t="s">
        <v>342</v>
      </c>
      <c r="C3423" s="42" t="s">
        <v>1014</v>
      </c>
      <c r="D3423" s="42" t="s">
        <v>174</v>
      </c>
      <c r="E3423" s="42" t="s">
        <v>808</v>
      </c>
      <c r="F3423" s="45">
        <v>-92000000</v>
      </c>
      <c r="G3423" s="42" t="s">
        <v>1025</v>
      </c>
      <c r="H3423" s="42" t="s">
        <v>1077</v>
      </c>
      <c r="I3423" s="42" t="s">
        <v>893</v>
      </c>
    </row>
    <row r="3424" spans="1:9">
      <c r="A3424" s="42" t="s">
        <v>897</v>
      </c>
      <c r="B3424" s="42" t="s">
        <v>343</v>
      </c>
      <c r="C3424" s="42" t="s">
        <v>1016</v>
      </c>
      <c r="D3424" s="42" t="s">
        <v>174</v>
      </c>
      <c r="E3424" s="42" t="s">
        <v>808</v>
      </c>
      <c r="F3424" s="45">
        <v>-1000000</v>
      </c>
      <c r="G3424" s="42" t="s">
        <v>1025</v>
      </c>
      <c r="H3424" s="42" t="s">
        <v>1077</v>
      </c>
      <c r="I3424" s="42" t="s">
        <v>893</v>
      </c>
    </row>
    <row r="3425" spans="1:9">
      <c r="A3425" s="42" t="s">
        <v>897</v>
      </c>
      <c r="B3425" s="42" t="s">
        <v>344</v>
      </c>
      <c r="C3425" s="42" t="s">
        <v>980</v>
      </c>
      <c r="D3425" s="42" t="s">
        <v>174</v>
      </c>
      <c r="E3425" s="42" t="s">
        <v>808</v>
      </c>
      <c r="F3425" s="45">
        <v>-111000000</v>
      </c>
      <c r="G3425" s="42" t="s">
        <v>1025</v>
      </c>
      <c r="H3425" s="42" t="s">
        <v>1077</v>
      </c>
      <c r="I3425" s="42" t="s">
        <v>893</v>
      </c>
    </row>
    <row r="3426" spans="1:9">
      <c r="A3426" s="42" t="s">
        <v>897</v>
      </c>
      <c r="B3426" s="42" t="s">
        <v>345</v>
      </c>
      <c r="C3426" s="42" t="s">
        <v>1035</v>
      </c>
      <c r="D3426" s="42" t="s">
        <v>174</v>
      </c>
      <c r="E3426" s="42" t="s">
        <v>808</v>
      </c>
      <c r="F3426" s="45">
        <v>-207000000</v>
      </c>
      <c r="G3426" s="42" t="s">
        <v>1025</v>
      </c>
      <c r="H3426" s="42" t="s">
        <v>1077</v>
      </c>
      <c r="I3426" s="42" t="s">
        <v>893</v>
      </c>
    </row>
    <row r="3427" spans="1:9">
      <c r="A3427" s="42" t="s">
        <v>897</v>
      </c>
      <c r="B3427" s="42" t="s">
        <v>346</v>
      </c>
      <c r="C3427" s="42" t="s">
        <v>956</v>
      </c>
      <c r="D3427" s="42" t="s">
        <v>174</v>
      </c>
      <c r="E3427" s="42" t="s">
        <v>808</v>
      </c>
      <c r="F3427" s="45">
        <v>-173000000</v>
      </c>
      <c r="G3427" s="42" t="s">
        <v>1025</v>
      </c>
      <c r="H3427" s="42" t="s">
        <v>1077</v>
      </c>
      <c r="I3427" s="42" t="s">
        <v>893</v>
      </c>
    </row>
    <row r="3428" spans="1:9">
      <c r="A3428" s="42" t="s">
        <v>897</v>
      </c>
      <c r="B3428" s="42" t="s">
        <v>347</v>
      </c>
      <c r="C3428" s="42" t="s">
        <v>981</v>
      </c>
      <c r="D3428" s="42" t="s">
        <v>174</v>
      </c>
      <c r="E3428" s="42" t="s">
        <v>808</v>
      </c>
      <c r="F3428" s="45">
        <v>1296000000</v>
      </c>
      <c r="G3428" s="42" t="s">
        <v>1039</v>
      </c>
      <c r="H3428" s="42" t="s">
        <v>135</v>
      </c>
      <c r="I3428" s="42" t="s">
        <v>893</v>
      </c>
    </row>
    <row r="3429" spans="1:9">
      <c r="A3429" s="42" t="s">
        <v>897</v>
      </c>
      <c r="B3429" s="42" t="s">
        <v>348</v>
      </c>
      <c r="C3429" s="42" t="s">
        <v>982</v>
      </c>
      <c r="D3429" s="42" t="s">
        <v>174</v>
      </c>
      <c r="E3429" s="42" t="s">
        <v>808</v>
      </c>
      <c r="F3429" s="45">
        <v>1123000000</v>
      </c>
      <c r="G3429" s="42" t="s">
        <v>985</v>
      </c>
      <c r="H3429" s="42" t="s">
        <v>149</v>
      </c>
      <c r="I3429" s="42" t="s">
        <v>893</v>
      </c>
    </row>
    <row r="3430" spans="1:9">
      <c r="A3430" s="42" t="s">
        <v>897</v>
      </c>
      <c r="B3430" s="42" t="s">
        <v>346</v>
      </c>
      <c r="C3430" s="42" t="s">
        <v>961</v>
      </c>
      <c r="D3430" s="42" t="s">
        <v>174</v>
      </c>
      <c r="E3430" s="42" t="s">
        <v>808</v>
      </c>
      <c r="F3430" s="45">
        <v>-173000000</v>
      </c>
      <c r="G3430" s="42" t="s">
        <v>1025</v>
      </c>
      <c r="H3430" s="42" t="s">
        <v>1077</v>
      </c>
      <c r="I3430" s="42" t="s">
        <v>893</v>
      </c>
    </row>
    <row r="3431" spans="1:9">
      <c r="A3431" s="42" t="s">
        <v>897</v>
      </c>
      <c r="B3431" s="42" t="s">
        <v>313</v>
      </c>
      <c r="C3431" s="42" t="s">
        <v>994</v>
      </c>
      <c r="D3431" s="42" t="s">
        <v>682</v>
      </c>
      <c r="E3431" s="42" t="s">
        <v>762</v>
      </c>
      <c r="F3431" s="45">
        <v>2393000000</v>
      </c>
      <c r="G3431" s="42" t="s">
        <v>763</v>
      </c>
      <c r="H3431" s="42" t="s">
        <v>149</v>
      </c>
      <c r="I3431" s="42" t="s">
        <v>893</v>
      </c>
    </row>
    <row r="3432" spans="1:9">
      <c r="A3432" s="42" t="s">
        <v>897</v>
      </c>
      <c r="B3432" s="42" t="s">
        <v>201</v>
      </c>
      <c r="C3432" s="42" t="s">
        <v>966</v>
      </c>
      <c r="D3432" s="42" t="s">
        <v>682</v>
      </c>
      <c r="E3432" s="42" t="s">
        <v>762</v>
      </c>
      <c r="F3432" s="45">
        <v>-396000000</v>
      </c>
      <c r="G3432" s="42" t="s">
        <v>763</v>
      </c>
      <c r="H3432" s="42" t="s">
        <v>149</v>
      </c>
      <c r="I3432" s="42" t="s">
        <v>893</v>
      </c>
    </row>
    <row r="3433" spans="1:9">
      <c r="A3433" s="42" t="s">
        <v>897</v>
      </c>
      <c r="B3433" s="42" t="s">
        <v>314</v>
      </c>
      <c r="C3433" s="42" t="s">
        <v>900</v>
      </c>
      <c r="D3433" s="42" t="s">
        <v>682</v>
      </c>
      <c r="E3433" s="42" t="s">
        <v>762</v>
      </c>
      <c r="F3433" s="45">
        <v>2446000000</v>
      </c>
      <c r="G3433" s="42" t="s">
        <v>763</v>
      </c>
      <c r="H3433" s="42" t="s">
        <v>149</v>
      </c>
      <c r="I3433" s="42" t="s">
        <v>893</v>
      </c>
    </row>
    <row r="3434" spans="1:9">
      <c r="A3434" s="42" t="s">
        <v>897</v>
      </c>
      <c r="B3434" s="42" t="s">
        <v>315</v>
      </c>
      <c r="C3434" s="42" t="s">
        <v>901</v>
      </c>
      <c r="D3434" s="42" t="s">
        <v>682</v>
      </c>
      <c r="E3434" s="42" t="s">
        <v>762</v>
      </c>
      <c r="F3434" s="45">
        <v>43000000</v>
      </c>
      <c r="G3434" s="42" t="s">
        <v>763</v>
      </c>
      <c r="H3434" s="42" t="s">
        <v>149</v>
      </c>
      <c r="I3434" s="42" t="s">
        <v>893</v>
      </c>
    </row>
    <row r="3435" spans="1:9">
      <c r="A3435" s="42" t="s">
        <v>897</v>
      </c>
      <c r="B3435" s="42" t="s">
        <v>316</v>
      </c>
      <c r="C3435" s="42" t="s">
        <v>1004</v>
      </c>
      <c r="D3435" s="42" t="s">
        <v>682</v>
      </c>
      <c r="E3435" s="42" t="s">
        <v>762</v>
      </c>
      <c r="F3435" s="45">
        <v>270000000</v>
      </c>
      <c r="G3435" s="42" t="s">
        <v>763</v>
      </c>
      <c r="H3435" s="42" t="s">
        <v>149</v>
      </c>
      <c r="I3435" s="42" t="s">
        <v>893</v>
      </c>
    </row>
    <row r="3436" spans="1:9">
      <c r="A3436" s="42" t="s">
        <v>897</v>
      </c>
      <c r="B3436" s="42" t="s">
        <v>317</v>
      </c>
      <c r="C3436" s="42" t="s">
        <v>967</v>
      </c>
      <c r="D3436" s="42" t="s">
        <v>682</v>
      </c>
      <c r="E3436" s="42" t="s">
        <v>762</v>
      </c>
      <c r="F3436" s="45">
        <v>620000000</v>
      </c>
      <c r="G3436" s="42" t="s">
        <v>763</v>
      </c>
      <c r="H3436" s="42" t="s">
        <v>149</v>
      </c>
      <c r="I3436" s="42" t="s">
        <v>893</v>
      </c>
    </row>
    <row r="3437" spans="1:9">
      <c r="A3437" s="42" t="s">
        <v>897</v>
      </c>
      <c r="B3437" s="42" t="s">
        <v>318</v>
      </c>
      <c r="C3437" s="42" t="s">
        <v>904</v>
      </c>
      <c r="D3437" s="42" t="s">
        <v>682</v>
      </c>
      <c r="E3437" s="42" t="s">
        <v>762</v>
      </c>
      <c r="F3437" s="45">
        <v>-1373000000</v>
      </c>
      <c r="G3437" s="42" t="s">
        <v>763</v>
      </c>
      <c r="H3437" s="42" t="s">
        <v>149</v>
      </c>
      <c r="I3437" s="42" t="s">
        <v>893</v>
      </c>
    </row>
    <row r="3438" spans="1:9">
      <c r="A3438" s="42" t="s">
        <v>897</v>
      </c>
      <c r="B3438" s="42" t="s">
        <v>319</v>
      </c>
      <c r="C3438" s="42" t="s">
        <v>907</v>
      </c>
      <c r="D3438" s="42" t="s">
        <v>682</v>
      </c>
      <c r="E3438" s="42" t="s">
        <v>762</v>
      </c>
      <c r="F3438" s="45">
        <v>748000000</v>
      </c>
      <c r="G3438" s="42" t="s">
        <v>763</v>
      </c>
      <c r="H3438" s="42" t="s">
        <v>149</v>
      </c>
      <c r="I3438" s="42" t="s">
        <v>893</v>
      </c>
    </row>
    <row r="3439" spans="1:9">
      <c r="A3439" s="42" t="s">
        <v>897</v>
      </c>
      <c r="B3439" s="42" t="s">
        <v>198</v>
      </c>
      <c r="C3439" s="42" t="s">
        <v>1066</v>
      </c>
      <c r="D3439" s="42" t="s">
        <v>682</v>
      </c>
      <c r="E3439" s="42" t="s">
        <v>762</v>
      </c>
      <c r="F3439" s="45">
        <v>87000000</v>
      </c>
      <c r="G3439" s="42" t="s">
        <v>763</v>
      </c>
      <c r="H3439" s="42" t="s">
        <v>149</v>
      </c>
      <c r="I3439" s="42" t="s">
        <v>893</v>
      </c>
    </row>
    <row r="3440" spans="1:9">
      <c r="A3440" s="42" t="s">
        <v>897</v>
      </c>
      <c r="B3440" s="42" t="s">
        <v>320</v>
      </c>
      <c r="C3440" s="42" t="s">
        <v>1048</v>
      </c>
      <c r="D3440" s="42" t="s">
        <v>682</v>
      </c>
      <c r="E3440" s="42" t="s">
        <v>762</v>
      </c>
      <c r="F3440" s="45">
        <v>613000000</v>
      </c>
      <c r="G3440" s="42" t="s">
        <v>763</v>
      </c>
      <c r="H3440" s="42" t="s">
        <v>149</v>
      </c>
      <c r="I3440" s="42" t="s">
        <v>893</v>
      </c>
    </row>
    <row r="3441" spans="1:9">
      <c r="A3441" s="42" t="s">
        <v>897</v>
      </c>
      <c r="B3441" s="42" t="s">
        <v>251</v>
      </c>
      <c r="C3441" s="42" t="s">
        <v>909</v>
      </c>
      <c r="D3441" s="42" t="s">
        <v>682</v>
      </c>
      <c r="E3441" s="42" t="s">
        <v>762</v>
      </c>
      <c r="F3441" s="45">
        <v>7000000</v>
      </c>
      <c r="G3441" s="42" t="s">
        <v>763</v>
      </c>
      <c r="H3441" s="42" t="s">
        <v>149</v>
      </c>
      <c r="I3441" s="42" t="s">
        <v>893</v>
      </c>
    </row>
    <row r="3442" spans="1:9">
      <c r="A3442" s="42" t="s">
        <v>897</v>
      </c>
      <c r="B3442" s="42" t="s">
        <v>321</v>
      </c>
      <c r="C3442" s="42" t="s">
        <v>1049</v>
      </c>
      <c r="D3442" s="42" t="s">
        <v>682</v>
      </c>
      <c r="E3442" s="42" t="s">
        <v>762</v>
      </c>
      <c r="F3442" s="45">
        <v>-6000000</v>
      </c>
      <c r="G3442" s="42" t="s">
        <v>763</v>
      </c>
      <c r="H3442" s="42" t="s">
        <v>149</v>
      </c>
      <c r="I3442" s="42" t="s">
        <v>893</v>
      </c>
    </row>
    <row r="3443" spans="1:9">
      <c r="A3443" s="42" t="s">
        <v>897</v>
      </c>
      <c r="B3443" s="42" t="s">
        <v>322</v>
      </c>
      <c r="C3443" s="42" t="s">
        <v>1078</v>
      </c>
      <c r="D3443" s="42" t="s">
        <v>682</v>
      </c>
      <c r="E3443" s="42" t="s">
        <v>762</v>
      </c>
      <c r="F3443" s="45">
        <v>260000000</v>
      </c>
      <c r="G3443" s="42" t="s">
        <v>763</v>
      </c>
      <c r="H3443" s="42" t="s">
        <v>149</v>
      </c>
      <c r="I3443" s="42" t="s">
        <v>893</v>
      </c>
    </row>
    <row r="3444" spans="1:9">
      <c r="A3444" s="42" t="s">
        <v>897</v>
      </c>
      <c r="B3444" s="42" t="s">
        <v>324</v>
      </c>
      <c r="C3444" s="42" t="s">
        <v>1008</v>
      </c>
      <c r="D3444" s="42" t="s">
        <v>682</v>
      </c>
      <c r="E3444" s="42" t="s">
        <v>762</v>
      </c>
      <c r="F3444" s="45">
        <v>-5000000</v>
      </c>
      <c r="G3444" s="42" t="s">
        <v>763</v>
      </c>
      <c r="H3444" s="42" t="s">
        <v>149</v>
      </c>
      <c r="I3444" s="42" t="s">
        <v>893</v>
      </c>
    </row>
    <row r="3445" spans="1:9">
      <c r="A3445" s="42" t="s">
        <v>897</v>
      </c>
      <c r="B3445" s="42" t="s">
        <v>293</v>
      </c>
      <c r="C3445" s="42" t="s">
        <v>912</v>
      </c>
      <c r="D3445" s="42" t="s">
        <v>682</v>
      </c>
      <c r="E3445" s="42" t="s">
        <v>762</v>
      </c>
      <c r="F3445" s="45">
        <v>-808000000</v>
      </c>
      <c r="G3445" s="42" t="s">
        <v>763</v>
      </c>
      <c r="H3445" s="42" t="s">
        <v>149</v>
      </c>
      <c r="I3445" s="42" t="s">
        <v>893</v>
      </c>
    </row>
    <row r="3446" spans="1:9">
      <c r="A3446" s="42" t="s">
        <v>897</v>
      </c>
      <c r="B3446" s="42" t="s">
        <v>292</v>
      </c>
      <c r="C3446" s="42" t="s">
        <v>913</v>
      </c>
      <c r="D3446" s="42" t="s">
        <v>682</v>
      </c>
      <c r="E3446" s="42" t="s">
        <v>762</v>
      </c>
      <c r="F3446" s="45">
        <v>-540000000</v>
      </c>
      <c r="G3446" s="42" t="s">
        <v>763</v>
      </c>
      <c r="H3446" s="42" t="s">
        <v>149</v>
      </c>
      <c r="I3446" s="42" t="s">
        <v>893</v>
      </c>
    </row>
    <row r="3447" spans="1:9">
      <c r="A3447" s="42" t="s">
        <v>897</v>
      </c>
      <c r="B3447" s="42" t="s">
        <v>241</v>
      </c>
      <c r="C3447" s="42" t="s">
        <v>914</v>
      </c>
      <c r="D3447" s="42" t="s">
        <v>682</v>
      </c>
      <c r="E3447" s="42" t="s">
        <v>762</v>
      </c>
      <c r="F3447" s="45">
        <v>127000000</v>
      </c>
      <c r="G3447" s="42" t="s">
        <v>763</v>
      </c>
      <c r="H3447" s="42" t="s">
        <v>149</v>
      </c>
      <c r="I3447" s="42" t="s">
        <v>893</v>
      </c>
    </row>
    <row r="3448" spans="1:9">
      <c r="A3448" s="42" t="s">
        <v>897</v>
      </c>
      <c r="B3448" s="42" t="s">
        <v>310</v>
      </c>
      <c r="C3448" s="42" t="s">
        <v>915</v>
      </c>
      <c r="D3448" s="42" t="s">
        <v>682</v>
      </c>
      <c r="E3448" s="42" t="s">
        <v>762</v>
      </c>
      <c r="F3448" s="45">
        <v>702000000</v>
      </c>
      <c r="G3448" s="42" t="s">
        <v>763</v>
      </c>
      <c r="H3448" s="42" t="s">
        <v>149</v>
      </c>
      <c r="I3448" s="42" t="s">
        <v>893</v>
      </c>
    </row>
    <row r="3449" spans="1:9">
      <c r="A3449" s="42" t="s">
        <v>897</v>
      </c>
      <c r="B3449" s="42" t="s">
        <v>305</v>
      </c>
      <c r="C3449" s="42" t="s">
        <v>916</v>
      </c>
      <c r="D3449" s="42" t="s">
        <v>682</v>
      </c>
      <c r="E3449" s="42" t="s">
        <v>762</v>
      </c>
      <c r="F3449" s="45">
        <v>141000000</v>
      </c>
      <c r="G3449" s="42" t="s">
        <v>763</v>
      </c>
      <c r="H3449" s="42" t="s">
        <v>149</v>
      </c>
      <c r="I3449" s="42" t="s">
        <v>893</v>
      </c>
    </row>
    <row r="3450" spans="1:9">
      <c r="A3450" s="42" t="s">
        <v>897</v>
      </c>
      <c r="B3450" s="42" t="s">
        <v>306</v>
      </c>
      <c r="C3450" s="42" t="s">
        <v>917</v>
      </c>
      <c r="D3450" s="42" t="s">
        <v>682</v>
      </c>
      <c r="E3450" s="42" t="s">
        <v>762</v>
      </c>
      <c r="F3450" s="45">
        <v>279000000</v>
      </c>
      <c r="G3450" s="42" t="s">
        <v>763</v>
      </c>
      <c r="H3450" s="42" t="s">
        <v>149</v>
      </c>
      <c r="I3450" s="42" t="s">
        <v>893</v>
      </c>
    </row>
    <row r="3451" spans="1:9">
      <c r="A3451" s="42" t="s">
        <v>897</v>
      </c>
      <c r="B3451" s="42" t="s">
        <v>309</v>
      </c>
      <c r="C3451" s="42" t="s">
        <v>918</v>
      </c>
      <c r="D3451" s="42" t="s">
        <v>682</v>
      </c>
      <c r="E3451" s="42" t="s">
        <v>762</v>
      </c>
      <c r="F3451" s="45">
        <v>219000000</v>
      </c>
      <c r="G3451" s="42" t="s">
        <v>763</v>
      </c>
      <c r="H3451" s="42" t="s">
        <v>149</v>
      </c>
      <c r="I3451" s="42" t="s">
        <v>893</v>
      </c>
    </row>
    <row r="3452" spans="1:9">
      <c r="A3452" s="42" t="s">
        <v>897</v>
      </c>
      <c r="B3452" s="42" t="s">
        <v>325</v>
      </c>
      <c r="C3452" s="42" t="s">
        <v>919</v>
      </c>
      <c r="D3452" s="42" t="s">
        <v>682</v>
      </c>
      <c r="E3452" s="42" t="s">
        <v>762</v>
      </c>
      <c r="F3452" s="45">
        <v>-171000000</v>
      </c>
      <c r="G3452" s="42" t="s">
        <v>763</v>
      </c>
      <c r="H3452" s="42" t="s">
        <v>149</v>
      </c>
      <c r="I3452" s="42" t="s">
        <v>893</v>
      </c>
    </row>
    <row r="3453" spans="1:9">
      <c r="A3453" s="42" t="s">
        <v>897</v>
      </c>
      <c r="B3453" s="42" t="s">
        <v>242</v>
      </c>
      <c r="C3453" s="42" t="s">
        <v>920</v>
      </c>
      <c r="D3453" s="42" t="s">
        <v>682</v>
      </c>
      <c r="E3453" s="42" t="s">
        <v>762</v>
      </c>
      <c r="F3453" s="45">
        <v>-23000000</v>
      </c>
      <c r="G3453" s="42" t="s">
        <v>763</v>
      </c>
      <c r="H3453" s="42" t="s">
        <v>149</v>
      </c>
      <c r="I3453" s="42" t="s">
        <v>893</v>
      </c>
    </row>
    <row r="3454" spans="1:9">
      <c r="A3454" s="42" t="s">
        <v>897</v>
      </c>
      <c r="B3454" s="42" t="s">
        <v>302</v>
      </c>
      <c r="C3454" s="42" t="s">
        <v>921</v>
      </c>
      <c r="D3454" s="42" t="s">
        <v>682</v>
      </c>
      <c r="E3454" s="42" t="s">
        <v>762</v>
      </c>
      <c r="F3454" s="45">
        <v>88000000</v>
      </c>
      <c r="G3454" s="42" t="s">
        <v>763</v>
      </c>
      <c r="H3454" s="42" t="s">
        <v>149</v>
      </c>
      <c r="I3454" s="42" t="s">
        <v>893</v>
      </c>
    </row>
    <row r="3455" spans="1:9">
      <c r="A3455" s="42" t="s">
        <v>897</v>
      </c>
      <c r="B3455" s="42" t="s">
        <v>326</v>
      </c>
      <c r="C3455" s="42" t="s">
        <v>922</v>
      </c>
      <c r="D3455" s="42" t="s">
        <v>682</v>
      </c>
      <c r="E3455" s="42" t="s">
        <v>762</v>
      </c>
      <c r="F3455" s="45">
        <v>174000000</v>
      </c>
      <c r="G3455" s="42" t="s">
        <v>763</v>
      </c>
      <c r="H3455" s="42" t="s">
        <v>149</v>
      </c>
      <c r="I3455" s="42" t="s">
        <v>893</v>
      </c>
    </row>
    <row r="3456" spans="1:9">
      <c r="A3456" s="42" t="s">
        <v>897</v>
      </c>
      <c r="B3456" s="42" t="s">
        <v>328</v>
      </c>
      <c r="C3456" s="42" t="s">
        <v>924</v>
      </c>
      <c r="D3456" s="42" t="s">
        <v>682</v>
      </c>
      <c r="E3456" s="42" t="s">
        <v>762</v>
      </c>
      <c r="F3456" s="45">
        <v>-26000000</v>
      </c>
      <c r="G3456" s="42" t="s">
        <v>763</v>
      </c>
      <c r="H3456" s="42" t="s">
        <v>149</v>
      </c>
      <c r="I3456" s="42" t="s">
        <v>893</v>
      </c>
    </row>
    <row r="3457" spans="1:9">
      <c r="A3457" s="42" t="s">
        <v>897</v>
      </c>
      <c r="B3457" s="42" t="s">
        <v>329</v>
      </c>
      <c r="C3457" s="42" t="s">
        <v>925</v>
      </c>
      <c r="D3457" s="42" t="s">
        <v>682</v>
      </c>
      <c r="E3457" s="42" t="s">
        <v>762</v>
      </c>
      <c r="F3457" s="45">
        <v>5869000000</v>
      </c>
      <c r="G3457" s="42" t="s">
        <v>763</v>
      </c>
      <c r="H3457" s="42" t="s">
        <v>149</v>
      </c>
      <c r="I3457" s="42" t="s">
        <v>893</v>
      </c>
    </row>
    <row r="3458" spans="1:9">
      <c r="A3458" s="42" t="s">
        <v>897</v>
      </c>
      <c r="B3458" s="42" t="s">
        <v>372</v>
      </c>
      <c r="C3458" s="42" t="s">
        <v>926</v>
      </c>
      <c r="D3458" s="42" t="s">
        <v>682</v>
      </c>
      <c r="E3458" s="42" t="s">
        <v>762</v>
      </c>
      <c r="F3458" s="45">
        <v>229000000</v>
      </c>
      <c r="G3458" s="42" t="s">
        <v>763</v>
      </c>
      <c r="H3458" s="42" t="s">
        <v>149</v>
      </c>
      <c r="I3458" s="42" t="s">
        <v>896</v>
      </c>
    </row>
    <row r="3459" spans="1:9">
      <c r="A3459" s="42" t="s">
        <v>897</v>
      </c>
      <c r="B3459" s="42" t="s">
        <v>373</v>
      </c>
      <c r="C3459" s="42" t="s">
        <v>1032</v>
      </c>
      <c r="D3459" s="42" t="s">
        <v>682</v>
      </c>
      <c r="E3459" s="42" t="s">
        <v>762</v>
      </c>
      <c r="F3459" s="45">
        <v>-255000000</v>
      </c>
      <c r="G3459" s="42" t="s">
        <v>763</v>
      </c>
      <c r="H3459" s="42" t="s">
        <v>149</v>
      </c>
      <c r="I3459" s="42" t="s">
        <v>896</v>
      </c>
    </row>
    <row r="3460" spans="1:9">
      <c r="A3460" s="42" t="s">
        <v>897</v>
      </c>
      <c r="B3460" s="42" t="s">
        <v>330</v>
      </c>
      <c r="C3460" s="42" t="s">
        <v>927</v>
      </c>
      <c r="D3460" s="42" t="s">
        <v>682</v>
      </c>
      <c r="E3460" s="42" t="s">
        <v>762</v>
      </c>
      <c r="F3460" s="45">
        <v>-5392000000</v>
      </c>
      <c r="G3460" s="42" t="s">
        <v>763</v>
      </c>
      <c r="H3460" s="42" t="s">
        <v>149</v>
      </c>
      <c r="I3460" s="42" t="s">
        <v>893</v>
      </c>
    </row>
    <row r="3461" spans="1:9">
      <c r="A3461" s="42" t="s">
        <v>897</v>
      </c>
      <c r="B3461" s="42" t="s">
        <v>331</v>
      </c>
      <c r="C3461" s="42" t="s">
        <v>1079</v>
      </c>
      <c r="D3461" s="42" t="s">
        <v>682</v>
      </c>
      <c r="E3461" s="42" t="s">
        <v>762</v>
      </c>
      <c r="F3461" s="45">
        <v>-269000000</v>
      </c>
      <c r="G3461" s="42" t="s">
        <v>763</v>
      </c>
      <c r="H3461" s="42" t="s">
        <v>149</v>
      </c>
      <c r="I3461" s="42" t="s">
        <v>893</v>
      </c>
    </row>
    <row r="3462" spans="1:9">
      <c r="A3462" s="42" t="s">
        <v>897</v>
      </c>
      <c r="B3462" s="42" t="s">
        <v>332</v>
      </c>
      <c r="C3462" s="42" t="s">
        <v>932</v>
      </c>
      <c r="D3462" s="42" t="s">
        <v>682</v>
      </c>
      <c r="E3462" s="42" t="s">
        <v>762</v>
      </c>
      <c r="F3462" s="45">
        <v>-32803.24693023578</v>
      </c>
      <c r="G3462" s="42" t="s">
        <v>763</v>
      </c>
      <c r="H3462" s="42" t="s">
        <v>137</v>
      </c>
      <c r="I3462" s="42" t="s">
        <v>893</v>
      </c>
    </row>
    <row r="3463" spans="1:9">
      <c r="A3463" s="42" t="s">
        <v>897</v>
      </c>
      <c r="B3463" s="42" t="s">
        <v>334</v>
      </c>
      <c r="C3463" s="42" t="s">
        <v>933</v>
      </c>
      <c r="D3463" s="42" t="s">
        <v>682</v>
      </c>
      <c r="E3463" s="42" t="s">
        <v>762</v>
      </c>
      <c r="F3463" s="45">
        <v>34000000</v>
      </c>
      <c r="G3463" s="42" t="s">
        <v>763</v>
      </c>
      <c r="H3463" s="42" t="s">
        <v>149</v>
      </c>
      <c r="I3463" s="42" t="s">
        <v>893</v>
      </c>
    </row>
    <row r="3464" spans="1:9">
      <c r="A3464" s="42" t="s">
        <v>897</v>
      </c>
      <c r="B3464" s="42" t="s">
        <v>335</v>
      </c>
      <c r="C3464" s="42" t="s">
        <v>1068</v>
      </c>
      <c r="D3464" s="42" t="s">
        <v>682</v>
      </c>
      <c r="E3464" s="42" t="s">
        <v>762</v>
      </c>
      <c r="F3464" s="45">
        <v>142000000</v>
      </c>
      <c r="G3464" s="42" t="s">
        <v>763</v>
      </c>
      <c r="H3464" s="42" t="s">
        <v>149</v>
      </c>
      <c r="I3464" s="42" t="s">
        <v>893</v>
      </c>
    </row>
    <row r="3465" spans="1:9">
      <c r="A3465" s="42" t="s">
        <v>897</v>
      </c>
      <c r="B3465" s="42" t="s">
        <v>336</v>
      </c>
      <c r="C3465" s="42" t="s">
        <v>938</v>
      </c>
      <c r="D3465" s="42" t="s">
        <v>682</v>
      </c>
      <c r="E3465" s="42" t="s">
        <v>762</v>
      </c>
      <c r="F3465" s="45">
        <v>-5511000000</v>
      </c>
      <c r="G3465" s="42" t="s">
        <v>763</v>
      </c>
      <c r="H3465" s="42" t="s">
        <v>149</v>
      </c>
      <c r="I3465" s="42" t="s">
        <v>893</v>
      </c>
    </row>
    <row r="3466" spans="1:9">
      <c r="A3466" s="42" t="s">
        <v>897</v>
      </c>
      <c r="B3466" s="42" t="s">
        <v>337</v>
      </c>
      <c r="C3466" s="42" t="s">
        <v>991</v>
      </c>
      <c r="D3466" s="42" t="s">
        <v>682</v>
      </c>
      <c r="E3466" s="42" t="s">
        <v>762</v>
      </c>
      <c r="F3466" s="45">
        <v>-2102000000</v>
      </c>
      <c r="G3466" s="42" t="s">
        <v>763</v>
      </c>
      <c r="H3466" s="42" t="s">
        <v>149</v>
      </c>
      <c r="I3466" s="42" t="s">
        <v>893</v>
      </c>
    </row>
    <row r="3467" spans="1:9">
      <c r="A3467" s="42" t="s">
        <v>897</v>
      </c>
      <c r="B3467" s="42" t="s">
        <v>338</v>
      </c>
      <c r="C3467" s="42" t="s">
        <v>972</v>
      </c>
      <c r="D3467" s="42" t="s">
        <v>682</v>
      </c>
      <c r="E3467" s="42" t="s">
        <v>762</v>
      </c>
      <c r="F3467" s="45">
        <v>-707000000</v>
      </c>
      <c r="G3467" s="42" t="s">
        <v>763</v>
      </c>
      <c r="H3467" s="42" t="s">
        <v>149</v>
      </c>
      <c r="I3467" s="42" t="s">
        <v>893</v>
      </c>
    </row>
    <row r="3468" spans="1:9">
      <c r="A3468" s="42" t="s">
        <v>897</v>
      </c>
      <c r="B3468" s="42" t="s">
        <v>939</v>
      </c>
      <c r="C3468" s="42" t="s">
        <v>973</v>
      </c>
      <c r="D3468" s="42" t="s">
        <v>682</v>
      </c>
      <c r="E3468" s="42" t="s">
        <v>762</v>
      </c>
      <c r="F3468" s="45">
        <v>2967000000</v>
      </c>
      <c r="G3468" s="42" t="s">
        <v>763</v>
      </c>
      <c r="H3468" s="42" t="s">
        <v>149</v>
      </c>
      <c r="I3468" s="42" t="s">
        <v>893</v>
      </c>
    </row>
    <row r="3469" spans="1:9">
      <c r="A3469" s="42" t="s">
        <v>897</v>
      </c>
      <c r="B3469" s="42" t="s">
        <v>340</v>
      </c>
      <c r="C3469" s="42" t="s">
        <v>1034</v>
      </c>
      <c r="D3469" s="42" t="s">
        <v>682</v>
      </c>
      <c r="E3469" s="42" t="s">
        <v>762</v>
      </c>
      <c r="F3469" s="45">
        <v>-48000000</v>
      </c>
      <c r="G3469" s="42" t="s">
        <v>763</v>
      </c>
      <c r="H3469" s="42" t="s">
        <v>149</v>
      </c>
      <c r="I3469" s="42" t="s">
        <v>893</v>
      </c>
    </row>
    <row r="3470" spans="1:9">
      <c r="A3470" s="42" t="s">
        <v>897</v>
      </c>
      <c r="B3470" s="42" t="s">
        <v>342</v>
      </c>
      <c r="C3470" s="42" t="s">
        <v>1014</v>
      </c>
      <c r="D3470" s="42" t="s">
        <v>682</v>
      </c>
      <c r="E3470" s="42" t="s">
        <v>762</v>
      </c>
      <c r="F3470" s="45">
        <v>-400000000</v>
      </c>
      <c r="G3470" s="42" t="s">
        <v>763</v>
      </c>
      <c r="H3470" s="42" t="s">
        <v>149</v>
      </c>
      <c r="I3470" s="42" t="s">
        <v>893</v>
      </c>
    </row>
    <row r="3471" spans="1:9">
      <c r="A3471" s="42" t="s">
        <v>897</v>
      </c>
      <c r="B3471" s="42" t="s">
        <v>343</v>
      </c>
      <c r="C3471" s="42" t="s">
        <v>1016</v>
      </c>
      <c r="D3471" s="42" t="s">
        <v>682</v>
      </c>
      <c r="E3471" s="42" t="s">
        <v>762</v>
      </c>
      <c r="F3471" s="45">
        <v>-3000000</v>
      </c>
      <c r="G3471" s="42" t="s">
        <v>763</v>
      </c>
      <c r="H3471" s="42" t="s">
        <v>149</v>
      </c>
      <c r="I3471" s="42" t="s">
        <v>893</v>
      </c>
    </row>
    <row r="3472" spans="1:9">
      <c r="A3472" s="42" t="s">
        <v>897</v>
      </c>
      <c r="B3472" s="42" t="s">
        <v>344</v>
      </c>
      <c r="C3472" s="42" t="s">
        <v>980</v>
      </c>
      <c r="D3472" s="42" t="s">
        <v>682</v>
      </c>
      <c r="E3472" s="42" t="s">
        <v>762</v>
      </c>
      <c r="F3472" s="45">
        <v>-293000000</v>
      </c>
      <c r="G3472" s="42" t="s">
        <v>763</v>
      </c>
      <c r="H3472" s="42" t="s">
        <v>149</v>
      </c>
      <c r="I3472" s="42" t="s">
        <v>893</v>
      </c>
    </row>
    <row r="3473" spans="1:9">
      <c r="A3473" s="42" t="s">
        <v>897</v>
      </c>
      <c r="B3473" s="42" t="s">
        <v>345</v>
      </c>
      <c r="C3473" s="42" t="s">
        <v>1035</v>
      </c>
      <c r="D3473" s="42" t="s">
        <v>682</v>
      </c>
      <c r="E3473" s="42" t="s">
        <v>762</v>
      </c>
      <c r="F3473" s="45">
        <v>-70000000</v>
      </c>
      <c r="G3473" s="42" t="s">
        <v>763</v>
      </c>
      <c r="H3473" s="42" t="s">
        <v>149</v>
      </c>
      <c r="I3473" s="42" t="s">
        <v>893</v>
      </c>
    </row>
    <row r="3474" spans="1:9">
      <c r="A3474" s="42" t="s">
        <v>897</v>
      </c>
      <c r="B3474" s="42" t="s">
        <v>346</v>
      </c>
      <c r="C3474" s="42" t="s">
        <v>956</v>
      </c>
      <c r="D3474" s="42" t="s">
        <v>682</v>
      </c>
      <c r="E3474" s="42" t="s">
        <v>762</v>
      </c>
      <c r="F3474" s="45">
        <v>-5000000</v>
      </c>
      <c r="G3474" s="42" t="s">
        <v>763</v>
      </c>
      <c r="H3474" s="42" t="s">
        <v>149</v>
      </c>
      <c r="I3474" s="42" t="s">
        <v>893</v>
      </c>
    </row>
    <row r="3475" spans="1:9">
      <c r="A3475" s="42" t="s">
        <v>897</v>
      </c>
      <c r="B3475" s="42" t="s">
        <v>347</v>
      </c>
      <c r="C3475" s="42" t="s">
        <v>981</v>
      </c>
      <c r="D3475" s="42" t="s">
        <v>682</v>
      </c>
      <c r="E3475" s="42" t="s">
        <v>762</v>
      </c>
      <c r="F3475" s="45">
        <v>1123000000</v>
      </c>
      <c r="G3475" s="42" t="s">
        <v>763</v>
      </c>
      <c r="H3475" s="42" t="s">
        <v>149</v>
      </c>
      <c r="I3475" s="42" t="s">
        <v>893</v>
      </c>
    </row>
    <row r="3476" spans="1:9">
      <c r="A3476" s="42" t="s">
        <v>897</v>
      </c>
      <c r="B3476" s="42" t="s">
        <v>348</v>
      </c>
      <c r="C3476" s="42" t="s">
        <v>982</v>
      </c>
      <c r="D3476" s="42" t="s">
        <v>682</v>
      </c>
      <c r="E3476" s="42" t="s">
        <v>762</v>
      </c>
      <c r="F3476" s="45">
        <v>1118000000</v>
      </c>
      <c r="G3476" s="42" t="s">
        <v>763</v>
      </c>
      <c r="H3476" s="42" t="s">
        <v>149</v>
      </c>
      <c r="I3476" s="42" t="s">
        <v>893</v>
      </c>
    </row>
    <row r="3477" spans="1:9">
      <c r="A3477" s="42" t="s">
        <v>897</v>
      </c>
      <c r="B3477" s="42" t="s">
        <v>346</v>
      </c>
      <c r="C3477" s="42" t="s">
        <v>961</v>
      </c>
      <c r="D3477" s="42" t="s">
        <v>682</v>
      </c>
      <c r="E3477" s="42" t="s">
        <v>762</v>
      </c>
      <c r="F3477" s="45">
        <v>-5000000</v>
      </c>
      <c r="G3477" s="42" t="s">
        <v>763</v>
      </c>
      <c r="H3477" s="42" t="s">
        <v>149</v>
      </c>
      <c r="I3477" s="42" t="s">
        <v>893</v>
      </c>
    </row>
    <row r="3478" spans="1:9">
      <c r="A3478" s="42" t="s">
        <v>897</v>
      </c>
      <c r="B3478" s="42" t="s">
        <v>396</v>
      </c>
      <c r="C3478" s="42" t="s">
        <v>1055</v>
      </c>
      <c r="D3478" s="42" t="s">
        <v>682</v>
      </c>
      <c r="E3478" s="42" t="s">
        <v>762</v>
      </c>
      <c r="F3478" s="45">
        <v>540001583.7577196</v>
      </c>
      <c r="G3478" s="42" t="s">
        <v>763</v>
      </c>
      <c r="H3478" s="42" t="s">
        <v>137</v>
      </c>
      <c r="I3478" s="42" t="s">
        <v>884</v>
      </c>
    </row>
    <row r="3479" spans="1:9">
      <c r="A3479" s="42" t="s">
        <v>897</v>
      </c>
      <c r="B3479" s="42" t="s">
        <v>397</v>
      </c>
      <c r="C3479" s="42" t="s">
        <v>1080</v>
      </c>
      <c r="D3479" s="42" t="s">
        <v>682</v>
      </c>
      <c r="E3479" s="42" t="s">
        <v>762</v>
      </c>
      <c r="F3479" s="45">
        <v>20432049.07127952</v>
      </c>
      <c r="G3479" s="42" t="s">
        <v>763</v>
      </c>
      <c r="H3479" s="42" t="s">
        <v>137</v>
      </c>
      <c r="I3479" s="42" t="s">
        <v>884</v>
      </c>
    </row>
    <row r="3480" spans="1:9">
      <c r="A3480" s="42" t="s">
        <v>897</v>
      </c>
      <c r="B3480" s="42" t="s">
        <v>398</v>
      </c>
      <c r="C3480" s="42" t="s">
        <v>1056</v>
      </c>
      <c r="D3480" s="42" t="s">
        <v>682</v>
      </c>
      <c r="E3480" s="42" t="s">
        <v>762</v>
      </c>
      <c r="F3480" s="45">
        <v>192210625.3877165</v>
      </c>
      <c r="G3480" s="42" t="s">
        <v>763</v>
      </c>
      <c r="H3480" s="42" t="s">
        <v>137</v>
      </c>
      <c r="I3480" s="42" t="s">
        <v>884</v>
      </c>
    </row>
    <row r="3481" spans="1:9">
      <c r="A3481" s="42" t="s">
        <v>897</v>
      </c>
      <c r="B3481" s="42" t="s">
        <v>399</v>
      </c>
      <c r="C3481" s="42" t="s">
        <v>1057</v>
      </c>
      <c r="D3481" s="42" t="s">
        <v>682</v>
      </c>
      <c r="E3481" s="42" t="s">
        <v>762</v>
      </c>
      <c r="F3481" s="45">
        <v>480458223.37152</v>
      </c>
      <c r="G3481" s="42" t="s">
        <v>763</v>
      </c>
      <c r="H3481" s="42" t="s">
        <v>137</v>
      </c>
      <c r="I3481" s="42" t="s">
        <v>884</v>
      </c>
    </row>
    <row r="3482" spans="1:9">
      <c r="A3482" s="42" t="s">
        <v>897</v>
      </c>
      <c r="B3482" s="42" t="s">
        <v>400</v>
      </c>
      <c r="C3482" s="42" t="s">
        <v>1058</v>
      </c>
      <c r="D3482" s="42" t="s">
        <v>682</v>
      </c>
      <c r="E3482" s="42" t="s">
        <v>762</v>
      </c>
      <c r="F3482" s="45">
        <v>59751114.28342447</v>
      </c>
      <c r="G3482" s="42" t="s">
        <v>763</v>
      </c>
      <c r="H3482" s="42" t="s">
        <v>137</v>
      </c>
      <c r="I3482" s="42" t="s">
        <v>884</v>
      </c>
    </row>
    <row r="3483" spans="1:9">
      <c r="A3483" s="42" t="s">
        <v>897</v>
      </c>
      <c r="B3483" s="42" t="s">
        <v>401</v>
      </c>
      <c r="C3483" s="42" t="s">
        <v>1059</v>
      </c>
      <c r="D3483" s="42" t="s">
        <v>682</v>
      </c>
      <c r="E3483" s="42" t="s">
        <v>762</v>
      </c>
      <c r="F3483" s="45">
        <v>8997930.632963672</v>
      </c>
      <c r="G3483" s="42" t="s">
        <v>763</v>
      </c>
      <c r="H3483" s="42" t="s">
        <v>137</v>
      </c>
      <c r="I3483" s="42" t="s">
        <v>884</v>
      </c>
    </row>
    <row r="3484" spans="1:9">
      <c r="A3484" s="42" t="s">
        <v>897</v>
      </c>
      <c r="B3484" s="42" t="s">
        <v>313</v>
      </c>
      <c r="C3484" s="42" t="s">
        <v>994</v>
      </c>
      <c r="D3484" s="42" t="s">
        <v>175</v>
      </c>
      <c r="E3484" s="42" t="s">
        <v>808</v>
      </c>
      <c r="F3484" s="45">
        <v>657000000</v>
      </c>
      <c r="G3484" s="42" t="s">
        <v>763</v>
      </c>
      <c r="H3484" s="42" t="s">
        <v>141</v>
      </c>
      <c r="I3484" s="42" t="s">
        <v>893</v>
      </c>
    </row>
    <row r="3485" spans="1:9">
      <c r="A3485" s="42" t="s">
        <v>897</v>
      </c>
      <c r="B3485" s="42" t="s">
        <v>201</v>
      </c>
      <c r="C3485" s="42" t="s">
        <v>966</v>
      </c>
      <c r="D3485" s="42" t="s">
        <v>175</v>
      </c>
      <c r="E3485" s="42" t="s">
        <v>808</v>
      </c>
      <c r="F3485" s="45">
        <v>-129000000</v>
      </c>
      <c r="G3485" s="42" t="s">
        <v>763</v>
      </c>
      <c r="H3485" s="42" t="s">
        <v>141</v>
      </c>
      <c r="I3485" s="42" t="s">
        <v>893</v>
      </c>
    </row>
    <row r="3486" spans="1:9">
      <c r="A3486" s="42" t="s">
        <v>897</v>
      </c>
      <c r="B3486" s="42" t="s">
        <v>314</v>
      </c>
      <c r="C3486" s="42" t="s">
        <v>900</v>
      </c>
      <c r="D3486" s="42" t="s">
        <v>175</v>
      </c>
      <c r="E3486" s="42" t="s">
        <v>808</v>
      </c>
      <c r="F3486" s="45">
        <v>576000000</v>
      </c>
      <c r="G3486" s="42" t="s">
        <v>763</v>
      </c>
      <c r="H3486" s="42" t="s">
        <v>141</v>
      </c>
      <c r="I3486" s="42" t="s">
        <v>893</v>
      </c>
    </row>
    <row r="3487" spans="1:9">
      <c r="A3487" s="42" t="s">
        <v>897</v>
      </c>
      <c r="B3487" s="42" t="s">
        <v>315</v>
      </c>
      <c r="C3487" s="42" t="s">
        <v>901</v>
      </c>
      <c r="D3487" s="42" t="s">
        <v>175</v>
      </c>
      <c r="E3487" s="42" t="s">
        <v>808</v>
      </c>
      <c r="F3487" s="45">
        <v>10000000</v>
      </c>
      <c r="G3487" s="42" t="s">
        <v>763</v>
      </c>
      <c r="H3487" s="42" t="s">
        <v>141</v>
      </c>
      <c r="I3487" s="42" t="s">
        <v>893</v>
      </c>
    </row>
    <row r="3488" spans="1:9">
      <c r="A3488" s="42" t="s">
        <v>897</v>
      </c>
      <c r="B3488" s="42" t="s">
        <v>316</v>
      </c>
      <c r="C3488" s="42" t="s">
        <v>1004</v>
      </c>
      <c r="D3488" s="42" t="s">
        <v>175</v>
      </c>
      <c r="E3488" s="42" t="s">
        <v>808</v>
      </c>
      <c r="F3488" s="45">
        <v>66000000</v>
      </c>
      <c r="G3488" s="42" t="s">
        <v>763</v>
      </c>
      <c r="H3488" s="42" t="s">
        <v>141</v>
      </c>
      <c r="I3488" s="42" t="s">
        <v>893</v>
      </c>
    </row>
    <row r="3489" spans="1:9">
      <c r="A3489" s="42" t="s">
        <v>897</v>
      </c>
      <c r="B3489" s="42" t="s">
        <v>317</v>
      </c>
      <c r="C3489" s="42" t="s">
        <v>967</v>
      </c>
      <c r="D3489" s="42" t="s">
        <v>175</v>
      </c>
      <c r="E3489" s="42" t="s">
        <v>808</v>
      </c>
      <c r="F3489" s="45">
        <v>90000000</v>
      </c>
      <c r="G3489" s="42" t="s">
        <v>763</v>
      </c>
      <c r="H3489" s="42" t="s">
        <v>141</v>
      </c>
      <c r="I3489" s="42" t="s">
        <v>893</v>
      </c>
    </row>
    <row r="3490" spans="1:9">
      <c r="A3490" s="42" t="s">
        <v>897</v>
      </c>
      <c r="B3490" s="42" t="s">
        <v>318</v>
      </c>
      <c r="C3490" s="42" t="s">
        <v>904</v>
      </c>
      <c r="D3490" s="42" t="s">
        <v>175</v>
      </c>
      <c r="E3490" s="42" t="s">
        <v>808</v>
      </c>
      <c r="F3490" s="45">
        <v>-121000000</v>
      </c>
      <c r="G3490" s="42" t="s">
        <v>763</v>
      </c>
      <c r="H3490" s="42" t="s">
        <v>141</v>
      </c>
      <c r="I3490" s="42" t="s">
        <v>893</v>
      </c>
    </row>
    <row r="3491" spans="1:9">
      <c r="A3491" s="42" t="s">
        <v>897</v>
      </c>
      <c r="B3491" s="42" t="s">
        <v>319</v>
      </c>
      <c r="C3491" s="42" t="s">
        <v>907</v>
      </c>
      <c r="D3491" s="42" t="s">
        <v>175</v>
      </c>
      <c r="E3491" s="42" t="s">
        <v>808</v>
      </c>
      <c r="F3491" s="45">
        <v>163000000</v>
      </c>
      <c r="G3491" s="42" t="s">
        <v>763</v>
      </c>
      <c r="H3491" s="42" t="s">
        <v>141</v>
      </c>
      <c r="I3491" s="42" t="s">
        <v>893</v>
      </c>
    </row>
    <row r="3492" spans="1:9">
      <c r="A3492" s="42" t="s">
        <v>897</v>
      </c>
      <c r="B3492" s="42" t="s">
        <v>320</v>
      </c>
      <c r="C3492" s="42" t="s">
        <v>1048</v>
      </c>
      <c r="D3492" s="42" t="s">
        <v>175</v>
      </c>
      <c r="E3492" s="42" t="s">
        <v>808</v>
      </c>
      <c r="F3492" s="45">
        <v>242000000</v>
      </c>
      <c r="G3492" s="42" t="s">
        <v>763</v>
      </c>
      <c r="H3492" s="42" t="s">
        <v>141</v>
      </c>
      <c r="I3492" s="42" t="s">
        <v>893</v>
      </c>
    </row>
    <row r="3493" spans="1:9">
      <c r="A3493" s="42" t="s">
        <v>897</v>
      </c>
      <c r="B3493" s="42" t="s">
        <v>251</v>
      </c>
      <c r="C3493" s="42" t="s">
        <v>909</v>
      </c>
      <c r="D3493" s="42" t="s">
        <v>175</v>
      </c>
      <c r="E3493" s="42" t="s">
        <v>808</v>
      </c>
      <c r="F3493" s="45">
        <v>1000000</v>
      </c>
      <c r="G3493" s="42" t="s">
        <v>763</v>
      </c>
      <c r="H3493" s="42" t="s">
        <v>141</v>
      </c>
      <c r="I3493" s="42" t="s">
        <v>893</v>
      </c>
    </row>
    <row r="3494" spans="1:9">
      <c r="A3494" s="42" t="s">
        <v>897</v>
      </c>
      <c r="B3494" s="42" t="s">
        <v>293</v>
      </c>
      <c r="C3494" s="42" t="s">
        <v>912</v>
      </c>
      <c r="D3494" s="42" t="s">
        <v>175</v>
      </c>
      <c r="E3494" s="42" t="s">
        <v>808</v>
      </c>
      <c r="F3494" s="45">
        <v>-448000000</v>
      </c>
      <c r="G3494" s="42" t="s">
        <v>763</v>
      </c>
      <c r="H3494" s="42" t="s">
        <v>141</v>
      </c>
      <c r="I3494" s="42" t="s">
        <v>893</v>
      </c>
    </row>
    <row r="3495" spans="1:9">
      <c r="A3495" s="42" t="s">
        <v>897</v>
      </c>
      <c r="B3495" s="42" t="s">
        <v>292</v>
      </c>
      <c r="C3495" s="42" t="s">
        <v>913</v>
      </c>
      <c r="D3495" s="42" t="s">
        <v>175</v>
      </c>
      <c r="E3495" s="42" t="s">
        <v>808</v>
      </c>
      <c r="F3495" s="45">
        <v>-128000000</v>
      </c>
      <c r="G3495" s="42" t="s">
        <v>763</v>
      </c>
      <c r="H3495" s="42" t="s">
        <v>141</v>
      </c>
      <c r="I3495" s="42" t="s">
        <v>893</v>
      </c>
    </row>
    <row r="3496" spans="1:9">
      <c r="A3496" s="42" t="s">
        <v>897</v>
      </c>
      <c r="B3496" s="42" t="s">
        <v>241</v>
      </c>
      <c r="C3496" s="42" t="s">
        <v>914</v>
      </c>
      <c r="D3496" s="42" t="s">
        <v>175</v>
      </c>
      <c r="E3496" s="42" t="s">
        <v>808</v>
      </c>
      <c r="F3496" s="45">
        <v>125000000</v>
      </c>
      <c r="G3496" s="42" t="s">
        <v>763</v>
      </c>
      <c r="H3496" s="42" t="s">
        <v>141</v>
      </c>
      <c r="I3496" s="42" t="s">
        <v>893</v>
      </c>
    </row>
    <row r="3497" spans="1:9">
      <c r="A3497" s="42" t="s">
        <v>897</v>
      </c>
      <c r="B3497" s="42" t="s">
        <v>310</v>
      </c>
      <c r="C3497" s="42" t="s">
        <v>915</v>
      </c>
      <c r="D3497" s="42" t="s">
        <v>175</v>
      </c>
      <c r="E3497" s="42" t="s">
        <v>808</v>
      </c>
      <c r="F3497" s="45">
        <v>41000000</v>
      </c>
      <c r="G3497" s="42" t="s">
        <v>763</v>
      </c>
      <c r="H3497" s="42" t="s">
        <v>141</v>
      </c>
      <c r="I3497" s="42" t="s">
        <v>893</v>
      </c>
    </row>
    <row r="3498" spans="1:9">
      <c r="A3498" s="42" t="s">
        <v>897</v>
      </c>
      <c r="B3498" s="42" t="s">
        <v>305</v>
      </c>
      <c r="C3498" s="42" t="s">
        <v>916</v>
      </c>
      <c r="D3498" s="42" t="s">
        <v>175</v>
      </c>
      <c r="E3498" s="42" t="s">
        <v>808</v>
      </c>
      <c r="F3498" s="45">
        <v>107000000</v>
      </c>
      <c r="G3498" s="42" t="s">
        <v>763</v>
      </c>
      <c r="H3498" s="42" t="s">
        <v>141</v>
      </c>
      <c r="I3498" s="42" t="s">
        <v>893</v>
      </c>
    </row>
    <row r="3499" spans="1:9">
      <c r="A3499" s="42" t="s">
        <v>897</v>
      </c>
      <c r="B3499" s="42" t="s">
        <v>306</v>
      </c>
      <c r="C3499" s="42" t="s">
        <v>917</v>
      </c>
      <c r="D3499" s="42" t="s">
        <v>175</v>
      </c>
      <c r="E3499" s="42" t="s">
        <v>808</v>
      </c>
      <c r="F3499" s="45">
        <v>-48000000</v>
      </c>
      <c r="G3499" s="42" t="s">
        <v>763</v>
      </c>
      <c r="H3499" s="42" t="s">
        <v>141</v>
      </c>
      <c r="I3499" s="42" t="s">
        <v>893</v>
      </c>
    </row>
    <row r="3500" spans="1:9">
      <c r="A3500" s="42" t="s">
        <v>897</v>
      </c>
      <c r="B3500" s="42" t="s">
        <v>309</v>
      </c>
      <c r="C3500" s="42" t="s">
        <v>918</v>
      </c>
      <c r="D3500" s="42" t="s">
        <v>175</v>
      </c>
      <c r="E3500" s="42" t="s">
        <v>808</v>
      </c>
      <c r="F3500" s="45">
        <v>-49000000</v>
      </c>
      <c r="G3500" s="42" t="s">
        <v>763</v>
      </c>
      <c r="H3500" s="42" t="s">
        <v>141</v>
      </c>
      <c r="I3500" s="42" t="s">
        <v>893</v>
      </c>
    </row>
    <row r="3501" spans="1:9">
      <c r="A3501" s="42" t="s">
        <v>897</v>
      </c>
      <c r="B3501" s="42" t="s">
        <v>325</v>
      </c>
      <c r="C3501" s="42" t="s">
        <v>919</v>
      </c>
      <c r="D3501" s="42" t="s">
        <v>175</v>
      </c>
      <c r="E3501" s="42" t="s">
        <v>808</v>
      </c>
      <c r="F3501" s="45">
        <v>-36000000</v>
      </c>
      <c r="G3501" s="42" t="s">
        <v>763</v>
      </c>
      <c r="H3501" s="42" t="s">
        <v>141</v>
      </c>
      <c r="I3501" s="42" t="s">
        <v>893</v>
      </c>
    </row>
    <row r="3502" spans="1:9">
      <c r="A3502" s="42" t="s">
        <v>897</v>
      </c>
      <c r="B3502" s="42" t="s">
        <v>242</v>
      </c>
      <c r="C3502" s="42" t="s">
        <v>920</v>
      </c>
      <c r="D3502" s="42" t="s">
        <v>175</v>
      </c>
      <c r="E3502" s="42" t="s">
        <v>808</v>
      </c>
      <c r="F3502" s="45">
        <v>-8000000</v>
      </c>
      <c r="G3502" s="42" t="s">
        <v>763</v>
      </c>
      <c r="H3502" s="42" t="s">
        <v>141</v>
      </c>
      <c r="I3502" s="42" t="s">
        <v>893</v>
      </c>
    </row>
    <row r="3503" spans="1:9">
      <c r="A3503" s="42" t="s">
        <v>897</v>
      </c>
      <c r="B3503" s="42" t="s">
        <v>302</v>
      </c>
      <c r="C3503" s="42" t="s">
        <v>921</v>
      </c>
      <c r="D3503" s="42" t="s">
        <v>175</v>
      </c>
      <c r="E3503" s="42" t="s">
        <v>808</v>
      </c>
      <c r="F3503" s="45">
        <v>-16000000</v>
      </c>
      <c r="G3503" s="42" t="s">
        <v>763</v>
      </c>
      <c r="H3503" s="42" t="s">
        <v>141</v>
      </c>
      <c r="I3503" s="42" t="s">
        <v>893</v>
      </c>
    </row>
    <row r="3504" spans="1:9">
      <c r="A3504" s="42" t="s">
        <v>897</v>
      </c>
      <c r="B3504" s="42" t="s">
        <v>328</v>
      </c>
      <c r="C3504" s="42" t="s">
        <v>924</v>
      </c>
      <c r="D3504" s="42" t="s">
        <v>175</v>
      </c>
      <c r="E3504" s="42" t="s">
        <v>808</v>
      </c>
      <c r="F3504" s="45">
        <v>-6000000</v>
      </c>
      <c r="G3504" s="42" t="s">
        <v>763</v>
      </c>
      <c r="H3504" s="42" t="s">
        <v>141</v>
      </c>
      <c r="I3504" s="42" t="s">
        <v>893</v>
      </c>
    </row>
    <row r="3505" spans="1:9">
      <c r="A3505" s="42" t="s">
        <v>897</v>
      </c>
      <c r="B3505" s="42" t="s">
        <v>329</v>
      </c>
      <c r="C3505" s="42" t="s">
        <v>925</v>
      </c>
      <c r="D3505" s="42" t="s">
        <v>175</v>
      </c>
      <c r="E3505" s="42" t="s">
        <v>808</v>
      </c>
      <c r="F3505" s="45">
        <v>1089000000</v>
      </c>
      <c r="G3505" s="42" t="s">
        <v>763</v>
      </c>
      <c r="H3505" s="42" t="s">
        <v>141</v>
      </c>
      <c r="I3505" s="42" t="s">
        <v>893</v>
      </c>
    </row>
    <row r="3506" spans="1:9">
      <c r="A3506" s="42" t="s">
        <v>897</v>
      </c>
      <c r="B3506" s="42" t="s">
        <v>372</v>
      </c>
      <c r="C3506" s="42" t="s">
        <v>926</v>
      </c>
      <c r="D3506" s="42" t="s">
        <v>175</v>
      </c>
      <c r="E3506" s="42" t="s">
        <v>808</v>
      </c>
      <c r="F3506" s="45">
        <v>84000000</v>
      </c>
      <c r="G3506" s="42" t="s">
        <v>763</v>
      </c>
      <c r="H3506" s="42" t="s">
        <v>141</v>
      </c>
      <c r="I3506" s="42" t="s">
        <v>896</v>
      </c>
    </row>
    <row r="3507" spans="1:9">
      <c r="A3507" s="42" t="s">
        <v>897</v>
      </c>
      <c r="B3507" s="42" t="s">
        <v>373</v>
      </c>
      <c r="C3507" s="42" t="s">
        <v>1032</v>
      </c>
      <c r="D3507" s="42" t="s">
        <v>175</v>
      </c>
      <c r="E3507" s="42" t="s">
        <v>808</v>
      </c>
      <c r="F3507" s="45">
        <v>-130000000</v>
      </c>
      <c r="G3507" s="42" t="s">
        <v>763</v>
      </c>
      <c r="H3507" s="42" t="s">
        <v>141</v>
      </c>
      <c r="I3507" s="42" t="s">
        <v>896</v>
      </c>
    </row>
    <row r="3508" spans="1:9">
      <c r="A3508" s="42" t="s">
        <v>897</v>
      </c>
      <c r="B3508" s="42" t="s">
        <v>375</v>
      </c>
      <c r="C3508" s="42" t="s">
        <v>1033</v>
      </c>
      <c r="D3508" s="42" t="s">
        <v>175</v>
      </c>
      <c r="E3508" s="42" t="s">
        <v>808</v>
      </c>
      <c r="F3508" s="45">
        <v>2000000</v>
      </c>
      <c r="G3508" s="42" t="s">
        <v>763</v>
      </c>
      <c r="H3508" s="42" t="s">
        <v>131</v>
      </c>
      <c r="I3508" s="42" t="s">
        <v>891</v>
      </c>
    </row>
    <row r="3509" spans="1:9">
      <c r="A3509" s="42" t="s">
        <v>897</v>
      </c>
      <c r="B3509" s="42" t="s">
        <v>330</v>
      </c>
      <c r="C3509" s="42" t="s">
        <v>927</v>
      </c>
      <c r="D3509" s="42" t="s">
        <v>175</v>
      </c>
      <c r="E3509" s="42" t="s">
        <v>808</v>
      </c>
      <c r="F3509" s="45">
        <v>-1181000000</v>
      </c>
      <c r="G3509" s="42" t="s">
        <v>763</v>
      </c>
      <c r="H3509" s="42" t="s">
        <v>141</v>
      </c>
      <c r="I3509" s="42" t="s">
        <v>893</v>
      </c>
    </row>
    <row r="3510" spans="1:9">
      <c r="A3510" s="42" t="s">
        <v>897</v>
      </c>
      <c r="B3510" s="42" t="s">
        <v>334</v>
      </c>
      <c r="C3510" s="42" t="s">
        <v>933</v>
      </c>
      <c r="D3510" s="42" t="s">
        <v>175</v>
      </c>
      <c r="E3510" s="42" t="s">
        <v>808</v>
      </c>
      <c r="F3510" s="45">
        <v>17000000</v>
      </c>
      <c r="G3510" s="42" t="s">
        <v>763</v>
      </c>
      <c r="H3510" s="42" t="s">
        <v>141</v>
      </c>
      <c r="I3510" s="42" t="s">
        <v>893</v>
      </c>
    </row>
    <row r="3511" spans="1:9">
      <c r="A3511" s="42" t="s">
        <v>897</v>
      </c>
      <c r="B3511" s="42" t="s">
        <v>335</v>
      </c>
      <c r="C3511" s="42" t="s">
        <v>1068</v>
      </c>
      <c r="D3511" s="42" t="s">
        <v>175</v>
      </c>
      <c r="E3511" s="42" t="s">
        <v>808</v>
      </c>
      <c r="F3511" s="45">
        <v>2000000</v>
      </c>
      <c r="G3511" s="42" t="s">
        <v>763</v>
      </c>
      <c r="H3511" s="42" t="s">
        <v>141</v>
      </c>
      <c r="I3511" s="42" t="s">
        <v>893</v>
      </c>
    </row>
    <row r="3512" spans="1:9">
      <c r="A3512" s="42" t="s">
        <v>897</v>
      </c>
      <c r="B3512" s="42" t="s">
        <v>336</v>
      </c>
      <c r="C3512" s="42" t="s">
        <v>938</v>
      </c>
      <c r="D3512" s="42" t="s">
        <v>175</v>
      </c>
      <c r="E3512" s="42" t="s">
        <v>808</v>
      </c>
      <c r="F3512" s="45">
        <v>-1208000000</v>
      </c>
      <c r="G3512" s="42" t="s">
        <v>763</v>
      </c>
      <c r="H3512" s="42" t="s">
        <v>141</v>
      </c>
      <c r="I3512" s="42" t="s">
        <v>893</v>
      </c>
    </row>
    <row r="3513" spans="1:9">
      <c r="A3513" s="42" t="s">
        <v>897</v>
      </c>
      <c r="B3513" s="42" t="s">
        <v>337</v>
      </c>
      <c r="C3513" s="42" t="s">
        <v>991</v>
      </c>
      <c r="D3513" s="42" t="s">
        <v>175</v>
      </c>
      <c r="E3513" s="42" t="s">
        <v>808</v>
      </c>
      <c r="F3513" s="45">
        <v>-554000000</v>
      </c>
      <c r="G3513" s="42" t="s">
        <v>763</v>
      </c>
      <c r="H3513" s="42" t="s">
        <v>141</v>
      </c>
      <c r="I3513" s="42" t="s">
        <v>893</v>
      </c>
    </row>
    <row r="3514" spans="1:9">
      <c r="A3514" s="42" t="s">
        <v>897</v>
      </c>
      <c r="B3514" s="42" t="s">
        <v>338</v>
      </c>
      <c r="C3514" s="42" t="s">
        <v>972</v>
      </c>
      <c r="D3514" s="42" t="s">
        <v>175</v>
      </c>
      <c r="E3514" s="42" t="s">
        <v>808</v>
      </c>
      <c r="F3514" s="45">
        <v>-202000000</v>
      </c>
      <c r="G3514" s="42" t="s">
        <v>763</v>
      </c>
      <c r="H3514" s="42" t="s">
        <v>141</v>
      </c>
      <c r="I3514" s="42" t="s">
        <v>893</v>
      </c>
    </row>
    <row r="3515" spans="1:9">
      <c r="A3515" s="42" t="s">
        <v>897</v>
      </c>
      <c r="B3515" s="42" t="s">
        <v>939</v>
      </c>
      <c r="C3515" s="42" t="s">
        <v>973</v>
      </c>
      <c r="D3515" s="42" t="s">
        <v>175</v>
      </c>
      <c r="E3515" s="42" t="s">
        <v>808</v>
      </c>
      <c r="F3515" s="45">
        <v>1114000000</v>
      </c>
      <c r="G3515" s="42" t="s">
        <v>763</v>
      </c>
      <c r="H3515" s="42" t="s">
        <v>141</v>
      </c>
      <c r="I3515" s="42" t="s">
        <v>893</v>
      </c>
    </row>
    <row r="3516" spans="1:9">
      <c r="A3516" s="42" t="s">
        <v>897</v>
      </c>
      <c r="B3516" s="42" t="s">
        <v>340</v>
      </c>
      <c r="C3516" s="42" t="s">
        <v>1034</v>
      </c>
      <c r="D3516" s="42" t="s">
        <v>175</v>
      </c>
      <c r="E3516" s="42" t="s">
        <v>808</v>
      </c>
      <c r="F3516" s="45">
        <v>56000000</v>
      </c>
      <c r="G3516" s="42" t="s">
        <v>763</v>
      </c>
      <c r="H3516" s="42" t="s">
        <v>141</v>
      </c>
      <c r="I3516" s="42" t="s">
        <v>893</v>
      </c>
    </row>
    <row r="3517" spans="1:9">
      <c r="A3517" s="42" t="s">
        <v>897</v>
      </c>
      <c r="B3517" s="42" t="s">
        <v>342</v>
      </c>
      <c r="C3517" s="42" t="s">
        <v>1014</v>
      </c>
      <c r="D3517" s="42" t="s">
        <v>175</v>
      </c>
      <c r="E3517" s="42" t="s">
        <v>808</v>
      </c>
      <c r="F3517" s="45">
        <v>-101000000</v>
      </c>
      <c r="G3517" s="42" t="s">
        <v>763</v>
      </c>
      <c r="H3517" s="42" t="s">
        <v>141</v>
      </c>
      <c r="I3517" s="42" t="s">
        <v>893</v>
      </c>
    </row>
    <row r="3518" spans="1:9">
      <c r="A3518" s="42" t="s">
        <v>897</v>
      </c>
      <c r="B3518" s="42" t="s">
        <v>343</v>
      </c>
      <c r="C3518" s="42" t="s">
        <v>1016</v>
      </c>
      <c r="D3518" s="42" t="s">
        <v>175</v>
      </c>
      <c r="E3518" s="42" t="s">
        <v>808</v>
      </c>
      <c r="F3518" s="45">
        <v>-1000000</v>
      </c>
      <c r="G3518" s="42" t="s">
        <v>763</v>
      </c>
      <c r="H3518" s="42" t="s">
        <v>141</v>
      </c>
      <c r="I3518" s="42" t="s">
        <v>893</v>
      </c>
    </row>
    <row r="3519" spans="1:9">
      <c r="A3519" s="42" t="s">
        <v>897</v>
      </c>
      <c r="B3519" s="42" t="s">
        <v>344</v>
      </c>
      <c r="C3519" s="42" t="s">
        <v>980</v>
      </c>
      <c r="D3519" s="42" t="s">
        <v>175</v>
      </c>
      <c r="E3519" s="42" t="s">
        <v>808</v>
      </c>
      <c r="F3519" s="45">
        <v>312000000</v>
      </c>
      <c r="G3519" s="42" t="s">
        <v>763</v>
      </c>
      <c r="H3519" s="42" t="s">
        <v>141</v>
      </c>
      <c r="I3519" s="42" t="s">
        <v>893</v>
      </c>
    </row>
    <row r="3520" spans="1:9">
      <c r="A3520" s="42" t="s">
        <v>897</v>
      </c>
      <c r="B3520" s="42" t="s">
        <v>345</v>
      </c>
      <c r="C3520" s="42" t="s">
        <v>1035</v>
      </c>
      <c r="D3520" s="42" t="s">
        <v>175</v>
      </c>
      <c r="E3520" s="42" t="s">
        <v>808</v>
      </c>
      <c r="F3520" s="45">
        <v>-7000000</v>
      </c>
      <c r="G3520" s="42" t="s">
        <v>763</v>
      </c>
      <c r="H3520" s="42" t="s">
        <v>141</v>
      </c>
      <c r="I3520" s="42" t="s">
        <v>893</v>
      </c>
    </row>
    <row r="3521" spans="1:9">
      <c r="A3521" s="42" t="s">
        <v>897</v>
      </c>
      <c r="B3521" s="42" t="s">
        <v>346</v>
      </c>
      <c r="C3521" s="42" t="s">
        <v>956</v>
      </c>
      <c r="D3521" s="42" t="s">
        <v>175</v>
      </c>
      <c r="E3521" s="42" t="s">
        <v>808</v>
      </c>
      <c r="F3521" s="45">
        <v>186000000</v>
      </c>
      <c r="G3521" s="42" t="s">
        <v>763</v>
      </c>
      <c r="H3521" s="42" t="s">
        <v>141</v>
      </c>
      <c r="I3521" s="42" t="s">
        <v>893</v>
      </c>
    </row>
    <row r="3522" spans="1:9">
      <c r="A3522" s="42" t="s">
        <v>897</v>
      </c>
      <c r="B3522" s="42" t="s">
        <v>347</v>
      </c>
      <c r="C3522" s="42" t="s">
        <v>981</v>
      </c>
      <c r="D3522" s="42" t="s">
        <v>175</v>
      </c>
      <c r="E3522" s="42" t="s">
        <v>808</v>
      </c>
      <c r="F3522" s="45">
        <v>1123000000</v>
      </c>
      <c r="G3522" s="42" t="s">
        <v>763</v>
      </c>
      <c r="H3522" s="42" t="s">
        <v>141</v>
      </c>
      <c r="I3522" s="42" t="s">
        <v>893</v>
      </c>
    </row>
    <row r="3523" spans="1:9">
      <c r="A3523" s="42" t="s">
        <v>897</v>
      </c>
      <c r="B3523" s="42" t="s">
        <v>348</v>
      </c>
      <c r="C3523" s="42" t="s">
        <v>982</v>
      </c>
      <c r="D3523" s="42" t="s">
        <v>175</v>
      </c>
      <c r="E3523" s="42" t="s">
        <v>808</v>
      </c>
      <c r="F3523" s="45">
        <v>1309000000</v>
      </c>
      <c r="G3523" s="42" t="s">
        <v>763</v>
      </c>
      <c r="H3523" s="42" t="s">
        <v>141</v>
      </c>
      <c r="I3523" s="42" t="s">
        <v>893</v>
      </c>
    </row>
    <row r="3524" spans="1:9">
      <c r="A3524" s="42" t="s">
        <v>897</v>
      </c>
      <c r="B3524" s="42" t="s">
        <v>346</v>
      </c>
      <c r="C3524" s="42" t="s">
        <v>961</v>
      </c>
      <c r="D3524" s="42" t="s">
        <v>175</v>
      </c>
      <c r="E3524" s="42" t="s">
        <v>808</v>
      </c>
      <c r="F3524" s="45">
        <v>186000000</v>
      </c>
      <c r="G3524" s="42" t="s">
        <v>763</v>
      </c>
      <c r="H3524" s="42" t="s">
        <v>141</v>
      </c>
      <c r="I3524" s="42" t="s">
        <v>893</v>
      </c>
    </row>
    <row r="3525" spans="1:9">
      <c r="A3525" s="42" t="s">
        <v>897</v>
      </c>
      <c r="B3525" s="42" t="s">
        <v>313</v>
      </c>
      <c r="C3525" s="42" t="s">
        <v>994</v>
      </c>
      <c r="D3525" s="42" t="s">
        <v>176</v>
      </c>
      <c r="E3525" s="42" t="s">
        <v>808</v>
      </c>
      <c r="F3525" s="45">
        <v>535000000</v>
      </c>
      <c r="G3525" s="42" t="s">
        <v>1001</v>
      </c>
      <c r="H3525" s="42" t="s">
        <v>1075</v>
      </c>
      <c r="I3525" s="42" t="s">
        <v>893</v>
      </c>
    </row>
    <row r="3526" spans="1:9">
      <c r="A3526" s="42" t="s">
        <v>897</v>
      </c>
      <c r="B3526" s="42" t="s">
        <v>201</v>
      </c>
      <c r="C3526" s="42" t="s">
        <v>966</v>
      </c>
      <c r="D3526" s="42" t="s">
        <v>176</v>
      </c>
      <c r="E3526" s="42" t="s">
        <v>808</v>
      </c>
      <c r="F3526" s="45">
        <v>-27000000</v>
      </c>
      <c r="G3526" s="42" t="s">
        <v>1001</v>
      </c>
      <c r="H3526" s="42" t="s">
        <v>1075</v>
      </c>
      <c r="I3526" s="42" t="s">
        <v>893</v>
      </c>
    </row>
    <row r="3527" spans="1:9">
      <c r="A3527" s="42" t="s">
        <v>897</v>
      </c>
      <c r="B3527" s="42" t="s">
        <v>314</v>
      </c>
      <c r="C3527" s="42" t="s">
        <v>900</v>
      </c>
      <c r="D3527" s="42" t="s">
        <v>176</v>
      </c>
      <c r="E3527" s="42" t="s">
        <v>808</v>
      </c>
      <c r="F3527" s="45">
        <v>561000000</v>
      </c>
      <c r="G3527" s="42" t="s">
        <v>1001</v>
      </c>
      <c r="H3527" s="42" t="s">
        <v>1075</v>
      </c>
      <c r="I3527" s="42" t="s">
        <v>893</v>
      </c>
    </row>
    <row r="3528" spans="1:9">
      <c r="A3528" s="42" t="s">
        <v>897</v>
      </c>
      <c r="B3528" s="42" t="s">
        <v>315</v>
      </c>
      <c r="C3528" s="42" t="s">
        <v>901</v>
      </c>
      <c r="D3528" s="42" t="s">
        <v>176</v>
      </c>
      <c r="E3528" s="42" t="s">
        <v>808</v>
      </c>
      <c r="F3528" s="45">
        <v>10000000</v>
      </c>
      <c r="G3528" s="42" t="s">
        <v>1001</v>
      </c>
      <c r="H3528" s="42" t="s">
        <v>1075</v>
      </c>
      <c r="I3528" s="42" t="s">
        <v>893</v>
      </c>
    </row>
    <row r="3529" spans="1:9">
      <c r="A3529" s="42" t="s">
        <v>897</v>
      </c>
      <c r="B3529" s="42" t="s">
        <v>316</v>
      </c>
      <c r="C3529" s="42" t="s">
        <v>1004</v>
      </c>
      <c r="D3529" s="42" t="s">
        <v>176</v>
      </c>
      <c r="E3529" s="42" t="s">
        <v>808</v>
      </c>
      <c r="F3529" s="45">
        <v>67000000</v>
      </c>
      <c r="G3529" s="42" t="s">
        <v>1001</v>
      </c>
      <c r="H3529" s="42" t="s">
        <v>1075</v>
      </c>
      <c r="I3529" s="42" t="s">
        <v>893</v>
      </c>
    </row>
    <row r="3530" spans="1:9">
      <c r="A3530" s="42" t="s">
        <v>897</v>
      </c>
      <c r="B3530" s="42" t="s">
        <v>317</v>
      </c>
      <c r="C3530" s="42" t="s">
        <v>967</v>
      </c>
      <c r="D3530" s="42" t="s">
        <v>176</v>
      </c>
      <c r="E3530" s="42" t="s">
        <v>808</v>
      </c>
      <c r="F3530" s="45">
        <v>153000000</v>
      </c>
      <c r="G3530" s="42" t="s">
        <v>1001</v>
      </c>
      <c r="H3530" s="42" t="s">
        <v>1075</v>
      </c>
      <c r="I3530" s="42" t="s">
        <v>893</v>
      </c>
    </row>
    <row r="3531" spans="1:9">
      <c r="A3531" s="42" t="s">
        <v>897</v>
      </c>
      <c r="B3531" s="42" t="s">
        <v>318</v>
      </c>
      <c r="C3531" s="42" t="s">
        <v>904</v>
      </c>
      <c r="D3531" s="42" t="s">
        <v>176</v>
      </c>
      <c r="E3531" s="42" t="s">
        <v>808</v>
      </c>
      <c r="F3531" s="45">
        <v>-79000000</v>
      </c>
      <c r="G3531" s="42" t="s">
        <v>1001</v>
      </c>
      <c r="H3531" s="42" t="s">
        <v>1075</v>
      </c>
      <c r="I3531" s="42" t="s">
        <v>893</v>
      </c>
    </row>
    <row r="3532" spans="1:9">
      <c r="A3532" s="42" t="s">
        <v>897</v>
      </c>
      <c r="B3532" s="42" t="s">
        <v>319</v>
      </c>
      <c r="C3532" s="42" t="s">
        <v>907</v>
      </c>
      <c r="D3532" s="42" t="s">
        <v>176</v>
      </c>
      <c r="E3532" s="42" t="s">
        <v>808</v>
      </c>
      <c r="F3532" s="45">
        <v>199000000</v>
      </c>
      <c r="G3532" s="42" t="s">
        <v>1001</v>
      </c>
      <c r="H3532" s="42" t="s">
        <v>1075</v>
      </c>
      <c r="I3532" s="42" t="s">
        <v>893</v>
      </c>
    </row>
    <row r="3533" spans="1:9">
      <c r="A3533" s="42" t="s">
        <v>897</v>
      </c>
      <c r="B3533" s="42" t="s">
        <v>320</v>
      </c>
      <c r="C3533" s="42" t="s">
        <v>1048</v>
      </c>
      <c r="D3533" s="42" t="s">
        <v>176</v>
      </c>
      <c r="E3533" s="42" t="s">
        <v>808</v>
      </c>
      <c r="F3533" s="45">
        <v>71000000</v>
      </c>
      <c r="G3533" s="42" t="s">
        <v>1001</v>
      </c>
      <c r="H3533" s="42" t="s">
        <v>1075</v>
      </c>
      <c r="I3533" s="42" t="s">
        <v>893</v>
      </c>
    </row>
    <row r="3534" spans="1:9">
      <c r="A3534" s="42" t="s">
        <v>897</v>
      </c>
      <c r="B3534" s="42" t="s">
        <v>251</v>
      </c>
      <c r="C3534" s="42" t="s">
        <v>909</v>
      </c>
      <c r="D3534" s="42" t="s">
        <v>176</v>
      </c>
      <c r="E3534" s="42" t="s">
        <v>808</v>
      </c>
      <c r="F3534" s="45">
        <v>1000000</v>
      </c>
      <c r="G3534" s="42" t="s">
        <v>1001</v>
      </c>
      <c r="H3534" s="42" t="s">
        <v>1075</v>
      </c>
      <c r="I3534" s="42" t="s">
        <v>893</v>
      </c>
    </row>
    <row r="3535" spans="1:9">
      <c r="A3535" s="42" t="s">
        <v>897</v>
      </c>
      <c r="B3535" s="42" t="s">
        <v>293</v>
      </c>
      <c r="C3535" s="42" t="s">
        <v>912</v>
      </c>
      <c r="D3535" s="42" t="s">
        <v>176</v>
      </c>
      <c r="E3535" s="42" t="s">
        <v>808</v>
      </c>
      <c r="F3535" s="45">
        <v>-352000000</v>
      </c>
      <c r="G3535" s="42" t="s">
        <v>1001</v>
      </c>
      <c r="H3535" s="42" t="s">
        <v>1075</v>
      </c>
      <c r="I3535" s="42" t="s">
        <v>893</v>
      </c>
    </row>
    <row r="3536" spans="1:9">
      <c r="A3536" s="42" t="s">
        <v>897</v>
      </c>
      <c r="B3536" s="42" t="s">
        <v>292</v>
      </c>
      <c r="C3536" s="42" t="s">
        <v>913</v>
      </c>
      <c r="D3536" s="42" t="s">
        <v>176</v>
      </c>
      <c r="E3536" s="42" t="s">
        <v>808</v>
      </c>
      <c r="F3536" s="45">
        <v>-155000000</v>
      </c>
      <c r="G3536" s="42" t="s">
        <v>1001</v>
      </c>
      <c r="H3536" s="42" t="s">
        <v>1075</v>
      </c>
      <c r="I3536" s="42" t="s">
        <v>893</v>
      </c>
    </row>
    <row r="3537" spans="1:9">
      <c r="A3537" s="42" t="s">
        <v>897</v>
      </c>
      <c r="B3537" s="42" t="s">
        <v>241</v>
      </c>
      <c r="C3537" s="42" t="s">
        <v>914</v>
      </c>
      <c r="D3537" s="42" t="s">
        <v>176</v>
      </c>
      <c r="E3537" s="42" t="s">
        <v>808</v>
      </c>
      <c r="F3537" s="45">
        <v>1000000</v>
      </c>
      <c r="G3537" s="42" t="s">
        <v>1001</v>
      </c>
      <c r="H3537" s="42" t="s">
        <v>1075</v>
      </c>
      <c r="I3537" s="42" t="s">
        <v>893</v>
      </c>
    </row>
    <row r="3538" spans="1:9">
      <c r="A3538" s="42" t="s">
        <v>897</v>
      </c>
      <c r="B3538" s="42" t="s">
        <v>310</v>
      </c>
      <c r="C3538" s="42" t="s">
        <v>915</v>
      </c>
      <c r="D3538" s="42" t="s">
        <v>176</v>
      </c>
      <c r="E3538" s="42" t="s">
        <v>808</v>
      </c>
      <c r="F3538" s="45">
        <v>196000000</v>
      </c>
      <c r="G3538" s="42" t="s">
        <v>1001</v>
      </c>
      <c r="H3538" s="42" t="s">
        <v>1075</v>
      </c>
      <c r="I3538" s="42" t="s">
        <v>893</v>
      </c>
    </row>
    <row r="3539" spans="1:9">
      <c r="A3539" s="42" t="s">
        <v>897</v>
      </c>
      <c r="B3539" s="42" t="s">
        <v>305</v>
      </c>
      <c r="C3539" s="42" t="s">
        <v>916</v>
      </c>
      <c r="D3539" s="42" t="s">
        <v>176</v>
      </c>
      <c r="E3539" s="42" t="s">
        <v>808</v>
      </c>
      <c r="F3539" s="45">
        <v>37000000</v>
      </c>
      <c r="G3539" s="42" t="s">
        <v>1001</v>
      </c>
      <c r="H3539" s="42" t="s">
        <v>1075</v>
      </c>
      <c r="I3539" s="42" t="s">
        <v>893</v>
      </c>
    </row>
    <row r="3540" spans="1:9">
      <c r="A3540" s="42" t="s">
        <v>897</v>
      </c>
      <c r="B3540" s="42" t="s">
        <v>306</v>
      </c>
      <c r="C3540" s="42" t="s">
        <v>917</v>
      </c>
      <c r="D3540" s="42" t="s">
        <v>176</v>
      </c>
      <c r="E3540" s="42" t="s">
        <v>808</v>
      </c>
      <c r="F3540" s="45">
        <v>98000000</v>
      </c>
      <c r="G3540" s="42" t="s">
        <v>1001</v>
      </c>
      <c r="H3540" s="42" t="s">
        <v>1075</v>
      </c>
      <c r="I3540" s="42" t="s">
        <v>893</v>
      </c>
    </row>
    <row r="3541" spans="1:9">
      <c r="A3541" s="42" t="s">
        <v>897</v>
      </c>
      <c r="B3541" s="42" t="s">
        <v>309</v>
      </c>
      <c r="C3541" s="42" t="s">
        <v>918</v>
      </c>
      <c r="D3541" s="42" t="s">
        <v>176</v>
      </c>
      <c r="E3541" s="42" t="s">
        <v>808</v>
      </c>
      <c r="F3541" s="45">
        <v>1000000</v>
      </c>
      <c r="G3541" s="42" t="s">
        <v>1001</v>
      </c>
      <c r="H3541" s="42" t="s">
        <v>1075</v>
      </c>
      <c r="I3541" s="42" t="s">
        <v>893</v>
      </c>
    </row>
    <row r="3542" spans="1:9">
      <c r="A3542" s="42" t="s">
        <v>897</v>
      </c>
      <c r="B3542" s="42" t="s">
        <v>325</v>
      </c>
      <c r="C3542" s="42" t="s">
        <v>919</v>
      </c>
      <c r="D3542" s="42" t="s">
        <v>176</v>
      </c>
      <c r="E3542" s="42" t="s">
        <v>808</v>
      </c>
      <c r="F3542" s="45">
        <v>-36000000</v>
      </c>
      <c r="G3542" s="42" t="s">
        <v>1001</v>
      </c>
      <c r="H3542" s="42" t="s">
        <v>1075</v>
      </c>
      <c r="I3542" s="42" t="s">
        <v>893</v>
      </c>
    </row>
    <row r="3543" spans="1:9">
      <c r="A3543" s="42" t="s">
        <v>897</v>
      </c>
      <c r="B3543" s="42" t="s">
        <v>242</v>
      </c>
      <c r="C3543" s="42" t="s">
        <v>920</v>
      </c>
      <c r="D3543" s="42" t="s">
        <v>176</v>
      </c>
      <c r="E3543" s="42" t="s">
        <v>808</v>
      </c>
      <c r="F3543" s="45">
        <v>-5000000</v>
      </c>
      <c r="G3543" s="42" t="s">
        <v>1001</v>
      </c>
      <c r="H3543" s="42" t="s">
        <v>1075</v>
      </c>
      <c r="I3543" s="42" t="s">
        <v>893</v>
      </c>
    </row>
    <row r="3544" spans="1:9">
      <c r="A3544" s="42" t="s">
        <v>897</v>
      </c>
      <c r="B3544" s="42" t="s">
        <v>302</v>
      </c>
      <c r="C3544" s="42" t="s">
        <v>921</v>
      </c>
      <c r="D3544" s="42" t="s">
        <v>176</v>
      </c>
      <c r="E3544" s="42" t="s">
        <v>808</v>
      </c>
      <c r="F3544" s="45">
        <v>15000000</v>
      </c>
      <c r="G3544" s="42" t="s">
        <v>1001</v>
      </c>
      <c r="H3544" s="42" t="s">
        <v>1075</v>
      </c>
      <c r="I3544" s="42" t="s">
        <v>893</v>
      </c>
    </row>
    <row r="3545" spans="1:9">
      <c r="A3545" s="42" t="s">
        <v>897</v>
      </c>
      <c r="B3545" s="42" t="s">
        <v>328</v>
      </c>
      <c r="C3545" s="42" t="s">
        <v>924</v>
      </c>
      <c r="D3545" s="42" t="s">
        <v>176</v>
      </c>
      <c r="E3545" s="42" t="s">
        <v>808</v>
      </c>
      <c r="F3545" s="45">
        <v>-10000000</v>
      </c>
      <c r="G3545" s="42" t="s">
        <v>1001</v>
      </c>
      <c r="H3545" s="42" t="s">
        <v>1075</v>
      </c>
      <c r="I3545" s="42" t="s">
        <v>893</v>
      </c>
    </row>
    <row r="3546" spans="1:9">
      <c r="A3546" s="42" t="s">
        <v>897</v>
      </c>
      <c r="B3546" s="42" t="s">
        <v>329</v>
      </c>
      <c r="C3546" s="42" t="s">
        <v>925</v>
      </c>
      <c r="D3546" s="42" t="s">
        <v>176</v>
      </c>
      <c r="E3546" s="42" t="s">
        <v>808</v>
      </c>
      <c r="F3546" s="45">
        <v>1422000000</v>
      </c>
      <c r="G3546" s="42" t="s">
        <v>1001</v>
      </c>
      <c r="H3546" s="42" t="s">
        <v>1075</v>
      </c>
      <c r="I3546" s="42" t="s">
        <v>893</v>
      </c>
    </row>
    <row r="3547" spans="1:9">
      <c r="A3547" s="42" t="s">
        <v>897</v>
      </c>
      <c r="B3547" s="42" t="s">
        <v>372</v>
      </c>
      <c r="C3547" s="42" t="s">
        <v>926</v>
      </c>
      <c r="D3547" s="42" t="s">
        <v>176</v>
      </c>
      <c r="E3547" s="42" t="s">
        <v>808</v>
      </c>
      <c r="F3547" s="45">
        <v>28000000</v>
      </c>
      <c r="G3547" s="42" t="s">
        <v>1001</v>
      </c>
      <c r="H3547" s="42" t="s">
        <v>1075</v>
      </c>
      <c r="I3547" s="42" t="s">
        <v>896</v>
      </c>
    </row>
    <row r="3548" spans="1:9">
      <c r="A3548" s="42" t="s">
        <v>897</v>
      </c>
      <c r="B3548" s="42" t="s">
        <v>373</v>
      </c>
      <c r="C3548" s="42" t="s">
        <v>1032</v>
      </c>
      <c r="D3548" s="42" t="s">
        <v>176</v>
      </c>
      <c r="E3548" s="42" t="s">
        <v>808</v>
      </c>
      <c r="F3548" s="45">
        <v>-50000000</v>
      </c>
      <c r="G3548" s="42" t="s">
        <v>1001</v>
      </c>
      <c r="H3548" s="42" t="s">
        <v>1075</v>
      </c>
      <c r="I3548" s="42" t="s">
        <v>896</v>
      </c>
    </row>
    <row r="3549" spans="1:9">
      <c r="A3549" s="42" t="s">
        <v>897</v>
      </c>
      <c r="B3549" s="42" t="s">
        <v>375</v>
      </c>
      <c r="C3549" s="42" t="s">
        <v>1033</v>
      </c>
      <c r="D3549" s="42" t="s">
        <v>176</v>
      </c>
      <c r="E3549" s="42" t="s">
        <v>808</v>
      </c>
      <c r="F3549" s="45">
        <v>2000000</v>
      </c>
      <c r="G3549" s="42" t="s">
        <v>1001</v>
      </c>
      <c r="H3549" s="42" t="s">
        <v>1075</v>
      </c>
      <c r="I3549" s="42" t="s">
        <v>891</v>
      </c>
    </row>
    <row r="3550" spans="1:9">
      <c r="A3550" s="42" t="s">
        <v>897</v>
      </c>
      <c r="B3550" s="42" t="s">
        <v>330</v>
      </c>
      <c r="C3550" s="42" t="s">
        <v>927</v>
      </c>
      <c r="D3550" s="42" t="s">
        <v>176</v>
      </c>
      <c r="E3550" s="42" t="s">
        <v>808</v>
      </c>
      <c r="F3550" s="45">
        <v>-1354000000</v>
      </c>
      <c r="G3550" s="42" t="s">
        <v>1001</v>
      </c>
      <c r="H3550" s="42" t="s">
        <v>1075</v>
      </c>
      <c r="I3550" s="42" t="s">
        <v>893</v>
      </c>
    </row>
    <row r="3551" spans="1:9">
      <c r="A3551" s="42" t="s">
        <v>897</v>
      </c>
      <c r="B3551" s="42" t="s">
        <v>334</v>
      </c>
      <c r="C3551" s="42" t="s">
        <v>933</v>
      </c>
      <c r="D3551" s="42" t="s">
        <v>176</v>
      </c>
      <c r="E3551" s="42" t="s">
        <v>808</v>
      </c>
      <c r="F3551" s="45">
        <v>15000000</v>
      </c>
      <c r="G3551" s="42" t="s">
        <v>1001</v>
      </c>
      <c r="H3551" s="42" t="s">
        <v>1075</v>
      </c>
      <c r="I3551" s="42" t="s">
        <v>893</v>
      </c>
    </row>
    <row r="3552" spans="1:9">
      <c r="A3552" s="42" t="s">
        <v>897</v>
      </c>
      <c r="B3552" s="42" t="s">
        <v>335</v>
      </c>
      <c r="C3552" s="42" t="s">
        <v>1068</v>
      </c>
      <c r="D3552" s="42" t="s">
        <v>176</v>
      </c>
      <c r="E3552" s="42" t="s">
        <v>808</v>
      </c>
      <c r="F3552" s="45">
        <v>2000000</v>
      </c>
      <c r="G3552" s="42" t="s">
        <v>1001</v>
      </c>
      <c r="H3552" s="42" t="s">
        <v>1081</v>
      </c>
      <c r="I3552" s="42" t="s">
        <v>893</v>
      </c>
    </row>
    <row r="3553" spans="1:9">
      <c r="A3553" s="42" t="s">
        <v>897</v>
      </c>
      <c r="B3553" s="42" t="s">
        <v>336</v>
      </c>
      <c r="C3553" s="42" t="s">
        <v>938</v>
      </c>
      <c r="D3553" s="42" t="s">
        <v>176</v>
      </c>
      <c r="E3553" s="42" t="s">
        <v>808</v>
      </c>
      <c r="F3553" s="45">
        <v>-1464000000</v>
      </c>
      <c r="G3553" s="42" t="s">
        <v>1001</v>
      </c>
      <c r="H3553" s="42" t="s">
        <v>1075</v>
      </c>
      <c r="I3553" s="42" t="s">
        <v>893</v>
      </c>
    </row>
    <row r="3554" spans="1:9">
      <c r="A3554" s="42" t="s">
        <v>897</v>
      </c>
      <c r="B3554" s="42" t="s">
        <v>337</v>
      </c>
      <c r="C3554" s="42" t="s">
        <v>991</v>
      </c>
      <c r="D3554" s="42" t="s">
        <v>176</v>
      </c>
      <c r="E3554" s="42" t="s">
        <v>808</v>
      </c>
      <c r="F3554" s="45">
        <v>-448000000</v>
      </c>
      <c r="G3554" s="42" t="s">
        <v>1001</v>
      </c>
      <c r="H3554" s="42" t="s">
        <v>1075</v>
      </c>
      <c r="I3554" s="42" t="s">
        <v>893</v>
      </c>
    </row>
    <row r="3555" spans="1:9">
      <c r="A3555" s="42" t="s">
        <v>897</v>
      </c>
      <c r="B3555" s="42" t="s">
        <v>338</v>
      </c>
      <c r="C3555" s="42" t="s">
        <v>972</v>
      </c>
      <c r="D3555" s="42" t="s">
        <v>176</v>
      </c>
      <c r="E3555" s="42" t="s">
        <v>808</v>
      </c>
      <c r="F3555" s="45">
        <v>-124000000</v>
      </c>
      <c r="G3555" s="42" t="s">
        <v>1001</v>
      </c>
      <c r="H3555" s="42" t="s">
        <v>1075</v>
      </c>
      <c r="I3555" s="42" t="s">
        <v>893</v>
      </c>
    </row>
    <row r="3556" spans="1:9">
      <c r="A3556" s="42" t="s">
        <v>897</v>
      </c>
      <c r="B3556" s="42" t="s">
        <v>939</v>
      </c>
      <c r="C3556" s="42" t="s">
        <v>973</v>
      </c>
      <c r="D3556" s="42" t="s">
        <v>176</v>
      </c>
      <c r="E3556" s="42" t="s">
        <v>808</v>
      </c>
      <c r="F3556" s="45">
        <v>321000000</v>
      </c>
      <c r="G3556" s="42" t="s">
        <v>1001</v>
      </c>
      <c r="H3556" s="42" t="s">
        <v>1075</v>
      </c>
      <c r="I3556" s="42" t="s">
        <v>893</v>
      </c>
    </row>
    <row r="3557" spans="1:9">
      <c r="A3557" s="42" t="s">
        <v>897</v>
      </c>
      <c r="B3557" s="42" t="s">
        <v>340</v>
      </c>
      <c r="C3557" s="42" t="s">
        <v>1034</v>
      </c>
      <c r="D3557" s="42" t="s">
        <v>176</v>
      </c>
      <c r="E3557" s="42" t="s">
        <v>808</v>
      </c>
      <c r="F3557" s="45">
        <v>143000000</v>
      </c>
      <c r="G3557" s="42" t="s">
        <v>1001</v>
      </c>
      <c r="H3557" s="42" t="s">
        <v>1075</v>
      </c>
      <c r="I3557" s="42" t="s">
        <v>893</v>
      </c>
    </row>
    <row r="3558" spans="1:9">
      <c r="A3558" s="42" t="s">
        <v>897</v>
      </c>
      <c r="B3558" s="42" t="s">
        <v>342</v>
      </c>
      <c r="C3558" s="42" t="s">
        <v>1014</v>
      </c>
      <c r="D3558" s="42" t="s">
        <v>176</v>
      </c>
      <c r="E3558" s="42" t="s">
        <v>808</v>
      </c>
      <c r="F3558" s="45">
        <v>-97000000</v>
      </c>
      <c r="G3558" s="42" t="s">
        <v>1001</v>
      </c>
      <c r="H3558" s="42" t="s">
        <v>1075</v>
      </c>
      <c r="I3558" s="42" t="s">
        <v>893</v>
      </c>
    </row>
    <row r="3559" spans="1:9">
      <c r="A3559" s="42" t="s">
        <v>897</v>
      </c>
      <c r="B3559" s="42" t="s">
        <v>343</v>
      </c>
      <c r="C3559" s="42" t="s">
        <v>1016</v>
      </c>
      <c r="D3559" s="42" t="s">
        <v>176</v>
      </c>
      <c r="E3559" s="42" t="s">
        <v>808</v>
      </c>
      <c r="F3559" s="45">
        <v>-1000000</v>
      </c>
      <c r="G3559" s="42" t="s">
        <v>1001</v>
      </c>
      <c r="H3559" s="42" t="s">
        <v>1075</v>
      </c>
      <c r="I3559" s="42" t="s">
        <v>893</v>
      </c>
    </row>
    <row r="3560" spans="1:9">
      <c r="A3560" s="42" t="s">
        <v>897</v>
      </c>
      <c r="B3560" s="42" t="s">
        <v>344</v>
      </c>
      <c r="C3560" s="42" t="s">
        <v>980</v>
      </c>
      <c r="D3560" s="42" t="s">
        <v>176</v>
      </c>
      <c r="E3560" s="42" t="s">
        <v>808</v>
      </c>
      <c r="F3560" s="45">
        <v>-206000000</v>
      </c>
      <c r="G3560" s="42" t="s">
        <v>1001</v>
      </c>
      <c r="H3560" s="42" t="s">
        <v>1075</v>
      </c>
      <c r="I3560" s="42" t="s">
        <v>893</v>
      </c>
    </row>
    <row r="3561" spans="1:9">
      <c r="A3561" s="42" t="s">
        <v>897</v>
      </c>
      <c r="B3561" s="42" t="s">
        <v>345</v>
      </c>
      <c r="C3561" s="42" t="s">
        <v>1035</v>
      </c>
      <c r="D3561" s="42" t="s">
        <v>176</v>
      </c>
      <c r="E3561" s="42" t="s">
        <v>808</v>
      </c>
      <c r="F3561" s="45">
        <v>-20000000</v>
      </c>
      <c r="G3561" s="42" t="s">
        <v>1001</v>
      </c>
      <c r="H3561" s="42" t="s">
        <v>1075</v>
      </c>
      <c r="I3561" s="42" t="s">
        <v>893</v>
      </c>
    </row>
    <row r="3562" spans="1:9">
      <c r="A3562" s="42" t="s">
        <v>897</v>
      </c>
      <c r="B3562" s="42" t="s">
        <v>346</v>
      </c>
      <c r="C3562" s="42" t="s">
        <v>956</v>
      </c>
      <c r="D3562" s="42" t="s">
        <v>176</v>
      </c>
      <c r="E3562" s="42" t="s">
        <v>808</v>
      </c>
      <c r="F3562" s="45">
        <v>-268000000</v>
      </c>
      <c r="G3562" s="42" t="s">
        <v>1001</v>
      </c>
      <c r="H3562" s="42" t="s">
        <v>1081</v>
      </c>
      <c r="I3562" s="42" t="s">
        <v>893</v>
      </c>
    </row>
    <row r="3563" spans="1:9">
      <c r="A3563" s="42" t="s">
        <v>897</v>
      </c>
      <c r="B3563" s="42" t="s">
        <v>347</v>
      </c>
      <c r="C3563" s="42" t="s">
        <v>981</v>
      </c>
      <c r="D3563" s="42" t="s">
        <v>176</v>
      </c>
      <c r="E3563" s="42" t="s">
        <v>808</v>
      </c>
      <c r="F3563" s="45">
        <v>1309000000</v>
      </c>
      <c r="G3563" s="42" t="s">
        <v>1039</v>
      </c>
      <c r="H3563" s="42" t="s">
        <v>141</v>
      </c>
      <c r="I3563" s="42" t="s">
        <v>893</v>
      </c>
    </row>
    <row r="3564" spans="1:9">
      <c r="A3564" s="42" t="s">
        <v>897</v>
      </c>
      <c r="B3564" s="42" t="s">
        <v>348</v>
      </c>
      <c r="C3564" s="42" t="s">
        <v>982</v>
      </c>
      <c r="D3564" s="42" t="s">
        <v>176</v>
      </c>
      <c r="E3564" s="42" t="s">
        <v>808</v>
      </c>
      <c r="F3564" s="45">
        <v>1041000000</v>
      </c>
      <c r="G3564" s="42" t="s">
        <v>985</v>
      </c>
      <c r="H3564" s="42" t="s">
        <v>143</v>
      </c>
      <c r="I3564" s="42" t="s">
        <v>893</v>
      </c>
    </row>
    <row r="3565" spans="1:9">
      <c r="A3565" s="42" t="s">
        <v>897</v>
      </c>
      <c r="B3565" s="42" t="s">
        <v>346</v>
      </c>
      <c r="C3565" s="42" t="s">
        <v>961</v>
      </c>
      <c r="D3565" s="42" t="s">
        <v>176</v>
      </c>
      <c r="E3565" s="42" t="s">
        <v>808</v>
      </c>
      <c r="F3565" s="45">
        <v>-268000000</v>
      </c>
      <c r="G3565" s="42" t="s">
        <v>1001</v>
      </c>
      <c r="H3565" s="42" t="s">
        <v>1081</v>
      </c>
      <c r="I3565" s="42" t="s">
        <v>893</v>
      </c>
    </row>
    <row r="3566" spans="1:9">
      <c r="A3566" s="42" t="s">
        <v>897</v>
      </c>
      <c r="B3566" s="42" t="s">
        <v>313</v>
      </c>
      <c r="C3566" s="42" t="s">
        <v>994</v>
      </c>
      <c r="D3566" s="42" t="s">
        <v>177</v>
      </c>
      <c r="E3566" s="42" t="s">
        <v>808</v>
      </c>
      <c r="F3566" s="45">
        <v>1485000000</v>
      </c>
      <c r="G3566" s="42" t="s">
        <v>1022</v>
      </c>
      <c r="H3566" s="42" t="s">
        <v>1076</v>
      </c>
      <c r="I3566" s="42" t="s">
        <v>893</v>
      </c>
    </row>
    <row r="3567" spans="1:9">
      <c r="A3567" s="42" t="s">
        <v>897</v>
      </c>
      <c r="B3567" s="42" t="s">
        <v>201</v>
      </c>
      <c r="C3567" s="42" t="s">
        <v>966</v>
      </c>
      <c r="D3567" s="42" t="s">
        <v>177</v>
      </c>
      <c r="E3567" s="42" t="s">
        <v>808</v>
      </c>
      <c r="F3567" s="45">
        <v>-107000000</v>
      </c>
      <c r="G3567" s="42" t="s">
        <v>1022</v>
      </c>
      <c r="H3567" s="42" t="s">
        <v>1076</v>
      </c>
      <c r="I3567" s="42" t="s">
        <v>893</v>
      </c>
    </row>
    <row r="3568" spans="1:9">
      <c r="A3568" s="42" t="s">
        <v>897</v>
      </c>
      <c r="B3568" s="42" t="s">
        <v>314</v>
      </c>
      <c r="C3568" s="42" t="s">
        <v>900</v>
      </c>
      <c r="D3568" s="42" t="s">
        <v>177</v>
      </c>
      <c r="E3568" s="42" t="s">
        <v>808</v>
      </c>
      <c r="F3568" s="45">
        <v>595000000</v>
      </c>
      <c r="G3568" s="42" t="s">
        <v>1022</v>
      </c>
      <c r="H3568" s="42" t="s">
        <v>1076</v>
      </c>
      <c r="I3568" s="42" t="s">
        <v>893</v>
      </c>
    </row>
    <row r="3569" spans="1:9">
      <c r="A3569" s="42" t="s">
        <v>897</v>
      </c>
      <c r="B3569" s="42" t="s">
        <v>315</v>
      </c>
      <c r="C3569" s="42" t="s">
        <v>901</v>
      </c>
      <c r="D3569" s="42" t="s">
        <v>177</v>
      </c>
      <c r="E3569" s="42" t="s">
        <v>808</v>
      </c>
      <c r="F3569" s="45">
        <v>11000000</v>
      </c>
      <c r="G3569" s="42" t="s">
        <v>1022</v>
      </c>
      <c r="H3569" s="42" t="s">
        <v>1076</v>
      </c>
      <c r="I3569" s="42" t="s">
        <v>893</v>
      </c>
    </row>
    <row r="3570" spans="1:9">
      <c r="A3570" s="42" t="s">
        <v>897</v>
      </c>
      <c r="B3570" s="42" t="s">
        <v>316</v>
      </c>
      <c r="C3570" s="42" t="s">
        <v>1004</v>
      </c>
      <c r="D3570" s="42" t="s">
        <v>177</v>
      </c>
      <c r="E3570" s="42" t="s">
        <v>808</v>
      </c>
      <c r="F3570" s="45">
        <v>68000000</v>
      </c>
      <c r="G3570" s="42" t="s">
        <v>1022</v>
      </c>
      <c r="H3570" s="42" t="s">
        <v>1076</v>
      </c>
      <c r="I3570" s="42" t="s">
        <v>893</v>
      </c>
    </row>
    <row r="3571" spans="1:9">
      <c r="A3571" s="42" t="s">
        <v>897</v>
      </c>
      <c r="B3571" s="42" t="s">
        <v>317</v>
      </c>
      <c r="C3571" s="42" t="s">
        <v>967</v>
      </c>
      <c r="D3571" s="42" t="s">
        <v>177</v>
      </c>
      <c r="E3571" s="42" t="s">
        <v>808</v>
      </c>
      <c r="F3571" s="45">
        <v>145000000</v>
      </c>
      <c r="G3571" s="42" t="s">
        <v>1022</v>
      </c>
      <c r="H3571" s="42" t="s">
        <v>1076</v>
      </c>
      <c r="I3571" s="42" t="s">
        <v>893</v>
      </c>
    </row>
    <row r="3572" spans="1:9">
      <c r="A3572" s="42" t="s">
        <v>897</v>
      </c>
      <c r="B3572" s="42" t="s">
        <v>318</v>
      </c>
      <c r="C3572" s="42" t="s">
        <v>904</v>
      </c>
      <c r="D3572" s="42" t="s">
        <v>177</v>
      </c>
      <c r="E3572" s="42" t="s">
        <v>808</v>
      </c>
      <c r="F3572" s="45">
        <v>-787000000</v>
      </c>
      <c r="G3572" s="42" t="s">
        <v>1022</v>
      </c>
      <c r="H3572" s="42" t="s">
        <v>1076</v>
      </c>
      <c r="I3572" s="42" t="s">
        <v>893</v>
      </c>
    </row>
    <row r="3573" spans="1:9">
      <c r="A3573" s="42" t="s">
        <v>897</v>
      </c>
      <c r="B3573" s="42" t="s">
        <v>319</v>
      </c>
      <c r="C3573" s="42" t="s">
        <v>907</v>
      </c>
      <c r="D3573" s="42" t="s">
        <v>177</v>
      </c>
      <c r="E3573" s="42" t="s">
        <v>808</v>
      </c>
      <c r="F3573" s="45">
        <v>160000000</v>
      </c>
      <c r="G3573" s="42" t="s">
        <v>1022</v>
      </c>
      <c r="H3573" s="42" t="s">
        <v>1076</v>
      </c>
      <c r="I3573" s="42" t="s">
        <v>893</v>
      </c>
    </row>
    <row r="3574" spans="1:9">
      <c r="A3574" s="42" t="s">
        <v>897</v>
      </c>
      <c r="B3574" s="42" t="s">
        <v>198</v>
      </c>
      <c r="C3574" s="42" t="s">
        <v>1066</v>
      </c>
      <c r="D3574" s="42" t="s">
        <v>177</v>
      </c>
      <c r="E3574" s="42" t="s">
        <v>808</v>
      </c>
      <c r="F3574" s="45">
        <v>21000000</v>
      </c>
      <c r="G3574" s="42" t="s">
        <v>1022</v>
      </c>
      <c r="H3574" s="42" t="s">
        <v>1076</v>
      </c>
      <c r="I3574" s="42" t="s">
        <v>893</v>
      </c>
    </row>
    <row r="3575" spans="1:9">
      <c r="A3575" s="42" t="s">
        <v>897</v>
      </c>
      <c r="B3575" s="42" t="s">
        <v>320</v>
      </c>
      <c r="C3575" s="42" t="s">
        <v>1048</v>
      </c>
      <c r="D3575" s="42" t="s">
        <v>177</v>
      </c>
      <c r="E3575" s="42" t="s">
        <v>808</v>
      </c>
      <c r="F3575" s="45">
        <v>100000000</v>
      </c>
      <c r="G3575" s="42" t="s">
        <v>1022</v>
      </c>
      <c r="H3575" s="42" t="s">
        <v>1076</v>
      </c>
      <c r="I3575" s="42" t="s">
        <v>893</v>
      </c>
    </row>
    <row r="3576" spans="1:9">
      <c r="A3576" s="42" t="s">
        <v>897</v>
      </c>
      <c r="B3576" s="42" t="s">
        <v>251</v>
      </c>
      <c r="C3576" s="42" t="s">
        <v>909</v>
      </c>
      <c r="D3576" s="42" t="s">
        <v>177</v>
      </c>
      <c r="E3576" s="42" t="s">
        <v>808</v>
      </c>
      <c r="F3576" s="45">
        <v>3000000</v>
      </c>
      <c r="G3576" s="42" t="s">
        <v>1022</v>
      </c>
      <c r="H3576" s="42" t="s">
        <v>1076</v>
      </c>
      <c r="I3576" s="42" t="s">
        <v>893</v>
      </c>
    </row>
    <row r="3577" spans="1:9">
      <c r="A3577" s="42" t="s">
        <v>897</v>
      </c>
      <c r="B3577" s="42" t="s">
        <v>293</v>
      </c>
      <c r="C3577" s="42" t="s">
        <v>912</v>
      </c>
      <c r="D3577" s="42" t="s">
        <v>177</v>
      </c>
      <c r="E3577" s="42" t="s">
        <v>808</v>
      </c>
      <c r="F3577" s="45">
        <v>-287000000</v>
      </c>
      <c r="G3577" s="42" t="s">
        <v>1022</v>
      </c>
      <c r="H3577" s="42" t="s">
        <v>1076</v>
      </c>
      <c r="I3577" s="42" t="s">
        <v>893</v>
      </c>
    </row>
    <row r="3578" spans="1:9">
      <c r="A3578" s="42" t="s">
        <v>897</v>
      </c>
      <c r="B3578" s="42" t="s">
        <v>292</v>
      </c>
      <c r="C3578" s="42" t="s">
        <v>913</v>
      </c>
      <c r="D3578" s="42" t="s">
        <v>177</v>
      </c>
      <c r="E3578" s="42" t="s">
        <v>808</v>
      </c>
      <c r="F3578" s="45">
        <v>-85000000</v>
      </c>
      <c r="G3578" s="42" t="s">
        <v>1022</v>
      </c>
      <c r="H3578" s="42" t="s">
        <v>1076</v>
      </c>
      <c r="I3578" s="42" t="s">
        <v>893</v>
      </c>
    </row>
    <row r="3579" spans="1:9">
      <c r="A3579" s="42" t="s">
        <v>897</v>
      </c>
      <c r="B3579" s="42" t="s">
        <v>241</v>
      </c>
      <c r="C3579" s="42" t="s">
        <v>914</v>
      </c>
      <c r="D3579" s="42" t="s">
        <v>177</v>
      </c>
      <c r="E3579" s="42" t="s">
        <v>808</v>
      </c>
      <c r="F3579" s="45">
        <v>-156000000</v>
      </c>
      <c r="G3579" s="42" t="s">
        <v>1022</v>
      </c>
      <c r="H3579" s="42" t="s">
        <v>1076</v>
      </c>
      <c r="I3579" s="42" t="s">
        <v>893</v>
      </c>
    </row>
    <row r="3580" spans="1:9">
      <c r="A3580" s="42" t="s">
        <v>897</v>
      </c>
      <c r="B3580" s="42" t="s">
        <v>310</v>
      </c>
      <c r="C3580" s="42" t="s">
        <v>915</v>
      </c>
      <c r="D3580" s="42" t="s">
        <v>177</v>
      </c>
      <c r="E3580" s="42" t="s">
        <v>808</v>
      </c>
      <c r="F3580" s="45">
        <v>477000000</v>
      </c>
      <c r="G3580" s="42" t="s">
        <v>1022</v>
      </c>
      <c r="H3580" s="42" t="s">
        <v>1076</v>
      </c>
      <c r="I3580" s="42" t="s">
        <v>893</v>
      </c>
    </row>
    <row r="3581" spans="1:9">
      <c r="A3581" s="42" t="s">
        <v>897</v>
      </c>
      <c r="B3581" s="42" t="s">
        <v>305</v>
      </c>
      <c r="C3581" s="42" t="s">
        <v>916</v>
      </c>
      <c r="D3581" s="42" t="s">
        <v>177</v>
      </c>
      <c r="E3581" s="42" t="s">
        <v>808</v>
      </c>
      <c r="F3581" s="45">
        <v>-14000000</v>
      </c>
      <c r="G3581" s="42" t="s">
        <v>1022</v>
      </c>
      <c r="H3581" s="42" t="s">
        <v>1076</v>
      </c>
      <c r="I3581" s="42" t="s">
        <v>893</v>
      </c>
    </row>
    <row r="3582" spans="1:9">
      <c r="A3582" s="42" t="s">
        <v>897</v>
      </c>
      <c r="B3582" s="42" t="s">
        <v>306</v>
      </c>
      <c r="C3582" s="42" t="s">
        <v>917</v>
      </c>
      <c r="D3582" s="42" t="s">
        <v>177</v>
      </c>
      <c r="E3582" s="42" t="s">
        <v>808</v>
      </c>
      <c r="F3582" s="45">
        <v>130000000</v>
      </c>
      <c r="G3582" s="42" t="s">
        <v>1022</v>
      </c>
      <c r="H3582" s="42" t="s">
        <v>1076</v>
      </c>
      <c r="I3582" s="42" t="s">
        <v>893</v>
      </c>
    </row>
    <row r="3583" spans="1:9">
      <c r="A3583" s="42" t="s">
        <v>897</v>
      </c>
      <c r="B3583" s="42" t="s">
        <v>309</v>
      </c>
      <c r="C3583" s="42" t="s">
        <v>918</v>
      </c>
      <c r="D3583" s="42" t="s">
        <v>177</v>
      </c>
      <c r="E3583" s="42" t="s">
        <v>808</v>
      </c>
      <c r="F3583" s="45">
        <v>-1000000</v>
      </c>
      <c r="G3583" s="42" t="s">
        <v>1022</v>
      </c>
      <c r="H3583" s="42" t="s">
        <v>1076</v>
      </c>
      <c r="I3583" s="42" t="s">
        <v>893</v>
      </c>
    </row>
    <row r="3584" spans="1:9">
      <c r="A3584" s="42" t="s">
        <v>897</v>
      </c>
      <c r="B3584" s="42" t="s">
        <v>325</v>
      </c>
      <c r="C3584" s="42" t="s">
        <v>919</v>
      </c>
      <c r="D3584" s="42" t="s">
        <v>177</v>
      </c>
      <c r="E3584" s="42" t="s">
        <v>808</v>
      </c>
      <c r="F3584" s="45">
        <v>-47000000</v>
      </c>
      <c r="G3584" s="42" t="s">
        <v>1022</v>
      </c>
      <c r="H3584" s="42" t="s">
        <v>1076</v>
      </c>
      <c r="I3584" s="42" t="s">
        <v>893</v>
      </c>
    </row>
    <row r="3585" spans="1:9">
      <c r="A3585" s="42" t="s">
        <v>897</v>
      </c>
      <c r="B3585" s="42" t="s">
        <v>242</v>
      </c>
      <c r="C3585" s="42" t="s">
        <v>920</v>
      </c>
      <c r="D3585" s="42" t="s">
        <v>177</v>
      </c>
      <c r="E3585" s="42" t="s">
        <v>808</v>
      </c>
      <c r="F3585" s="45">
        <v>-17000000</v>
      </c>
      <c r="G3585" s="42" t="s">
        <v>1022</v>
      </c>
      <c r="H3585" s="42" t="s">
        <v>1076</v>
      </c>
      <c r="I3585" s="42" t="s">
        <v>893</v>
      </c>
    </row>
    <row r="3586" spans="1:9">
      <c r="A3586" s="42" t="s">
        <v>897</v>
      </c>
      <c r="B3586" s="42" t="s">
        <v>302</v>
      </c>
      <c r="C3586" s="42" t="s">
        <v>921</v>
      </c>
      <c r="D3586" s="42" t="s">
        <v>177</v>
      </c>
      <c r="E3586" s="42" t="s">
        <v>808</v>
      </c>
      <c r="F3586" s="45">
        <v>9000000</v>
      </c>
      <c r="G3586" s="42" t="s">
        <v>1022</v>
      </c>
      <c r="H3586" s="42" t="s">
        <v>1076</v>
      </c>
      <c r="I3586" s="42" t="s">
        <v>893</v>
      </c>
    </row>
    <row r="3587" spans="1:9">
      <c r="A3587" s="42" t="s">
        <v>897</v>
      </c>
      <c r="B3587" s="42" t="s">
        <v>326</v>
      </c>
      <c r="C3587" s="42" t="s">
        <v>922</v>
      </c>
      <c r="D3587" s="42" t="s">
        <v>177</v>
      </c>
      <c r="E3587" s="42" t="s">
        <v>808</v>
      </c>
      <c r="F3587" s="45">
        <v>1000000</v>
      </c>
      <c r="G3587" s="42" t="s">
        <v>1022</v>
      </c>
      <c r="H3587" s="42" t="s">
        <v>1076</v>
      </c>
      <c r="I3587" s="42" t="s">
        <v>893</v>
      </c>
    </row>
    <row r="3588" spans="1:9">
      <c r="A3588" s="42" t="s">
        <v>897</v>
      </c>
      <c r="B3588" s="42" t="s">
        <v>328</v>
      </c>
      <c r="C3588" s="42" t="s">
        <v>924</v>
      </c>
      <c r="D3588" s="42" t="s">
        <v>177</v>
      </c>
      <c r="E3588" s="42" t="s">
        <v>808</v>
      </c>
      <c r="F3588" s="45">
        <v>-9000000</v>
      </c>
      <c r="G3588" s="42" t="s">
        <v>1022</v>
      </c>
      <c r="H3588" s="42" t="s">
        <v>1076</v>
      </c>
      <c r="I3588" s="42" t="s">
        <v>893</v>
      </c>
    </row>
    <row r="3589" spans="1:9">
      <c r="A3589" s="42" t="s">
        <v>897</v>
      </c>
      <c r="B3589" s="42" t="s">
        <v>329</v>
      </c>
      <c r="C3589" s="42" t="s">
        <v>925</v>
      </c>
      <c r="D3589" s="42" t="s">
        <v>177</v>
      </c>
      <c r="E3589" s="42" t="s">
        <v>808</v>
      </c>
      <c r="F3589" s="45">
        <v>1695000000</v>
      </c>
      <c r="G3589" s="42" t="s">
        <v>1022</v>
      </c>
      <c r="H3589" s="42" t="s">
        <v>1076</v>
      </c>
      <c r="I3589" s="42" t="s">
        <v>893</v>
      </c>
    </row>
    <row r="3590" spans="1:9">
      <c r="A3590" s="42" t="s">
        <v>897</v>
      </c>
      <c r="B3590" s="42" t="s">
        <v>372</v>
      </c>
      <c r="C3590" s="42" t="s">
        <v>926</v>
      </c>
      <c r="D3590" s="42" t="s">
        <v>177</v>
      </c>
      <c r="E3590" s="42" t="s">
        <v>808</v>
      </c>
      <c r="F3590" s="45">
        <v>93000000</v>
      </c>
      <c r="G3590" s="42" t="s">
        <v>1022</v>
      </c>
      <c r="H3590" s="42" t="s">
        <v>1076</v>
      </c>
      <c r="I3590" s="42" t="s">
        <v>896</v>
      </c>
    </row>
    <row r="3591" spans="1:9">
      <c r="A3591" s="42" t="s">
        <v>897</v>
      </c>
      <c r="B3591" s="42" t="s">
        <v>373</v>
      </c>
      <c r="C3591" s="42" t="s">
        <v>1032</v>
      </c>
      <c r="D3591" s="42" t="s">
        <v>177</v>
      </c>
      <c r="E3591" s="42" t="s">
        <v>808</v>
      </c>
      <c r="F3591" s="45">
        <v>-42000000</v>
      </c>
      <c r="G3591" s="42" t="s">
        <v>1022</v>
      </c>
      <c r="H3591" s="42" t="s">
        <v>1076</v>
      </c>
      <c r="I3591" s="42" t="s">
        <v>896</v>
      </c>
    </row>
    <row r="3592" spans="1:9">
      <c r="A3592" s="42" t="s">
        <v>897</v>
      </c>
      <c r="B3592" s="42" t="s">
        <v>330</v>
      </c>
      <c r="C3592" s="42" t="s">
        <v>927</v>
      </c>
      <c r="D3592" s="42" t="s">
        <v>177</v>
      </c>
      <c r="E3592" s="42" t="s">
        <v>808</v>
      </c>
      <c r="F3592" s="45">
        <v>-1484000000</v>
      </c>
      <c r="G3592" s="42" t="s">
        <v>1022</v>
      </c>
      <c r="H3592" s="42" t="s">
        <v>1076</v>
      </c>
      <c r="I3592" s="42" t="s">
        <v>893</v>
      </c>
    </row>
    <row r="3593" spans="1:9">
      <c r="A3593" s="42" t="s">
        <v>897</v>
      </c>
      <c r="B3593" s="42" t="s">
        <v>331</v>
      </c>
      <c r="C3593" s="42" t="s">
        <v>1079</v>
      </c>
      <c r="D3593" s="42" t="s">
        <v>177</v>
      </c>
      <c r="E3593" s="42" t="s">
        <v>808</v>
      </c>
      <c r="F3593" s="45">
        <v>-71000000</v>
      </c>
      <c r="G3593" s="42" t="s">
        <v>1022</v>
      </c>
      <c r="H3593" s="42" t="s">
        <v>1076</v>
      </c>
      <c r="I3593" s="42" t="s">
        <v>893</v>
      </c>
    </row>
    <row r="3594" spans="1:9">
      <c r="A3594" s="42" t="s">
        <v>897</v>
      </c>
      <c r="B3594" s="42" t="s">
        <v>334</v>
      </c>
      <c r="C3594" s="42" t="s">
        <v>933</v>
      </c>
      <c r="D3594" s="42" t="s">
        <v>177</v>
      </c>
      <c r="E3594" s="42" t="s">
        <v>808</v>
      </c>
      <c r="F3594" s="45">
        <v>2000000</v>
      </c>
      <c r="G3594" s="42" t="s">
        <v>1022</v>
      </c>
      <c r="H3594" s="42" t="s">
        <v>1076</v>
      </c>
      <c r="I3594" s="42" t="s">
        <v>893</v>
      </c>
    </row>
    <row r="3595" spans="1:9">
      <c r="A3595" s="42" t="s">
        <v>897</v>
      </c>
      <c r="B3595" s="42" t="s">
        <v>335</v>
      </c>
      <c r="C3595" s="42" t="s">
        <v>1068</v>
      </c>
      <c r="D3595" s="42" t="s">
        <v>177</v>
      </c>
      <c r="E3595" s="42" t="s">
        <v>808</v>
      </c>
      <c r="F3595" s="45">
        <v>63000000</v>
      </c>
      <c r="G3595" s="42" t="s">
        <v>1022</v>
      </c>
      <c r="H3595" s="42" t="s">
        <v>1082</v>
      </c>
      <c r="I3595" s="42" t="s">
        <v>893</v>
      </c>
    </row>
    <row r="3596" spans="1:9">
      <c r="A3596" s="42" t="s">
        <v>897</v>
      </c>
      <c r="B3596" s="42" t="s">
        <v>336</v>
      </c>
      <c r="C3596" s="42" t="s">
        <v>938</v>
      </c>
      <c r="D3596" s="42" t="s">
        <v>177</v>
      </c>
      <c r="E3596" s="42" t="s">
        <v>808</v>
      </c>
      <c r="F3596" s="45">
        <v>-1439000000</v>
      </c>
      <c r="G3596" s="42" t="s">
        <v>1022</v>
      </c>
      <c r="H3596" s="42" t="s">
        <v>1076</v>
      </c>
      <c r="I3596" s="42" t="s">
        <v>893</v>
      </c>
    </row>
    <row r="3597" spans="1:9">
      <c r="A3597" s="42" t="s">
        <v>897</v>
      </c>
      <c r="B3597" s="42" t="s">
        <v>337</v>
      </c>
      <c r="C3597" s="42" t="s">
        <v>991</v>
      </c>
      <c r="D3597" s="42" t="s">
        <v>177</v>
      </c>
      <c r="E3597" s="42" t="s">
        <v>808</v>
      </c>
      <c r="F3597" s="45">
        <v>-992000000</v>
      </c>
      <c r="G3597" s="42" t="s">
        <v>1022</v>
      </c>
      <c r="H3597" s="42" t="s">
        <v>1076</v>
      </c>
      <c r="I3597" s="42" t="s">
        <v>893</v>
      </c>
    </row>
    <row r="3598" spans="1:9">
      <c r="A3598" s="42" t="s">
        <v>897</v>
      </c>
      <c r="B3598" s="42" t="s">
        <v>338</v>
      </c>
      <c r="C3598" s="42" t="s">
        <v>972</v>
      </c>
      <c r="D3598" s="42" t="s">
        <v>177</v>
      </c>
      <c r="E3598" s="42" t="s">
        <v>808</v>
      </c>
      <c r="F3598" s="45">
        <v>-275000000</v>
      </c>
      <c r="G3598" s="42" t="s">
        <v>1022</v>
      </c>
      <c r="H3598" s="42" t="s">
        <v>1076</v>
      </c>
      <c r="I3598" s="42" t="s">
        <v>893</v>
      </c>
    </row>
    <row r="3599" spans="1:9">
      <c r="A3599" s="42" t="s">
        <v>897</v>
      </c>
      <c r="B3599" s="42" t="s">
        <v>939</v>
      </c>
      <c r="C3599" s="42" t="s">
        <v>973</v>
      </c>
      <c r="D3599" s="42" t="s">
        <v>177</v>
      </c>
      <c r="E3599" s="42" t="s">
        <v>808</v>
      </c>
      <c r="F3599" s="45">
        <v>1217000000</v>
      </c>
      <c r="G3599" s="42" t="s">
        <v>1022</v>
      </c>
      <c r="H3599" s="42" t="s">
        <v>1076</v>
      </c>
      <c r="I3599" s="42" t="s">
        <v>893</v>
      </c>
    </row>
    <row r="3600" spans="1:9">
      <c r="A3600" s="42" t="s">
        <v>897</v>
      </c>
      <c r="B3600" s="42" t="s">
        <v>340</v>
      </c>
      <c r="C3600" s="42" t="s">
        <v>1034</v>
      </c>
      <c r="D3600" s="42" t="s">
        <v>177</v>
      </c>
      <c r="E3600" s="42" t="s">
        <v>808</v>
      </c>
      <c r="F3600" s="45">
        <v>-247000000</v>
      </c>
      <c r="G3600" s="42" t="s">
        <v>1022</v>
      </c>
      <c r="H3600" s="42" t="s">
        <v>1076</v>
      </c>
      <c r="I3600" s="42" t="s">
        <v>893</v>
      </c>
    </row>
    <row r="3601" spans="1:9">
      <c r="A3601" s="42" t="s">
        <v>897</v>
      </c>
      <c r="B3601" s="42" t="s">
        <v>342</v>
      </c>
      <c r="C3601" s="42" t="s">
        <v>1014</v>
      </c>
      <c r="D3601" s="42" t="s">
        <v>177</v>
      </c>
      <c r="E3601" s="42" t="s">
        <v>808</v>
      </c>
      <c r="F3601" s="45">
        <v>-100000000</v>
      </c>
      <c r="G3601" s="42" t="s">
        <v>1022</v>
      </c>
      <c r="H3601" s="42" t="s">
        <v>1076</v>
      </c>
      <c r="I3601" s="42" t="s">
        <v>893</v>
      </c>
    </row>
    <row r="3602" spans="1:9">
      <c r="A3602" s="42" t="s">
        <v>897</v>
      </c>
      <c r="B3602" s="42" t="s">
        <v>343</v>
      </c>
      <c r="C3602" s="42" t="s">
        <v>1016</v>
      </c>
      <c r="D3602" s="42" t="s">
        <v>177</v>
      </c>
      <c r="E3602" s="42" t="s">
        <v>808</v>
      </c>
      <c r="F3602" s="45">
        <v>-1000000</v>
      </c>
      <c r="G3602" s="42" t="s">
        <v>1022</v>
      </c>
      <c r="H3602" s="42" t="s">
        <v>1076</v>
      </c>
      <c r="I3602" s="42" t="s">
        <v>893</v>
      </c>
    </row>
    <row r="3603" spans="1:9">
      <c r="A3603" s="42" t="s">
        <v>897</v>
      </c>
      <c r="B3603" s="42" t="s">
        <v>344</v>
      </c>
      <c r="C3603" s="42" t="s">
        <v>980</v>
      </c>
      <c r="D3603" s="42" t="s">
        <v>177</v>
      </c>
      <c r="E3603" s="42" t="s">
        <v>808</v>
      </c>
      <c r="F3603" s="45">
        <v>-398000000</v>
      </c>
      <c r="G3603" s="42" t="s">
        <v>1022</v>
      </c>
      <c r="H3603" s="42" t="s">
        <v>1076</v>
      </c>
      <c r="I3603" s="42" t="s">
        <v>893</v>
      </c>
    </row>
    <row r="3604" spans="1:9">
      <c r="A3604" s="42" t="s">
        <v>897</v>
      </c>
      <c r="B3604" s="42" t="s">
        <v>345</v>
      </c>
      <c r="C3604" s="42" t="s">
        <v>1035</v>
      </c>
      <c r="D3604" s="42" t="s">
        <v>177</v>
      </c>
      <c r="E3604" s="42" t="s">
        <v>808</v>
      </c>
      <c r="F3604" s="45">
        <v>-22000000</v>
      </c>
      <c r="G3604" s="42" t="s">
        <v>1022</v>
      </c>
      <c r="H3604" s="42" t="s">
        <v>1076</v>
      </c>
      <c r="I3604" s="42" t="s">
        <v>893</v>
      </c>
    </row>
    <row r="3605" spans="1:9">
      <c r="A3605" s="42" t="s">
        <v>897</v>
      </c>
      <c r="B3605" s="42" t="s">
        <v>346</v>
      </c>
      <c r="C3605" s="42" t="s">
        <v>956</v>
      </c>
      <c r="D3605" s="42" t="s">
        <v>177</v>
      </c>
      <c r="E3605" s="42" t="s">
        <v>808</v>
      </c>
      <c r="F3605" s="45">
        <v>-164000000</v>
      </c>
      <c r="G3605" s="42" t="s">
        <v>1022</v>
      </c>
      <c r="H3605" s="42" t="s">
        <v>1082</v>
      </c>
      <c r="I3605" s="42" t="s">
        <v>893</v>
      </c>
    </row>
    <row r="3606" spans="1:9">
      <c r="A3606" s="42" t="s">
        <v>897</v>
      </c>
      <c r="B3606" s="42" t="s">
        <v>347</v>
      </c>
      <c r="C3606" s="42" t="s">
        <v>981</v>
      </c>
      <c r="D3606" s="42" t="s">
        <v>177</v>
      </c>
      <c r="E3606" s="42" t="s">
        <v>808</v>
      </c>
      <c r="F3606" s="45">
        <v>1041000000</v>
      </c>
      <c r="G3606" s="42" t="s">
        <v>1039</v>
      </c>
      <c r="H3606" s="42" t="s">
        <v>143</v>
      </c>
      <c r="I3606" s="42" t="s">
        <v>893</v>
      </c>
    </row>
    <row r="3607" spans="1:9">
      <c r="A3607" s="42" t="s">
        <v>897</v>
      </c>
      <c r="B3607" s="42" t="s">
        <v>348</v>
      </c>
      <c r="C3607" s="42" t="s">
        <v>982</v>
      </c>
      <c r="D3607" s="42" t="s">
        <v>177</v>
      </c>
      <c r="E3607" s="42" t="s">
        <v>808</v>
      </c>
      <c r="F3607" s="45">
        <v>877000000</v>
      </c>
      <c r="G3607" s="42" t="s">
        <v>985</v>
      </c>
      <c r="H3607" s="42" t="s">
        <v>145</v>
      </c>
      <c r="I3607" s="42" t="s">
        <v>893</v>
      </c>
    </row>
    <row r="3608" spans="1:9">
      <c r="A3608" s="42" t="s">
        <v>897</v>
      </c>
      <c r="B3608" s="42" t="s">
        <v>346</v>
      </c>
      <c r="C3608" s="42" t="s">
        <v>961</v>
      </c>
      <c r="D3608" s="42" t="s">
        <v>177</v>
      </c>
      <c r="E3608" s="42" t="s">
        <v>808</v>
      </c>
      <c r="F3608" s="45">
        <v>-164000000</v>
      </c>
      <c r="G3608" s="42" t="s">
        <v>1022</v>
      </c>
      <c r="H3608" s="42" t="s">
        <v>1082</v>
      </c>
      <c r="I3608" s="42" t="s">
        <v>893</v>
      </c>
    </row>
    <row r="3609" spans="1:9">
      <c r="A3609" s="42" t="s">
        <v>897</v>
      </c>
      <c r="B3609" s="42" t="s">
        <v>313</v>
      </c>
      <c r="C3609" s="42" t="s">
        <v>994</v>
      </c>
      <c r="D3609" s="42" t="s">
        <v>178</v>
      </c>
      <c r="E3609" s="42" t="s">
        <v>808</v>
      </c>
      <c r="F3609" s="45">
        <v>-284000000</v>
      </c>
      <c r="G3609" s="42" t="s">
        <v>1025</v>
      </c>
      <c r="H3609" s="42" t="s">
        <v>1083</v>
      </c>
      <c r="I3609" s="42" t="s">
        <v>893</v>
      </c>
    </row>
    <row r="3610" spans="1:9">
      <c r="A3610" s="42" t="s">
        <v>897</v>
      </c>
      <c r="B3610" s="42" t="s">
        <v>201</v>
      </c>
      <c r="C3610" s="42" t="s">
        <v>966</v>
      </c>
      <c r="D3610" s="42" t="s">
        <v>178</v>
      </c>
      <c r="E3610" s="42" t="s">
        <v>808</v>
      </c>
      <c r="F3610" s="45">
        <v>-133000000</v>
      </c>
      <c r="G3610" s="42" t="s">
        <v>1025</v>
      </c>
      <c r="H3610" s="42" t="s">
        <v>1083</v>
      </c>
      <c r="I3610" s="42" t="s">
        <v>893</v>
      </c>
    </row>
    <row r="3611" spans="1:9">
      <c r="A3611" s="42" t="s">
        <v>897</v>
      </c>
      <c r="B3611" s="42" t="s">
        <v>314</v>
      </c>
      <c r="C3611" s="42" t="s">
        <v>900</v>
      </c>
      <c r="D3611" s="42" t="s">
        <v>178</v>
      </c>
      <c r="E3611" s="42" t="s">
        <v>808</v>
      </c>
      <c r="F3611" s="45">
        <v>714000000</v>
      </c>
      <c r="G3611" s="42" t="s">
        <v>1025</v>
      </c>
      <c r="H3611" s="42" t="s">
        <v>1083</v>
      </c>
      <c r="I3611" s="42" t="s">
        <v>893</v>
      </c>
    </row>
    <row r="3612" spans="1:9">
      <c r="A3612" s="42" t="s">
        <v>897</v>
      </c>
      <c r="B3612" s="42" t="s">
        <v>315</v>
      </c>
      <c r="C3612" s="42" t="s">
        <v>901</v>
      </c>
      <c r="D3612" s="42" t="s">
        <v>178</v>
      </c>
      <c r="E3612" s="42" t="s">
        <v>808</v>
      </c>
      <c r="F3612" s="45">
        <v>12000000</v>
      </c>
      <c r="G3612" s="42" t="s">
        <v>1025</v>
      </c>
      <c r="H3612" s="42" t="s">
        <v>1083</v>
      </c>
      <c r="I3612" s="42" t="s">
        <v>893</v>
      </c>
    </row>
    <row r="3613" spans="1:9">
      <c r="A3613" s="42" t="s">
        <v>897</v>
      </c>
      <c r="B3613" s="42" t="s">
        <v>316</v>
      </c>
      <c r="C3613" s="42" t="s">
        <v>1004</v>
      </c>
      <c r="D3613" s="42" t="s">
        <v>178</v>
      </c>
      <c r="E3613" s="42" t="s">
        <v>808</v>
      </c>
      <c r="F3613" s="45">
        <v>69000000</v>
      </c>
      <c r="G3613" s="42" t="s">
        <v>1025</v>
      </c>
      <c r="H3613" s="42" t="s">
        <v>1083</v>
      </c>
      <c r="I3613" s="42" t="s">
        <v>893</v>
      </c>
    </row>
    <row r="3614" spans="1:9">
      <c r="A3614" s="42" t="s">
        <v>897</v>
      </c>
      <c r="B3614" s="42" t="s">
        <v>317</v>
      </c>
      <c r="C3614" s="42" t="s">
        <v>967</v>
      </c>
      <c r="D3614" s="42" t="s">
        <v>178</v>
      </c>
      <c r="E3614" s="42" t="s">
        <v>808</v>
      </c>
      <c r="F3614" s="45">
        <v>232000000</v>
      </c>
      <c r="G3614" s="42" t="s">
        <v>1025</v>
      </c>
      <c r="H3614" s="42" t="s">
        <v>1083</v>
      </c>
      <c r="I3614" s="42" t="s">
        <v>893</v>
      </c>
    </row>
    <row r="3615" spans="1:9">
      <c r="A3615" s="42" t="s">
        <v>897</v>
      </c>
      <c r="B3615" s="42" t="s">
        <v>318</v>
      </c>
      <c r="C3615" s="42" t="s">
        <v>904</v>
      </c>
      <c r="D3615" s="42" t="s">
        <v>178</v>
      </c>
      <c r="E3615" s="42" t="s">
        <v>808</v>
      </c>
      <c r="F3615" s="45">
        <v>-216000000</v>
      </c>
      <c r="G3615" s="42" t="s">
        <v>1025</v>
      </c>
      <c r="H3615" s="42" t="s">
        <v>1083</v>
      </c>
      <c r="I3615" s="42" t="s">
        <v>893</v>
      </c>
    </row>
    <row r="3616" spans="1:9">
      <c r="A3616" s="42" t="s">
        <v>897</v>
      </c>
      <c r="B3616" s="42" t="s">
        <v>319</v>
      </c>
      <c r="C3616" s="42" t="s">
        <v>907</v>
      </c>
      <c r="D3616" s="42" t="s">
        <v>178</v>
      </c>
      <c r="E3616" s="42" t="s">
        <v>808</v>
      </c>
      <c r="F3616" s="45">
        <v>226000000</v>
      </c>
      <c r="G3616" s="42" t="s">
        <v>1025</v>
      </c>
      <c r="H3616" s="42" t="s">
        <v>1083</v>
      </c>
      <c r="I3616" s="42" t="s">
        <v>893</v>
      </c>
    </row>
    <row r="3617" spans="1:9">
      <c r="A3617" s="42" t="s">
        <v>897</v>
      </c>
      <c r="B3617" s="42" t="s">
        <v>198</v>
      </c>
      <c r="C3617" s="42" t="s">
        <v>1066</v>
      </c>
      <c r="D3617" s="42" t="s">
        <v>178</v>
      </c>
      <c r="E3617" s="42" t="s">
        <v>808</v>
      </c>
      <c r="F3617" s="45">
        <v>61000000</v>
      </c>
      <c r="G3617" s="42" t="s">
        <v>1025</v>
      </c>
      <c r="H3617" s="42" t="s">
        <v>1083</v>
      </c>
      <c r="I3617" s="42" t="s">
        <v>893</v>
      </c>
    </row>
    <row r="3618" spans="1:9">
      <c r="A3618" s="42" t="s">
        <v>897</v>
      </c>
      <c r="B3618" s="42" t="s">
        <v>320</v>
      </c>
      <c r="C3618" s="42" t="s">
        <v>1048</v>
      </c>
      <c r="D3618" s="42" t="s">
        <v>178</v>
      </c>
      <c r="E3618" s="42" t="s">
        <v>808</v>
      </c>
      <c r="F3618" s="45">
        <v>30000000</v>
      </c>
      <c r="G3618" s="42" t="s">
        <v>1025</v>
      </c>
      <c r="H3618" s="42" t="s">
        <v>1083</v>
      </c>
      <c r="I3618" s="42" t="s">
        <v>893</v>
      </c>
    </row>
    <row r="3619" spans="1:9">
      <c r="A3619" s="42" t="s">
        <v>897</v>
      </c>
      <c r="B3619" s="42" t="s">
        <v>251</v>
      </c>
      <c r="C3619" s="42" t="s">
        <v>909</v>
      </c>
      <c r="D3619" s="42" t="s">
        <v>178</v>
      </c>
      <c r="E3619" s="42" t="s">
        <v>808</v>
      </c>
      <c r="F3619" s="45">
        <v>2000000</v>
      </c>
      <c r="G3619" s="42" t="s">
        <v>1025</v>
      </c>
      <c r="H3619" s="42" t="s">
        <v>1083</v>
      </c>
      <c r="I3619" s="42" t="s">
        <v>893</v>
      </c>
    </row>
    <row r="3620" spans="1:9">
      <c r="A3620" s="42" t="s">
        <v>897</v>
      </c>
      <c r="B3620" s="42" t="s">
        <v>293</v>
      </c>
      <c r="C3620" s="42" t="s">
        <v>912</v>
      </c>
      <c r="D3620" s="42" t="s">
        <v>178</v>
      </c>
      <c r="E3620" s="42" t="s">
        <v>808</v>
      </c>
      <c r="F3620" s="45">
        <v>279000000</v>
      </c>
      <c r="G3620" s="42" t="s">
        <v>1025</v>
      </c>
      <c r="H3620" s="42" t="s">
        <v>1083</v>
      </c>
      <c r="I3620" s="42" t="s">
        <v>893</v>
      </c>
    </row>
    <row r="3621" spans="1:9">
      <c r="A3621" s="42" t="s">
        <v>897</v>
      </c>
      <c r="B3621" s="42" t="s">
        <v>292</v>
      </c>
      <c r="C3621" s="42" t="s">
        <v>913</v>
      </c>
      <c r="D3621" s="42" t="s">
        <v>178</v>
      </c>
      <c r="E3621" s="42" t="s">
        <v>808</v>
      </c>
      <c r="F3621" s="45">
        <v>-172000000</v>
      </c>
      <c r="G3621" s="42" t="s">
        <v>1025</v>
      </c>
      <c r="H3621" s="42" t="s">
        <v>1083</v>
      </c>
      <c r="I3621" s="42" t="s">
        <v>893</v>
      </c>
    </row>
    <row r="3622" spans="1:9">
      <c r="A3622" s="42" t="s">
        <v>897</v>
      </c>
      <c r="B3622" s="42" t="s">
        <v>241</v>
      </c>
      <c r="C3622" s="42" t="s">
        <v>914</v>
      </c>
      <c r="D3622" s="42" t="s">
        <v>178</v>
      </c>
      <c r="E3622" s="42" t="s">
        <v>808</v>
      </c>
      <c r="F3622" s="45">
        <v>157000000</v>
      </c>
      <c r="G3622" s="42" t="s">
        <v>1025</v>
      </c>
      <c r="H3622" s="42" t="s">
        <v>1083</v>
      </c>
      <c r="I3622" s="42" t="s">
        <v>893</v>
      </c>
    </row>
    <row r="3623" spans="1:9">
      <c r="A3623" s="42" t="s">
        <v>897</v>
      </c>
      <c r="B3623" s="42" t="s">
        <v>310</v>
      </c>
      <c r="C3623" s="42" t="s">
        <v>915</v>
      </c>
      <c r="D3623" s="42" t="s">
        <v>178</v>
      </c>
      <c r="E3623" s="42" t="s">
        <v>808</v>
      </c>
      <c r="F3623" s="45">
        <v>-12000000</v>
      </c>
      <c r="G3623" s="42" t="s">
        <v>1025</v>
      </c>
      <c r="H3623" s="42" t="s">
        <v>1083</v>
      </c>
      <c r="I3623" s="42" t="s">
        <v>893</v>
      </c>
    </row>
    <row r="3624" spans="1:9">
      <c r="A3624" s="42" t="s">
        <v>897</v>
      </c>
      <c r="B3624" s="42" t="s">
        <v>305</v>
      </c>
      <c r="C3624" s="42" t="s">
        <v>916</v>
      </c>
      <c r="D3624" s="42" t="s">
        <v>178</v>
      </c>
      <c r="E3624" s="42" t="s">
        <v>808</v>
      </c>
      <c r="F3624" s="45">
        <v>11000000</v>
      </c>
      <c r="G3624" s="42" t="s">
        <v>1025</v>
      </c>
      <c r="H3624" s="42" t="s">
        <v>1083</v>
      </c>
      <c r="I3624" s="42" t="s">
        <v>893</v>
      </c>
    </row>
    <row r="3625" spans="1:9">
      <c r="A3625" s="42" t="s">
        <v>897</v>
      </c>
      <c r="B3625" s="42" t="s">
        <v>306</v>
      </c>
      <c r="C3625" s="42" t="s">
        <v>917</v>
      </c>
      <c r="D3625" s="42" t="s">
        <v>178</v>
      </c>
      <c r="E3625" s="42" t="s">
        <v>808</v>
      </c>
      <c r="F3625" s="45">
        <v>99000000</v>
      </c>
      <c r="G3625" s="42" t="s">
        <v>1025</v>
      </c>
      <c r="H3625" s="42" t="s">
        <v>1083</v>
      </c>
      <c r="I3625" s="42" t="s">
        <v>893</v>
      </c>
    </row>
    <row r="3626" spans="1:9">
      <c r="A3626" s="42" t="s">
        <v>897</v>
      </c>
      <c r="B3626" s="42" t="s">
        <v>309</v>
      </c>
      <c r="C3626" s="42" t="s">
        <v>918</v>
      </c>
      <c r="D3626" s="42" t="s">
        <v>178</v>
      </c>
      <c r="E3626" s="42" t="s">
        <v>808</v>
      </c>
      <c r="F3626" s="45">
        <v>268000000</v>
      </c>
      <c r="G3626" s="42" t="s">
        <v>1025</v>
      </c>
      <c r="H3626" s="42" t="s">
        <v>1083</v>
      </c>
      <c r="I3626" s="42" t="s">
        <v>893</v>
      </c>
    </row>
    <row r="3627" spans="1:9">
      <c r="A3627" s="42" t="s">
        <v>897</v>
      </c>
      <c r="B3627" s="42" t="s">
        <v>325</v>
      </c>
      <c r="C3627" s="42" t="s">
        <v>919</v>
      </c>
      <c r="D3627" s="42" t="s">
        <v>178</v>
      </c>
      <c r="E3627" s="42" t="s">
        <v>808</v>
      </c>
      <c r="F3627" s="45">
        <v>-52000000</v>
      </c>
      <c r="G3627" s="42" t="s">
        <v>1025</v>
      </c>
      <c r="H3627" s="42" t="s">
        <v>1083</v>
      </c>
      <c r="I3627" s="42" t="s">
        <v>893</v>
      </c>
    </row>
    <row r="3628" spans="1:9">
      <c r="A3628" s="42" t="s">
        <v>897</v>
      </c>
      <c r="B3628" s="42" t="s">
        <v>242</v>
      </c>
      <c r="C3628" s="42" t="s">
        <v>920</v>
      </c>
      <c r="D3628" s="42" t="s">
        <v>178</v>
      </c>
      <c r="E3628" s="42" t="s">
        <v>808</v>
      </c>
      <c r="F3628" s="45">
        <v>7000000</v>
      </c>
      <c r="G3628" s="42" t="s">
        <v>1025</v>
      </c>
      <c r="H3628" s="42" t="s">
        <v>1083</v>
      </c>
      <c r="I3628" s="42" t="s">
        <v>893</v>
      </c>
    </row>
    <row r="3629" spans="1:9">
      <c r="A3629" s="42" t="s">
        <v>897</v>
      </c>
      <c r="B3629" s="42" t="s">
        <v>302</v>
      </c>
      <c r="C3629" s="42" t="s">
        <v>921</v>
      </c>
      <c r="D3629" s="42" t="s">
        <v>178</v>
      </c>
      <c r="E3629" s="42" t="s">
        <v>808</v>
      </c>
      <c r="F3629" s="45">
        <v>80000000</v>
      </c>
      <c r="G3629" s="42" t="s">
        <v>1025</v>
      </c>
      <c r="H3629" s="42" t="s">
        <v>1083</v>
      </c>
      <c r="I3629" s="42" t="s">
        <v>893</v>
      </c>
    </row>
    <row r="3630" spans="1:9">
      <c r="A3630" s="42" t="s">
        <v>897</v>
      </c>
      <c r="B3630" s="42" t="s">
        <v>326</v>
      </c>
      <c r="C3630" s="42" t="s">
        <v>922</v>
      </c>
      <c r="D3630" s="42" t="s">
        <v>178</v>
      </c>
      <c r="E3630" s="42" t="s">
        <v>808</v>
      </c>
      <c r="F3630" s="45">
        <v>37000000</v>
      </c>
      <c r="G3630" s="42" t="s">
        <v>1025</v>
      </c>
      <c r="H3630" s="42" t="s">
        <v>1083</v>
      </c>
      <c r="I3630" s="42" t="s">
        <v>893</v>
      </c>
    </row>
    <row r="3631" spans="1:9">
      <c r="A3631" s="42" t="s">
        <v>897</v>
      </c>
      <c r="B3631" s="42" t="s">
        <v>328</v>
      </c>
      <c r="C3631" s="42" t="s">
        <v>924</v>
      </c>
      <c r="D3631" s="42" t="s">
        <v>178</v>
      </c>
      <c r="E3631" s="42" t="s">
        <v>808</v>
      </c>
      <c r="F3631" s="45">
        <v>-1000000</v>
      </c>
      <c r="G3631" s="42" t="s">
        <v>1025</v>
      </c>
      <c r="H3631" s="42" t="s">
        <v>1083</v>
      </c>
      <c r="I3631" s="42" t="s">
        <v>893</v>
      </c>
    </row>
    <row r="3632" spans="1:9">
      <c r="A3632" s="42" t="s">
        <v>897</v>
      </c>
      <c r="B3632" s="42" t="s">
        <v>329</v>
      </c>
      <c r="C3632" s="42" t="s">
        <v>925</v>
      </c>
      <c r="D3632" s="42" t="s">
        <v>178</v>
      </c>
      <c r="E3632" s="42" t="s">
        <v>808</v>
      </c>
      <c r="F3632" s="45">
        <v>1663000000</v>
      </c>
      <c r="G3632" s="42" t="s">
        <v>1025</v>
      </c>
      <c r="H3632" s="42" t="s">
        <v>1083</v>
      </c>
      <c r="I3632" s="42" t="s">
        <v>893</v>
      </c>
    </row>
    <row r="3633" spans="1:9">
      <c r="A3633" s="42" t="s">
        <v>897</v>
      </c>
      <c r="B3633" s="42" t="s">
        <v>372</v>
      </c>
      <c r="C3633" s="42" t="s">
        <v>926</v>
      </c>
      <c r="D3633" s="42" t="s">
        <v>178</v>
      </c>
      <c r="E3633" s="42" t="s">
        <v>808</v>
      </c>
      <c r="F3633" s="45">
        <v>24000000</v>
      </c>
      <c r="G3633" s="42" t="s">
        <v>1025</v>
      </c>
      <c r="H3633" s="42" t="s">
        <v>1083</v>
      </c>
      <c r="I3633" s="42" t="s">
        <v>896</v>
      </c>
    </row>
    <row r="3634" spans="1:9">
      <c r="A3634" s="42" t="s">
        <v>897</v>
      </c>
      <c r="B3634" s="42" t="s">
        <v>373</v>
      </c>
      <c r="C3634" s="42" t="s">
        <v>1032</v>
      </c>
      <c r="D3634" s="42" t="s">
        <v>178</v>
      </c>
      <c r="E3634" s="42" t="s">
        <v>808</v>
      </c>
      <c r="F3634" s="45">
        <v>-33000000</v>
      </c>
      <c r="G3634" s="42" t="s">
        <v>1025</v>
      </c>
      <c r="H3634" s="42" t="s">
        <v>1083</v>
      </c>
      <c r="I3634" s="42" t="s">
        <v>896</v>
      </c>
    </row>
    <row r="3635" spans="1:9">
      <c r="A3635" s="42" t="s">
        <v>897</v>
      </c>
      <c r="B3635" s="42" t="s">
        <v>330</v>
      </c>
      <c r="C3635" s="42" t="s">
        <v>927</v>
      </c>
      <c r="D3635" s="42" t="s">
        <v>178</v>
      </c>
      <c r="E3635" s="42" t="s">
        <v>808</v>
      </c>
      <c r="F3635" s="45">
        <v>-1373000000</v>
      </c>
      <c r="G3635" s="42" t="s">
        <v>1025</v>
      </c>
      <c r="H3635" s="42" t="s">
        <v>1083</v>
      </c>
      <c r="I3635" s="42" t="s">
        <v>893</v>
      </c>
    </row>
    <row r="3636" spans="1:9">
      <c r="A3636" s="42" t="s">
        <v>897</v>
      </c>
      <c r="B3636" s="42" t="s">
        <v>331</v>
      </c>
      <c r="C3636" s="42" t="s">
        <v>1079</v>
      </c>
      <c r="D3636" s="42" t="s">
        <v>178</v>
      </c>
      <c r="E3636" s="42" t="s">
        <v>808</v>
      </c>
      <c r="F3636" s="45">
        <v>-93000000</v>
      </c>
      <c r="G3636" s="42" t="s">
        <v>1025</v>
      </c>
      <c r="H3636" s="42" t="s">
        <v>1083</v>
      </c>
      <c r="I3636" s="42" t="s">
        <v>893</v>
      </c>
    </row>
    <row r="3637" spans="1:9">
      <c r="A3637" s="42" t="s">
        <v>897</v>
      </c>
      <c r="B3637" s="42" t="s">
        <v>334</v>
      </c>
      <c r="C3637" s="42" t="s">
        <v>933</v>
      </c>
      <c r="D3637" s="42" t="s">
        <v>178</v>
      </c>
      <c r="E3637" s="42" t="s">
        <v>808</v>
      </c>
      <c r="F3637" s="45">
        <v>0</v>
      </c>
      <c r="G3637" s="42" t="s">
        <v>1025</v>
      </c>
      <c r="H3637" s="42" t="s">
        <v>1083</v>
      </c>
      <c r="I3637" s="42" t="s">
        <v>893</v>
      </c>
    </row>
    <row r="3638" spans="1:9">
      <c r="A3638" s="42" t="s">
        <v>897</v>
      </c>
      <c r="B3638" s="42" t="s">
        <v>335</v>
      </c>
      <c r="C3638" s="42" t="s">
        <v>1068</v>
      </c>
      <c r="D3638" s="42" t="s">
        <v>178</v>
      </c>
      <c r="E3638" s="42" t="s">
        <v>808</v>
      </c>
      <c r="F3638" s="45">
        <v>75000000</v>
      </c>
      <c r="G3638" s="42" t="s">
        <v>1025</v>
      </c>
      <c r="H3638" s="42" t="s">
        <v>1083</v>
      </c>
      <c r="I3638" s="42" t="s">
        <v>893</v>
      </c>
    </row>
    <row r="3639" spans="1:9">
      <c r="A3639" s="42" t="s">
        <v>897</v>
      </c>
      <c r="B3639" s="42" t="s">
        <v>336</v>
      </c>
      <c r="C3639" s="42" t="s">
        <v>938</v>
      </c>
      <c r="D3639" s="42" t="s">
        <v>178</v>
      </c>
      <c r="E3639" s="42" t="s">
        <v>808</v>
      </c>
      <c r="F3639" s="45">
        <v>-1400000000</v>
      </c>
      <c r="G3639" s="42" t="s">
        <v>1025</v>
      </c>
      <c r="H3639" s="42" t="s">
        <v>1083</v>
      </c>
      <c r="I3639" s="42" t="s">
        <v>893</v>
      </c>
    </row>
    <row r="3640" spans="1:9">
      <c r="A3640" s="42" t="s">
        <v>897</v>
      </c>
      <c r="B3640" s="42" t="s">
        <v>337</v>
      </c>
      <c r="C3640" s="42" t="s">
        <v>991</v>
      </c>
      <c r="D3640" s="42" t="s">
        <v>178</v>
      </c>
      <c r="E3640" s="42" t="s">
        <v>808</v>
      </c>
      <c r="F3640" s="45">
        <v>-108000000</v>
      </c>
      <c r="G3640" s="42" t="s">
        <v>1025</v>
      </c>
      <c r="H3640" s="42" t="s">
        <v>1083</v>
      </c>
      <c r="I3640" s="42" t="s">
        <v>893</v>
      </c>
    </row>
    <row r="3641" spans="1:9">
      <c r="A3641" s="42" t="s">
        <v>897</v>
      </c>
      <c r="B3641" s="42" t="s">
        <v>338</v>
      </c>
      <c r="C3641" s="42" t="s">
        <v>972</v>
      </c>
      <c r="D3641" s="42" t="s">
        <v>178</v>
      </c>
      <c r="E3641" s="42" t="s">
        <v>808</v>
      </c>
      <c r="F3641" s="45">
        <v>-106000000</v>
      </c>
      <c r="G3641" s="42" t="s">
        <v>1025</v>
      </c>
      <c r="H3641" s="42" t="s">
        <v>1083</v>
      </c>
      <c r="I3641" s="42" t="s">
        <v>893</v>
      </c>
    </row>
    <row r="3642" spans="1:9">
      <c r="A3642" s="42" t="s">
        <v>897</v>
      </c>
      <c r="B3642" s="42" t="s">
        <v>939</v>
      </c>
      <c r="C3642" s="42" t="s">
        <v>973</v>
      </c>
      <c r="D3642" s="42" t="s">
        <v>178</v>
      </c>
      <c r="E3642" s="42" t="s">
        <v>808</v>
      </c>
      <c r="F3642" s="45">
        <v>315000000</v>
      </c>
      <c r="G3642" s="42" t="s">
        <v>1025</v>
      </c>
      <c r="H3642" s="42" t="s">
        <v>1083</v>
      </c>
      <c r="I3642" s="42" t="s">
        <v>893</v>
      </c>
    </row>
    <row r="3643" spans="1:9">
      <c r="A3643" s="42" t="s">
        <v>897</v>
      </c>
      <c r="B3643" s="42" t="s">
        <v>340</v>
      </c>
      <c r="C3643" s="42" t="s">
        <v>1034</v>
      </c>
      <c r="D3643" s="42" t="s">
        <v>178</v>
      </c>
      <c r="E3643" s="42" t="s">
        <v>808</v>
      </c>
      <c r="F3643" s="45">
        <v>0</v>
      </c>
      <c r="G3643" s="42" t="s">
        <v>1025</v>
      </c>
      <c r="H3643" s="42" t="s">
        <v>1083</v>
      </c>
      <c r="I3643" s="42" t="s">
        <v>893</v>
      </c>
    </row>
    <row r="3644" spans="1:9">
      <c r="A3644" s="42" t="s">
        <v>897</v>
      </c>
      <c r="B3644" s="42" t="s">
        <v>342</v>
      </c>
      <c r="C3644" s="42" t="s">
        <v>1014</v>
      </c>
      <c r="D3644" s="42" t="s">
        <v>178</v>
      </c>
      <c r="E3644" s="42" t="s">
        <v>808</v>
      </c>
      <c r="F3644" s="45">
        <v>-102000000</v>
      </c>
      <c r="G3644" s="42" t="s">
        <v>1025</v>
      </c>
      <c r="H3644" s="42" t="s">
        <v>1083</v>
      </c>
      <c r="I3644" s="42" t="s">
        <v>893</v>
      </c>
    </row>
    <row r="3645" spans="1:9">
      <c r="A3645" s="42" t="s">
        <v>897</v>
      </c>
      <c r="B3645" s="42" t="s">
        <v>343</v>
      </c>
      <c r="C3645" s="42" t="s">
        <v>1016</v>
      </c>
      <c r="D3645" s="42" t="s">
        <v>178</v>
      </c>
      <c r="E3645" s="42" t="s">
        <v>808</v>
      </c>
      <c r="F3645" s="45">
        <v>0</v>
      </c>
      <c r="G3645" s="42" t="s">
        <v>1025</v>
      </c>
      <c r="H3645" s="42" t="s">
        <v>1083</v>
      </c>
      <c r="I3645" s="42" t="s">
        <v>893</v>
      </c>
    </row>
    <row r="3646" spans="1:9">
      <c r="A3646" s="42" t="s">
        <v>897</v>
      </c>
      <c r="B3646" s="42" t="s">
        <v>344</v>
      </c>
      <c r="C3646" s="42" t="s">
        <v>980</v>
      </c>
      <c r="D3646" s="42" t="s">
        <v>178</v>
      </c>
      <c r="E3646" s="42" t="s">
        <v>808</v>
      </c>
      <c r="F3646" s="45">
        <v>-1000000</v>
      </c>
      <c r="G3646" s="42" t="s">
        <v>1025</v>
      </c>
      <c r="H3646" s="42" t="s">
        <v>1083</v>
      </c>
      <c r="I3646" s="42" t="s">
        <v>893</v>
      </c>
    </row>
    <row r="3647" spans="1:9">
      <c r="A3647" s="42" t="s">
        <v>897</v>
      </c>
      <c r="B3647" s="42" t="s">
        <v>345</v>
      </c>
      <c r="C3647" s="42" t="s">
        <v>1035</v>
      </c>
      <c r="D3647" s="42" t="s">
        <v>178</v>
      </c>
      <c r="E3647" s="42" t="s">
        <v>808</v>
      </c>
      <c r="F3647" s="45">
        <v>-21000000</v>
      </c>
      <c r="G3647" s="42" t="s">
        <v>1025</v>
      </c>
      <c r="H3647" s="42" t="s">
        <v>1083</v>
      </c>
      <c r="I3647" s="42" t="s">
        <v>893</v>
      </c>
    </row>
    <row r="3648" spans="1:9">
      <c r="A3648" s="42" t="s">
        <v>897</v>
      </c>
      <c r="B3648" s="42" t="s">
        <v>346</v>
      </c>
      <c r="C3648" s="42" t="s">
        <v>956</v>
      </c>
      <c r="D3648" s="42" t="s">
        <v>178</v>
      </c>
      <c r="E3648" s="42" t="s">
        <v>808</v>
      </c>
      <c r="F3648" s="45">
        <v>241000000</v>
      </c>
      <c r="G3648" s="42" t="s">
        <v>1025</v>
      </c>
      <c r="H3648" s="42" t="s">
        <v>1083</v>
      </c>
      <c r="I3648" s="42" t="s">
        <v>893</v>
      </c>
    </row>
    <row r="3649" spans="1:9">
      <c r="A3649" s="42" t="s">
        <v>897</v>
      </c>
      <c r="B3649" s="42" t="s">
        <v>347</v>
      </c>
      <c r="C3649" s="42" t="s">
        <v>981</v>
      </c>
      <c r="D3649" s="42" t="s">
        <v>178</v>
      </c>
      <c r="E3649" s="42" t="s">
        <v>808</v>
      </c>
      <c r="F3649" s="45">
        <v>877000000</v>
      </c>
      <c r="G3649" s="42" t="s">
        <v>1039</v>
      </c>
      <c r="H3649" s="42" t="s">
        <v>145</v>
      </c>
      <c r="I3649" s="42" t="s">
        <v>893</v>
      </c>
    </row>
    <row r="3650" spans="1:9">
      <c r="A3650" s="42" t="s">
        <v>897</v>
      </c>
      <c r="B3650" s="42" t="s">
        <v>348</v>
      </c>
      <c r="C3650" s="42" t="s">
        <v>982</v>
      </c>
      <c r="D3650" s="42" t="s">
        <v>178</v>
      </c>
      <c r="E3650" s="42" t="s">
        <v>808</v>
      </c>
      <c r="F3650" s="45">
        <v>1118000000</v>
      </c>
      <c r="G3650" s="42" t="s">
        <v>985</v>
      </c>
      <c r="H3650" s="42" t="s">
        <v>149</v>
      </c>
      <c r="I3650" s="42" t="s">
        <v>893</v>
      </c>
    </row>
    <row r="3651" spans="1:9">
      <c r="A3651" s="42" t="s">
        <v>897</v>
      </c>
      <c r="B3651" s="42" t="s">
        <v>346</v>
      </c>
      <c r="C3651" s="42" t="s">
        <v>961</v>
      </c>
      <c r="D3651" s="42" t="s">
        <v>178</v>
      </c>
      <c r="E3651" s="42" t="s">
        <v>808</v>
      </c>
      <c r="F3651" s="45">
        <v>241000000</v>
      </c>
      <c r="G3651" s="42" t="s">
        <v>1025</v>
      </c>
      <c r="H3651" s="42" t="s">
        <v>1083</v>
      </c>
      <c r="I3651" s="42" t="s">
        <v>893</v>
      </c>
    </row>
    <row r="3652" spans="1:9">
      <c r="A3652" s="42" t="s">
        <v>897</v>
      </c>
      <c r="B3652" s="42" t="s">
        <v>313</v>
      </c>
      <c r="C3652" s="42" t="s">
        <v>994</v>
      </c>
      <c r="D3652" s="42" t="s">
        <v>666</v>
      </c>
      <c r="E3652" s="42" t="s">
        <v>762</v>
      </c>
      <c r="F3652" s="45">
        <v>-799000000</v>
      </c>
      <c r="G3652" s="42" t="s">
        <v>763</v>
      </c>
      <c r="H3652" s="42" t="s">
        <v>149</v>
      </c>
      <c r="I3652" s="42" t="s">
        <v>893</v>
      </c>
    </row>
    <row r="3653" spans="1:9">
      <c r="A3653" s="42" t="s">
        <v>897</v>
      </c>
      <c r="B3653" s="42" t="s">
        <v>201</v>
      </c>
      <c r="C3653" s="42" t="s">
        <v>966</v>
      </c>
      <c r="D3653" s="42" t="s">
        <v>666</v>
      </c>
      <c r="E3653" s="42" t="s">
        <v>762</v>
      </c>
      <c r="F3653" s="45">
        <v>-122000000</v>
      </c>
      <c r="G3653" s="42" t="s">
        <v>763</v>
      </c>
      <c r="H3653" s="42" t="s">
        <v>149</v>
      </c>
      <c r="I3653" s="42" t="s">
        <v>893</v>
      </c>
    </row>
    <row r="3654" spans="1:9">
      <c r="A3654" s="42" t="s">
        <v>897</v>
      </c>
      <c r="B3654" s="42" t="s">
        <v>314</v>
      </c>
      <c r="C3654" s="42" t="s">
        <v>900</v>
      </c>
      <c r="D3654" s="42" t="s">
        <v>666</v>
      </c>
      <c r="E3654" s="42" t="s">
        <v>762</v>
      </c>
      <c r="F3654" s="45">
        <v>2857000000</v>
      </c>
      <c r="G3654" s="42" t="s">
        <v>763</v>
      </c>
      <c r="H3654" s="42" t="s">
        <v>149</v>
      </c>
      <c r="I3654" s="42" t="s">
        <v>893</v>
      </c>
    </row>
    <row r="3655" spans="1:9">
      <c r="A3655" s="42" t="s">
        <v>897</v>
      </c>
      <c r="B3655" s="42" t="s">
        <v>315</v>
      </c>
      <c r="C3655" s="42" t="s">
        <v>901</v>
      </c>
      <c r="D3655" s="42" t="s">
        <v>666</v>
      </c>
      <c r="E3655" s="42" t="s">
        <v>762</v>
      </c>
      <c r="F3655" s="45">
        <v>61000000</v>
      </c>
      <c r="G3655" s="42" t="s">
        <v>763</v>
      </c>
      <c r="H3655" s="42" t="s">
        <v>149</v>
      </c>
      <c r="I3655" s="42" t="s">
        <v>893</v>
      </c>
    </row>
    <row r="3656" spans="1:9">
      <c r="A3656" s="42" t="s">
        <v>897</v>
      </c>
      <c r="B3656" s="42" t="s">
        <v>316</v>
      </c>
      <c r="C3656" s="42" t="s">
        <v>1004</v>
      </c>
      <c r="D3656" s="42" t="s">
        <v>666</v>
      </c>
      <c r="E3656" s="42" t="s">
        <v>762</v>
      </c>
      <c r="F3656" s="45">
        <v>286000000</v>
      </c>
      <c r="G3656" s="42" t="s">
        <v>763</v>
      </c>
      <c r="H3656" s="42" t="s">
        <v>149</v>
      </c>
      <c r="I3656" s="42" t="s">
        <v>893</v>
      </c>
    </row>
    <row r="3657" spans="1:9">
      <c r="A3657" s="42" t="s">
        <v>897</v>
      </c>
      <c r="B3657" s="42" t="s">
        <v>317</v>
      </c>
      <c r="C3657" s="42" t="s">
        <v>967</v>
      </c>
      <c r="D3657" s="42" t="s">
        <v>666</v>
      </c>
      <c r="E3657" s="42" t="s">
        <v>762</v>
      </c>
      <c r="F3657" s="45">
        <v>680000000</v>
      </c>
      <c r="G3657" s="42" t="s">
        <v>763</v>
      </c>
      <c r="H3657" s="42" t="s">
        <v>149</v>
      </c>
      <c r="I3657" s="42" t="s">
        <v>893</v>
      </c>
    </row>
    <row r="3658" spans="1:9">
      <c r="A3658" s="42" t="s">
        <v>897</v>
      </c>
      <c r="B3658" s="42" t="s">
        <v>318</v>
      </c>
      <c r="C3658" s="42" t="s">
        <v>904</v>
      </c>
      <c r="D3658" s="42" t="s">
        <v>666</v>
      </c>
      <c r="E3658" s="42" t="s">
        <v>762</v>
      </c>
      <c r="F3658" s="45">
        <v>1709000000</v>
      </c>
      <c r="G3658" s="42" t="s">
        <v>763</v>
      </c>
      <c r="H3658" s="42" t="s">
        <v>149</v>
      </c>
      <c r="I3658" s="42" t="s">
        <v>893</v>
      </c>
    </row>
    <row r="3659" spans="1:9">
      <c r="A3659" s="42" t="s">
        <v>897</v>
      </c>
      <c r="B3659" s="42" t="s">
        <v>319</v>
      </c>
      <c r="C3659" s="42" t="s">
        <v>907</v>
      </c>
      <c r="D3659" s="42" t="s">
        <v>666</v>
      </c>
      <c r="E3659" s="42" t="s">
        <v>762</v>
      </c>
      <c r="F3659" s="45">
        <v>817000000</v>
      </c>
      <c r="G3659" s="42" t="s">
        <v>763</v>
      </c>
      <c r="H3659" s="42" t="s">
        <v>149</v>
      </c>
      <c r="I3659" s="42" t="s">
        <v>893</v>
      </c>
    </row>
    <row r="3660" spans="1:9">
      <c r="A3660" s="42" t="s">
        <v>897</v>
      </c>
      <c r="B3660" s="42" t="s">
        <v>198</v>
      </c>
      <c r="C3660" s="42" t="s">
        <v>1066</v>
      </c>
      <c r="D3660" s="42" t="s">
        <v>666</v>
      </c>
      <c r="E3660" s="42" t="s">
        <v>762</v>
      </c>
      <c r="F3660" s="45">
        <v>-4000000</v>
      </c>
      <c r="G3660" s="42" t="s">
        <v>763</v>
      </c>
      <c r="H3660" s="42" t="s">
        <v>149</v>
      </c>
      <c r="I3660" s="42" t="s">
        <v>893</v>
      </c>
    </row>
    <row r="3661" spans="1:9">
      <c r="A3661" s="42" t="s">
        <v>897</v>
      </c>
      <c r="B3661" s="42" t="s">
        <v>320</v>
      </c>
      <c r="C3661" s="42" t="s">
        <v>1048</v>
      </c>
      <c r="D3661" s="42" t="s">
        <v>666</v>
      </c>
      <c r="E3661" s="42" t="s">
        <v>762</v>
      </c>
      <c r="F3661" s="45">
        <v>963000000</v>
      </c>
      <c r="G3661" s="42" t="s">
        <v>763</v>
      </c>
      <c r="H3661" s="42" t="s">
        <v>149</v>
      </c>
      <c r="I3661" s="42" t="s">
        <v>893</v>
      </c>
    </row>
    <row r="3662" spans="1:9">
      <c r="A3662" s="42" t="s">
        <v>897</v>
      </c>
      <c r="B3662" s="42" t="s">
        <v>251</v>
      </c>
      <c r="C3662" s="42" t="s">
        <v>909</v>
      </c>
      <c r="D3662" s="42" t="s">
        <v>666</v>
      </c>
      <c r="E3662" s="42" t="s">
        <v>762</v>
      </c>
      <c r="F3662" s="45">
        <v>15000000</v>
      </c>
      <c r="G3662" s="42" t="s">
        <v>763</v>
      </c>
      <c r="H3662" s="42" t="s">
        <v>149</v>
      </c>
      <c r="I3662" s="42" t="s">
        <v>893</v>
      </c>
    </row>
    <row r="3663" spans="1:9">
      <c r="A3663" s="42" t="s">
        <v>897</v>
      </c>
      <c r="B3663" s="42" t="s">
        <v>321</v>
      </c>
      <c r="C3663" s="42" t="s">
        <v>1049</v>
      </c>
      <c r="D3663" s="42" t="s">
        <v>666</v>
      </c>
      <c r="E3663" s="42" t="s">
        <v>762</v>
      </c>
      <c r="F3663" s="45">
        <v>-219000000</v>
      </c>
      <c r="G3663" s="42" t="s">
        <v>763</v>
      </c>
      <c r="H3663" s="42" t="s">
        <v>149</v>
      </c>
      <c r="I3663" s="42" t="s">
        <v>893</v>
      </c>
    </row>
    <row r="3664" spans="1:9">
      <c r="A3664" s="42" t="s">
        <v>897</v>
      </c>
      <c r="B3664" s="42" t="s">
        <v>322</v>
      </c>
      <c r="C3664" s="42" t="s">
        <v>1078</v>
      </c>
      <c r="D3664" s="42" t="s">
        <v>666</v>
      </c>
      <c r="E3664" s="42" t="s">
        <v>762</v>
      </c>
      <c r="F3664" s="45">
        <v>418000000</v>
      </c>
      <c r="G3664" s="42" t="s">
        <v>763</v>
      </c>
      <c r="H3664" s="42" t="s">
        <v>149</v>
      </c>
      <c r="I3664" s="42" t="s">
        <v>893</v>
      </c>
    </row>
    <row r="3665" spans="1:9">
      <c r="A3665" s="42" t="s">
        <v>897</v>
      </c>
      <c r="B3665" s="42" t="s">
        <v>323</v>
      </c>
      <c r="C3665" s="42" t="s">
        <v>1084</v>
      </c>
      <c r="D3665" s="42" t="s">
        <v>666</v>
      </c>
      <c r="E3665" s="42" t="s">
        <v>762</v>
      </c>
      <c r="F3665" s="45">
        <v>-45000000</v>
      </c>
      <c r="G3665" s="42" t="s">
        <v>763</v>
      </c>
      <c r="H3665" s="42" t="s">
        <v>149</v>
      </c>
      <c r="I3665" s="42" t="s">
        <v>893</v>
      </c>
    </row>
    <row r="3666" spans="1:9">
      <c r="A3666" s="42" t="s">
        <v>897</v>
      </c>
      <c r="B3666" s="42" t="s">
        <v>367</v>
      </c>
      <c r="C3666" s="42" t="s">
        <v>1085</v>
      </c>
      <c r="D3666" s="42" t="s">
        <v>666</v>
      </c>
      <c r="E3666" s="42" t="s">
        <v>762</v>
      </c>
      <c r="F3666" s="45">
        <v>-335000000</v>
      </c>
      <c r="G3666" s="42" t="s">
        <v>763</v>
      </c>
      <c r="H3666" s="42" t="s">
        <v>149</v>
      </c>
      <c r="I3666" s="42" t="s">
        <v>871</v>
      </c>
    </row>
    <row r="3667" spans="1:9">
      <c r="A3667" s="42" t="s">
        <v>897</v>
      </c>
      <c r="B3667" s="42" t="s">
        <v>293</v>
      </c>
      <c r="C3667" s="42" t="s">
        <v>912</v>
      </c>
      <c r="D3667" s="42" t="s">
        <v>666</v>
      </c>
      <c r="E3667" s="42" t="s">
        <v>762</v>
      </c>
      <c r="F3667" s="45">
        <v>-359000000</v>
      </c>
      <c r="G3667" s="42" t="s">
        <v>763</v>
      </c>
      <c r="H3667" s="42" t="s">
        <v>149</v>
      </c>
      <c r="I3667" s="42" t="s">
        <v>893</v>
      </c>
    </row>
    <row r="3668" spans="1:9">
      <c r="A3668" s="42" t="s">
        <v>897</v>
      </c>
      <c r="B3668" s="42" t="s">
        <v>292</v>
      </c>
      <c r="C3668" s="42" t="s">
        <v>913</v>
      </c>
      <c r="D3668" s="42" t="s">
        <v>666</v>
      </c>
      <c r="E3668" s="42" t="s">
        <v>762</v>
      </c>
      <c r="F3668" s="45">
        <v>-430000000</v>
      </c>
      <c r="G3668" s="42" t="s">
        <v>763</v>
      </c>
      <c r="H3668" s="42" t="s">
        <v>149</v>
      </c>
      <c r="I3668" s="42" t="s">
        <v>893</v>
      </c>
    </row>
    <row r="3669" spans="1:9">
      <c r="A3669" s="42" t="s">
        <v>897</v>
      </c>
      <c r="B3669" s="42" t="s">
        <v>241</v>
      </c>
      <c r="C3669" s="42" t="s">
        <v>914</v>
      </c>
      <c r="D3669" s="42" t="s">
        <v>666</v>
      </c>
      <c r="E3669" s="42" t="s">
        <v>762</v>
      </c>
      <c r="F3669" s="45">
        <v>94000000</v>
      </c>
      <c r="G3669" s="42" t="s">
        <v>763</v>
      </c>
      <c r="H3669" s="42" t="s">
        <v>149</v>
      </c>
      <c r="I3669" s="42" t="s">
        <v>893</v>
      </c>
    </row>
    <row r="3670" spans="1:9">
      <c r="A3670" s="42" t="s">
        <v>897</v>
      </c>
      <c r="B3670" s="42" t="s">
        <v>310</v>
      </c>
      <c r="C3670" s="42" t="s">
        <v>915</v>
      </c>
      <c r="D3670" s="42" t="s">
        <v>666</v>
      </c>
      <c r="E3670" s="42" t="s">
        <v>762</v>
      </c>
      <c r="F3670" s="45">
        <v>-280000000</v>
      </c>
      <c r="G3670" s="42" t="s">
        <v>763</v>
      </c>
      <c r="H3670" s="42" t="s">
        <v>149</v>
      </c>
      <c r="I3670" s="42" t="s">
        <v>893</v>
      </c>
    </row>
    <row r="3671" spans="1:9">
      <c r="A3671" s="42" t="s">
        <v>897</v>
      </c>
      <c r="B3671" s="42" t="s">
        <v>305</v>
      </c>
      <c r="C3671" s="42" t="s">
        <v>916</v>
      </c>
      <c r="D3671" s="42" t="s">
        <v>666</v>
      </c>
      <c r="E3671" s="42" t="s">
        <v>762</v>
      </c>
      <c r="F3671" s="45">
        <v>15000000</v>
      </c>
      <c r="G3671" s="42" t="s">
        <v>763</v>
      </c>
      <c r="H3671" s="42" t="s">
        <v>149</v>
      </c>
      <c r="I3671" s="42" t="s">
        <v>893</v>
      </c>
    </row>
    <row r="3672" spans="1:9">
      <c r="A3672" s="42" t="s">
        <v>897</v>
      </c>
      <c r="B3672" s="42" t="s">
        <v>306</v>
      </c>
      <c r="C3672" s="42" t="s">
        <v>917</v>
      </c>
      <c r="D3672" s="42" t="s">
        <v>666</v>
      </c>
      <c r="E3672" s="42" t="s">
        <v>762</v>
      </c>
      <c r="F3672" s="45">
        <v>-3000000</v>
      </c>
      <c r="G3672" s="42" t="s">
        <v>763</v>
      </c>
      <c r="H3672" s="42" t="s">
        <v>149</v>
      </c>
      <c r="I3672" s="42" t="s">
        <v>893</v>
      </c>
    </row>
    <row r="3673" spans="1:9">
      <c r="A3673" s="42" t="s">
        <v>897</v>
      </c>
      <c r="B3673" s="42" t="s">
        <v>309</v>
      </c>
      <c r="C3673" s="42" t="s">
        <v>918</v>
      </c>
      <c r="D3673" s="42" t="s">
        <v>666</v>
      </c>
      <c r="E3673" s="42" t="s">
        <v>762</v>
      </c>
      <c r="F3673" s="45">
        <v>-392000000</v>
      </c>
      <c r="G3673" s="42" t="s">
        <v>763</v>
      </c>
      <c r="H3673" s="42" t="s">
        <v>149</v>
      </c>
      <c r="I3673" s="42" t="s">
        <v>893</v>
      </c>
    </row>
    <row r="3674" spans="1:9">
      <c r="A3674" s="42" t="s">
        <v>897</v>
      </c>
      <c r="B3674" s="42" t="s">
        <v>325</v>
      </c>
      <c r="C3674" s="42" t="s">
        <v>919</v>
      </c>
      <c r="D3674" s="42" t="s">
        <v>666</v>
      </c>
      <c r="E3674" s="42" t="s">
        <v>762</v>
      </c>
      <c r="F3674" s="45">
        <v>-166000000</v>
      </c>
      <c r="G3674" s="42" t="s">
        <v>763</v>
      </c>
      <c r="H3674" s="42" t="s">
        <v>149</v>
      </c>
      <c r="I3674" s="42" t="s">
        <v>893</v>
      </c>
    </row>
    <row r="3675" spans="1:9">
      <c r="A3675" s="42" t="s">
        <v>897</v>
      </c>
      <c r="B3675" s="42" t="s">
        <v>242</v>
      </c>
      <c r="C3675" s="42" t="s">
        <v>920</v>
      </c>
      <c r="D3675" s="42" t="s">
        <v>666</v>
      </c>
      <c r="E3675" s="42" t="s">
        <v>762</v>
      </c>
      <c r="F3675" s="45">
        <v>18000000</v>
      </c>
      <c r="G3675" s="42" t="s">
        <v>763</v>
      </c>
      <c r="H3675" s="42" t="s">
        <v>149</v>
      </c>
      <c r="I3675" s="42" t="s">
        <v>893</v>
      </c>
    </row>
    <row r="3676" spans="1:9">
      <c r="A3676" s="42" t="s">
        <v>897</v>
      </c>
      <c r="B3676" s="42" t="s">
        <v>302</v>
      </c>
      <c r="C3676" s="42" t="s">
        <v>921</v>
      </c>
      <c r="D3676" s="42" t="s">
        <v>666</v>
      </c>
      <c r="E3676" s="42" t="s">
        <v>762</v>
      </c>
      <c r="F3676" s="45">
        <v>84000000</v>
      </c>
      <c r="G3676" s="42" t="s">
        <v>763</v>
      </c>
      <c r="H3676" s="42" t="s">
        <v>149</v>
      </c>
      <c r="I3676" s="42" t="s">
        <v>893</v>
      </c>
    </row>
    <row r="3677" spans="1:9">
      <c r="A3677" s="42" t="s">
        <v>897</v>
      </c>
      <c r="B3677" s="42" t="s">
        <v>326</v>
      </c>
      <c r="C3677" s="42" t="s">
        <v>922</v>
      </c>
      <c r="D3677" s="42" t="s">
        <v>666</v>
      </c>
      <c r="E3677" s="42" t="s">
        <v>762</v>
      </c>
      <c r="F3677" s="45">
        <v>224000000</v>
      </c>
      <c r="G3677" s="42" t="s">
        <v>763</v>
      </c>
      <c r="H3677" s="42" t="s">
        <v>149</v>
      </c>
      <c r="I3677" s="42" t="s">
        <v>893</v>
      </c>
    </row>
    <row r="3678" spans="1:9">
      <c r="A3678" s="42" t="s">
        <v>897</v>
      </c>
      <c r="B3678" s="42" t="s">
        <v>327</v>
      </c>
      <c r="C3678" s="42" t="s">
        <v>1009</v>
      </c>
      <c r="D3678" s="42" t="s">
        <v>666</v>
      </c>
      <c r="E3678" s="42" t="s">
        <v>762</v>
      </c>
      <c r="F3678" s="45">
        <v>5000000</v>
      </c>
      <c r="G3678" s="42" t="s">
        <v>763</v>
      </c>
      <c r="H3678" s="42" t="s">
        <v>149</v>
      </c>
      <c r="I3678" s="42" t="s">
        <v>893</v>
      </c>
    </row>
    <row r="3679" spans="1:9">
      <c r="A3679" s="42" t="s">
        <v>897</v>
      </c>
      <c r="B3679" s="42" t="s">
        <v>328</v>
      </c>
      <c r="C3679" s="42" t="s">
        <v>924</v>
      </c>
      <c r="D3679" s="42" t="s">
        <v>666</v>
      </c>
      <c r="E3679" s="42" t="s">
        <v>762</v>
      </c>
      <c r="F3679" s="45">
        <v>-133000000</v>
      </c>
      <c r="G3679" s="42" t="s">
        <v>763</v>
      </c>
      <c r="H3679" s="42" t="s">
        <v>149</v>
      </c>
      <c r="I3679" s="42" t="s">
        <v>893</v>
      </c>
    </row>
    <row r="3680" spans="1:9">
      <c r="A3680" s="42" t="s">
        <v>897</v>
      </c>
      <c r="B3680" s="42" t="s">
        <v>329</v>
      </c>
      <c r="C3680" s="42" t="s">
        <v>925</v>
      </c>
      <c r="D3680" s="42" t="s">
        <v>666</v>
      </c>
      <c r="E3680" s="42" t="s">
        <v>762</v>
      </c>
      <c r="F3680" s="45">
        <v>4959000000</v>
      </c>
      <c r="G3680" s="42" t="s">
        <v>763</v>
      </c>
      <c r="H3680" s="42" t="s">
        <v>149</v>
      </c>
      <c r="I3680" s="42" t="s">
        <v>893</v>
      </c>
    </row>
    <row r="3681" spans="1:9">
      <c r="A3681" s="42" t="s">
        <v>897</v>
      </c>
      <c r="B3681" s="42" t="s">
        <v>372</v>
      </c>
      <c r="C3681" s="42" t="s">
        <v>926</v>
      </c>
      <c r="D3681" s="42" t="s">
        <v>666</v>
      </c>
      <c r="E3681" s="42" t="s">
        <v>762</v>
      </c>
      <c r="F3681" s="45">
        <v>221000000</v>
      </c>
      <c r="G3681" s="42" t="s">
        <v>763</v>
      </c>
      <c r="H3681" s="42" t="s">
        <v>149</v>
      </c>
      <c r="I3681" s="42" t="s">
        <v>896</v>
      </c>
    </row>
    <row r="3682" spans="1:9">
      <c r="A3682" s="42" t="s">
        <v>897</v>
      </c>
      <c r="B3682" s="42" t="s">
        <v>373</v>
      </c>
      <c r="C3682" s="42" t="s">
        <v>1032</v>
      </c>
      <c r="D3682" s="42" t="s">
        <v>666</v>
      </c>
      <c r="E3682" s="42" t="s">
        <v>762</v>
      </c>
      <c r="F3682" s="45">
        <v>-74000000</v>
      </c>
      <c r="G3682" s="42" t="s">
        <v>763</v>
      </c>
      <c r="H3682" s="42" t="s">
        <v>149</v>
      </c>
      <c r="I3682" s="42" t="s">
        <v>896</v>
      </c>
    </row>
    <row r="3683" spans="1:9">
      <c r="A3683" s="42" t="s">
        <v>897</v>
      </c>
      <c r="B3683" s="42" t="s">
        <v>330</v>
      </c>
      <c r="C3683" s="42" t="s">
        <v>927</v>
      </c>
      <c r="D3683" s="42" t="s">
        <v>666</v>
      </c>
      <c r="E3683" s="42" t="s">
        <v>762</v>
      </c>
      <c r="F3683" s="45">
        <v>-5077000000</v>
      </c>
      <c r="G3683" s="42" t="s">
        <v>763</v>
      </c>
      <c r="H3683" s="42" t="s">
        <v>149</v>
      </c>
      <c r="I3683" s="42" t="s">
        <v>893</v>
      </c>
    </row>
    <row r="3684" spans="1:9">
      <c r="A3684" s="42" t="s">
        <v>897</v>
      </c>
      <c r="B3684" s="42" t="s">
        <v>331</v>
      </c>
      <c r="C3684" s="42" t="s">
        <v>1079</v>
      </c>
      <c r="D3684" s="42" t="s">
        <v>666</v>
      </c>
      <c r="E3684" s="42" t="s">
        <v>762</v>
      </c>
      <c r="F3684" s="45">
        <v>-46000000</v>
      </c>
      <c r="G3684" s="42" t="s">
        <v>763</v>
      </c>
      <c r="H3684" s="42" t="s">
        <v>149</v>
      </c>
      <c r="I3684" s="42" t="s">
        <v>893</v>
      </c>
    </row>
    <row r="3685" spans="1:9">
      <c r="A3685" s="42" t="s">
        <v>897</v>
      </c>
      <c r="B3685" s="42" t="s">
        <v>332</v>
      </c>
      <c r="C3685" s="42" t="s">
        <v>932</v>
      </c>
      <c r="D3685" s="42" t="s">
        <v>666</v>
      </c>
      <c r="E3685" s="42" t="s">
        <v>762</v>
      </c>
      <c r="F3685" s="45">
        <v>-85000000</v>
      </c>
      <c r="G3685" s="42" t="s">
        <v>763</v>
      </c>
      <c r="H3685" s="42" t="s">
        <v>149</v>
      </c>
      <c r="I3685" s="42" t="s">
        <v>893</v>
      </c>
    </row>
    <row r="3686" spans="1:9">
      <c r="A3686" s="42" t="s">
        <v>897</v>
      </c>
      <c r="B3686" s="42" t="s">
        <v>333</v>
      </c>
      <c r="C3686" s="42" t="s">
        <v>1086</v>
      </c>
      <c r="D3686" s="42" t="s">
        <v>666</v>
      </c>
      <c r="E3686" s="42" t="s">
        <v>762</v>
      </c>
      <c r="F3686" s="45">
        <v>-767000000</v>
      </c>
      <c r="G3686" s="42" t="s">
        <v>763</v>
      </c>
      <c r="H3686" s="42" t="s">
        <v>149</v>
      </c>
      <c r="I3686" s="42" t="s">
        <v>893</v>
      </c>
    </row>
    <row r="3687" spans="1:9">
      <c r="A3687" s="42" t="s">
        <v>897</v>
      </c>
      <c r="B3687" s="42" t="s">
        <v>334</v>
      </c>
      <c r="C3687" s="42" t="s">
        <v>933</v>
      </c>
      <c r="D3687" s="42" t="s">
        <v>666</v>
      </c>
      <c r="E3687" s="42" t="s">
        <v>762</v>
      </c>
      <c r="F3687" s="45">
        <v>4000000</v>
      </c>
      <c r="G3687" s="42" t="s">
        <v>763</v>
      </c>
      <c r="H3687" s="42" t="s">
        <v>149</v>
      </c>
      <c r="I3687" s="42" t="s">
        <v>893</v>
      </c>
    </row>
    <row r="3688" spans="1:9">
      <c r="A3688" s="42" t="s">
        <v>897</v>
      </c>
      <c r="B3688" s="42" t="s">
        <v>335</v>
      </c>
      <c r="C3688" s="42" t="s">
        <v>1068</v>
      </c>
      <c r="D3688" s="42" t="s">
        <v>666</v>
      </c>
      <c r="E3688" s="42" t="s">
        <v>762</v>
      </c>
      <c r="F3688" s="45">
        <v>297000000</v>
      </c>
      <c r="G3688" s="42" t="s">
        <v>763</v>
      </c>
      <c r="H3688" s="42" t="s">
        <v>149</v>
      </c>
      <c r="I3688" s="42" t="s">
        <v>893</v>
      </c>
    </row>
    <row r="3689" spans="1:9">
      <c r="A3689" s="42" t="s">
        <v>897</v>
      </c>
      <c r="B3689" s="42" t="s">
        <v>336</v>
      </c>
      <c r="C3689" s="42" t="s">
        <v>938</v>
      </c>
      <c r="D3689" s="42" t="s">
        <v>666</v>
      </c>
      <c r="E3689" s="42" t="s">
        <v>762</v>
      </c>
      <c r="F3689" s="45">
        <v>-5527000000</v>
      </c>
      <c r="G3689" s="42" t="s">
        <v>763</v>
      </c>
      <c r="H3689" s="42" t="s">
        <v>149</v>
      </c>
      <c r="I3689" s="42" t="s">
        <v>893</v>
      </c>
    </row>
    <row r="3690" spans="1:9">
      <c r="A3690" s="42" t="s">
        <v>897</v>
      </c>
      <c r="B3690" s="42" t="s">
        <v>337</v>
      </c>
      <c r="C3690" s="42" t="s">
        <v>991</v>
      </c>
      <c r="D3690" s="42" t="s">
        <v>666</v>
      </c>
      <c r="E3690" s="42" t="s">
        <v>762</v>
      </c>
      <c r="F3690" s="45">
        <v>-2871000000</v>
      </c>
      <c r="G3690" s="42" t="s">
        <v>763</v>
      </c>
      <c r="H3690" s="42" t="s">
        <v>149</v>
      </c>
      <c r="I3690" s="42" t="s">
        <v>893</v>
      </c>
    </row>
    <row r="3691" spans="1:9">
      <c r="A3691" s="42" t="s">
        <v>897</v>
      </c>
      <c r="B3691" s="42" t="s">
        <v>338</v>
      </c>
      <c r="C3691" s="42" t="s">
        <v>972</v>
      </c>
      <c r="D3691" s="42" t="s">
        <v>666</v>
      </c>
      <c r="E3691" s="42" t="s">
        <v>762</v>
      </c>
      <c r="F3691" s="45">
        <v>-670000000</v>
      </c>
      <c r="G3691" s="42" t="s">
        <v>763</v>
      </c>
      <c r="H3691" s="42" t="s">
        <v>149</v>
      </c>
      <c r="I3691" s="42" t="s">
        <v>893</v>
      </c>
    </row>
    <row r="3692" spans="1:9">
      <c r="A3692" s="42" t="s">
        <v>897</v>
      </c>
      <c r="B3692" s="42" t="s">
        <v>939</v>
      </c>
      <c r="C3692" s="42" t="s">
        <v>973</v>
      </c>
      <c r="D3692" s="42" t="s">
        <v>666</v>
      </c>
      <c r="E3692" s="42" t="s">
        <v>762</v>
      </c>
      <c r="F3692" s="45">
        <v>4481000000</v>
      </c>
      <c r="G3692" s="42" t="s">
        <v>763</v>
      </c>
      <c r="H3692" s="42" t="s">
        <v>149</v>
      </c>
      <c r="I3692" s="42" t="s">
        <v>893</v>
      </c>
    </row>
    <row r="3693" spans="1:9">
      <c r="A3693" s="42" t="s">
        <v>897</v>
      </c>
      <c r="B3693" s="42" t="s">
        <v>340</v>
      </c>
      <c r="C3693" s="42" t="s">
        <v>1034</v>
      </c>
      <c r="D3693" s="42" t="s">
        <v>666</v>
      </c>
      <c r="E3693" s="42" t="s">
        <v>762</v>
      </c>
      <c r="F3693" s="45">
        <v>4000000</v>
      </c>
      <c r="G3693" s="42" t="s">
        <v>763</v>
      </c>
      <c r="H3693" s="42" t="s">
        <v>149</v>
      </c>
      <c r="I3693" s="42" t="s">
        <v>893</v>
      </c>
    </row>
    <row r="3694" spans="1:9">
      <c r="A3694" s="42" t="s">
        <v>897</v>
      </c>
      <c r="B3694" s="42" t="s">
        <v>941</v>
      </c>
      <c r="C3694" s="42" t="s">
        <v>977</v>
      </c>
      <c r="D3694" s="42" t="s">
        <v>666</v>
      </c>
      <c r="E3694" s="42" t="s">
        <v>762</v>
      </c>
      <c r="F3694" s="45">
        <v>-10000000</v>
      </c>
      <c r="G3694" s="42" t="s">
        <v>763</v>
      </c>
      <c r="H3694" s="42" t="s">
        <v>149</v>
      </c>
      <c r="I3694" s="42" t="s">
        <v>893</v>
      </c>
    </row>
    <row r="3695" spans="1:9">
      <c r="A3695" s="42" t="s">
        <v>897</v>
      </c>
      <c r="B3695" s="42" t="s">
        <v>342</v>
      </c>
      <c r="C3695" s="42" t="s">
        <v>1014</v>
      </c>
      <c r="D3695" s="42" t="s">
        <v>666</v>
      </c>
      <c r="E3695" s="42" t="s">
        <v>762</v>
      </c>
      <c r="F3695" s="45">
        <v>-406000000</v>
      </c>
      <c r="G3695" s="42" t="s">
        <v>763</v>
      </c>
      <c r="H3695" s="42" t="s">
        <v>149</v>
      </c>
      <c r="I3695" s="42" t="s">
        <v>893</v>
      </c>
    </row>
    <row r="3696" spans="1:9">
      <c r="A3696" s="42" t="s">
        <v>897</v>
      </c>
      <c r="B3696" s="42" t="s">
        <v>343</v>
      </c>
      <c r="C3696" s="42" t="s">
        <v>1016</v>
      </c>
      <c r="D3696" s="42" t="s">
        <v>666</v>
      </c>
      <c r="E3696" s="42" t="s">
        <v>762</v>
      </c>
      <c r="F3696" s="45">
        <v>-11000000</v>
      </c>
      <c r="G3696" s="42" t="s">
        <v>763</v>
      </c>
      <c r="H3696" s="42" t="s">
        <v>149</v>
      </c>
      <c r="I3696" s="42" t="s">
        <v>893</v>
      </c>
    </row>
    <row r="3697" spans="1:9">
      <c r="A3697" s="42" t="s">
        <v>897</v>
      </c>
      <c r="B3697" s="42" t="s">
        <v>344</v>
      </c>
      <c r="C3697" s="42" t="s">
        <v>980</v>
      </c>
      <c r="D3697" s="42" t="s">
        <v>666</v>
      </c>
      <c r="E3697" s="42" t="s">
        <v>762</v>
      </c>
      <c r="F3697" s="45">
        <v>517000000</v>
      </c>
      <c r="G3697" s="42" t="s">
        <v>763</v>
      </c>
      <c r="H3697" s="42" t="s">
        <v>149</v>
      </c>
      <c r="I3697" s="42" t="s">
        <v>893</v>
      </c>
    </row>
    <row r="3698" spans="1:9">
      <c r="A3698" s="42" t="s">
        <v>897</v>
      </c>
      <c r="B3698" s="42" t="s">
        <v>345</v>
      </c>
      <c r="C3698" s="42" t="s">
        <v>1035</v>
      </c>
      <c r="D3698" s="42" t="s">
        <v>666</v>
      </c>
      <c r="E3698" s="42" t="s">
        <v>762</v>
      </c>
      <c r="F3698" s="45">
        <v>-134000000</v>
      </c>
      <c r="G3698" s="42" t="s">
        <v>763</v>
      </c>
      <c r="H3698" s="42" t="s">
        <v>149</v>
      </c>
      <c r="I3698" s="42" t="s">
        <v>893</v>
      </c>
    </row>
    <row r="3699" spans="1:9">
      <c r="A3699" s="42" t="s">
        <v>897</v>
      </c>
      <c r="B3699" s="42" t="s">
        <v>346</v>
      </c>
      <c r="C3699" s="42" t="s">
        <v>956</v>
      </c>
      <c r="D3699" s="42" t="s">
        <v>666</v>
      </c>
      <c r="E3699" s="42" t="s">
        <v>762</v>
      </c>
      <c r="F3699" s="45">
        <v>-185000000</v>
      </c>
      <c r="G3699" s="42" t="s">
        <v>763</v>
      </c>
      <c r="H3699" s="42" t="s">
        <v>149</v>
      </c>
      <c r="I3699" s="42" t="s">
        <v>893</v>
      </c>
    </row>
    <row r="3700" spans="1:9">
      <c r="A3700" s="42" t="s">
        <v>897</v>
      </c>
      <c r="B3700" s="42" t="s">
        <v>347</v>
      </c>
      <c r="C3700" s="42" t="s">
        <v>981</v>
      </c>
      <c r="D3700" s="42" t="s">
        <v>666</v>
      </c>
      <c r="E3700" s="42" t="s">
        <v>762</v>
      </c>
      <c r="F3700" s="45">
        <v>1118000000</v>
      </c>
      <c r="G3700" s="42" t="s">
        <v>763</v>
      </c>
      <c r="H3700" s="42" t="s">
        <v>149</v>
      </c>
      <c r="I3700" s="42" t="s">
        <v>893</v>
      </c>
    </row>
    <row r="3701" spans="1:9">
      <c r="A3701" s="42" t="s">
        <v>897</v>
      </c>
      <c r="B3701" s="42" t="s">
        <v>348</v>
      </c>
      <c r="C3701" s="42" t="s">
        <v>982</v>
      </c>
      <c r="D3701" s="42" t="s">
        <v>666</v>
      </c>
      <c r="E3701" s="42" t="s">
        <v>762</v>
      </c>
      <c r="F3701" s="45">
        <v>933000000</v>
      </c>
      <c r="G3701" s="42" t="s">
        <v>763</v>
      </c>
      <c r="H3701" s="42" t="s">
        <v>149</v>
      </c>
      <c r="I3701" s="42" t="s">
        <v>893</v>
      </c>
    </row>
    <row r="3702" spans="1:9">
      <c r="A3702" s="42" t="s">
        <v>897</v>
      </c>
      <c r="B3702" s="42" t="s">
        <v>346</v>
      </c>
      <c r="C3702" s="42" t="s">
        <v>961</v>
      </c>
      <c r="D3702" s="42" t="s">
        <v>666</v>
      </c>
      <c r="E3702" s="42" t="s">
        <v>762</v>
      </c>
      <c r="F3702" s="45">
        <v>-185000000</v>
      </c>
      <c r="G3702" s="42" t="s">
        <v>763</v>
      </c>
      <c r="H3702" s="42" t="s">
        <v>149</v>
      </c>
      <c r="I3702" s="42" t="s">
        <v>893</v>
      </c>
    </row>
    <row r="3703" spans="1:9">
      <c r="A3703" s="42" t="s">
        <v>897</v>
      </c>
      <c r="B3703" s="42" t="s">
        <v>313</v>
      </c>
      <c r="C3703" s="42" t="s">
        <v>994</v>
      </c>
      <c r="D3703" s="42" t="s">
        <v>179</v>
      </c>
      <c r="E3703" s="42" t="s">
        <v>808</v>
      </c>
      <c r="F3703" s="45">
        <v>-10000000</v>
      </c>
      <c r="G3703" s="42" t="s">
        <v>763</v>
      </c>
      <c r="H3703" s="42" t="s">
        <v>151</v>
      </c>
      <c r="I3703" s="42" t="s">
        <v>893</v>
      </c>
    </row>
    <row r="3704" spans="1:9">
      <c r="A3704" s="42" t="s">
        <v>897</v>
      </c>
      <c r="B3704" s="42" t="s">
        <v>201</v>
      </c>
      <c r="C3704" s="42" t="s">
        <v>966</v>
      </c>
      <c r="D3704" s="42" t="s">
        <v>179</v>
      </c>
      <c r="E3704" s="42" t="s">
        <v>808</v>
      </c>
      <c r="F3704" s="45">
        <v>-81000000</v>
      </c>
      <c r="G3704" s="42" t="s">
        <v>763</v>
      </c>
      <c r="H3704" s="42" t="s">
        <v>151</v>
      </c>
      <c r="I3704" s="42" t="s">
        <v>893</v>
      </c>
    </row>
    <row r="3705" spans="1:9">
      <c r="A3705" s="42" t="s">
        <v>897</v>
      </c>
      <c r="B3705" s="42" t="s">
        <v>314</v>
      </c>
      <c r="C3705" s="42" t="s">
        <v>900</v>
      </c>
      <c r="D3705" s="42" t="s">
        <v>179</v>
      </c>
      <c r="E3705" s="42" t="s">
        <v>808</v>
      </c>
      <c r="F3705" s="45">
        <v>718000000</v>
      </c>
      <c r="G3705" s="42" t="s">
        <v>763</v>
      </c>
      <c r="H3705" s="42" t="s">
        <v>151</v>
      </c>
      <c r="I3705" s="42" t="s">
        <v>893</v>
      </c>
    </row>
    <row r="3706" spans="1:9">
      <c r="A3706" s="42" t="s">
        <v>897</v>
      </c>
      <c r="B3706" s="42" t="s">
        <v>315</v>
      </c>
      <c r="C3706" s="42" t="s">
        <v>901</v>
      </c>
      <c r="D3706" s="42" t="s">
        <v>179</v>
      </c>
      <c r="E3706" s="42" t="s">
        <v>808</v>
      </c>
      <c r="F3706" s="45">
        <v>14000000</v>
      </c>
      <c r="G3706" s="42" t="s">
        <v>763</v>
      </c>
      <c r="H3706" s="42" t="s">
        <v>151</v>
      </c>
      <c r="I3706" s="42" t="s">
        <v>893</v>
      </c>
    </row>
    <row r="3707" spans="1:9">
      <c r="A3707" s="42" t="s">
        <v>897</v>
      </c>
      <c r="B3707" s="42" t="s">
        <v>316</v>
      </c>
      <c r="C3707" s="42" t="s">
        <v>1004</v>
      </c>
      <c r="D3707" s="42" t="s">
        <v>179</v>
      </c>
      <c r="E3707" s="42" t="s">
        <v>808</v>
      </c>
      <c r="F3707" s="45">
        <v>74000000</v>
      </c>
      <c r="G3707" s="42" t="s">
        <v>763</v>
      </c>
      <c r="H3707" s="42" t="s">
        <v>151</v>
      </c>
      <c r="I3707" s="42" t="s">
        <v>893</v>
      </c>
    </row>
    <row r="3708" spans="1:9">
      <c r="A3708" s="42" t="s">
        <v>897</v>
      </c>
      <c r="B3708" s="42" t="s">
        <v>317</v>
      </c>
      <c r="C3708" s="42" t="s">
        <v>967</v>
      </c>
      <c r="D3708" s="42" t="s">
        <v>179</v>
      </c>
      <c r="E3708" s="42" t="s">
        <v>808</v>
      </c>
      <c r="F3708" s="45">
        <v>99000000</v>
      </c>
      <c r="G3708" s="42" t="s">
        <v>763</v>
      </c>
      <c r="H3708" s="42" t="s">
        <v>151</v>
      </c>
      <c r="I3708" s="42" t="s">
        <v>893</v>
      </c>
    </row>
    <row r="3709" spans="1:9">
      <c r="A3709" s="42" t="s">
        <v>897</v>
      </c>
      <c r="B3709" s="42" t="s">
        <v>318</v>
      </c>
      <c r="C3709" s="42" t="s">
        <v>904</v>
      </c>
      <c r="D3709" s="42" t="s">
        <v>179</v>
      </c>
      <c r="E3709" s="42" t="s">
        <v>808</v>
      </c>
      <c r="F3709" s="45">
        <v>38000000</v>
      </c>
      <c r="G3709" s="42" t="s">
        <v>763</v>
      </c>
      <c r="H3709" s="42" t="s">
        <v>151</v>
      </c>
      <c r="I3709" s="42" t="s">
        <v>893</v>
      </c>
    </row>
    <row r="3710" spans="1:9">
      <c r="A3710" s="42" t="s">
        <v>897</v>
      </c>
      <c r="B3710" s="42" t="s">
        <v>319</v>
      </c>
      <c r="C3710" s="42" t="s">
        <v>907</v>
      </c>
      <c r="D3710" s="42" t="s">
        <v>179</v>
      </c>
      <c r="E3710" s="42" t="s">
        <v>808</v>
      </c>
      <c r="F3710" s="45">
        <v>261000000</v>
      </c>
      <c r="G3710" s="42" t="s">
        <v>763</v>
      </c>
      <c r="H3710" s="42" t="s">
        <v>151</v>
      </c>
      <c r="I3710" s="42" t="s">
        <v>893</v>
      </c>
    </row>
    <row r="3711" spans="1:9">
      <c r="A3711" s="42" t="s">
        <v>897</v>
      </c>
      <c r="B3711" s="42" t="s">
        <v>320</v>
      </c>
      <c r="C3711" s="42" t="s">
        <v>1048</v>
      </c>
      <c r="D3711" s="42" t="s">
        <v>179</v>
      </c>
      <c r="E3711" s="42" t="s">
        <v>808</v>
      </c>
      <c r="F3711" s="45">
        <v>243000000</v>
      </c>
      <c r="G3711" s="42" t="s">
        <v>763</v>
      </c>
      <c r="H3711" s="42" t="s">
        <v>151</v>
      </c>
      <c r="I3711" s="42" t="s">
        <v>893</v>
      </c>
    </row>
    <row r="3712" spans="1:9">
      <c r="A3712" s="42" t="s">
        <v>897</v>
      </c>
      <c r="B3712" s="42" t="s">
        <v>251</v>
      </c>
      <c r="C3712" s="42" t="s">
        <v>909</v>
      </c>
      <c r="D3712" s="42" t="s">
        <v>179</v>
      </c>
      <c r="E3712" s="42" t="s">
        <v>808</v>
      </c>
      <c r="F3712" s="45">
        <v>2000000</v>
      </c>
      <c r="G3712" s="42" t="s">
        <v>763</v>
      </c>
      <c r="H3712" s="42" t="s">
        <v>151</v>
      </c>
      <c r="I3712" s="42" t="s">
        <v>893</v>
      </c>
    </row>
    <row r="3713" spans="1:9">
      <c r="A3713" s="42" t="s">
        <v>897</v>
      </c>
      <c r="B3713" s="42" t="s">
        <v>321</v>
      </c>
      <c r="C3713" s="42" t="s">
        <v>1049</v>
      </c>
      <c r="D3713" s="42" t="s">
        <v>179</v>
      </c>
      <c r="E3713" s="42" t="s">
        <v>808</v>
      </c>
      <c r="F3713" s="45">
        <v>-14000000</v>
      </c>
      <c r="G3713" s="42" t="s">
        <v>763</v>
      </c>
      <c r="H3713" s="42" t="s">
        <v>151</v>
      </c>
      <c r="I3713" s="42" t="s">
        <v>893</v>
      </c>
    </row>
    <row r="3714" spans="1:9">
      <c r="A3714" s="42" t="s">
        <v>897</v>
      </c>
      <c r="B3714" s="42" t="s">
        <v>322</v>
      </c>
      <c r="C3714" s="42" t="s">
        <v>1078</v>
      </c>
      <c r="D3714" s="42" t="s">
        <v>179</v>
      </c>
      <c r="E3714" s="42" t="s">
        <v>808</v>
      </c>
      <c r="F3714" s="45">
        <v>200000000</v>
      </c>
      <c r="G3714" s="42" t="s">
        <v>763</v>
      </c>
      <c r="H3714" s="42" t="s">
        <v>151</v>
      </c>
      <c r="I3714" s="42" t="s">
        <v>893</v>
      </c>
    </row>
    <row r="3715" spans="1:9">
      <c r="A3715" s="42" t="s">
        <v>897</v>
      </c>
      <c r="B3715" s="42" t="s">
        <v>293</v>
      </c>
      <c r="C3715" s="42" t="s">
        <v>912</v>
      </c>
      <c r="D3715" s="42" t="s">
        <v>179</v>
      </c>
      <c r="E3715" s="42" t="s">
        <v>808</v>
      </c>
      <c r="F3715" s="45">
        <v>-14000000</v>
      </c>
      <c r="G3715" s="42" t="s">
        <v>763</v>
      </c>
      <c r="H3715" s="42" t="s">
        <v>151</v>
      </c>
      <c r="I3715" s="42" t="s">
        <v>893</v>
      </c>
    </row>
    <row r="3716" spans="1:9">
      <c r="A3716" s="42" t="s">
        <v>897</v>
      </c>
      <c r="B3716" s="42" t="s">
        <v>292</v>
      </c>
      <c r="C3716" s="42" t="s">
        <v>913</v>
      </c>
      <c r="D3716" s="42" t="s">
        <v>179</v>
      </c>
      <c r="E3716" s="42" t="s">
        <v>808</v>
      </c>
      <c r="F3716" s="45">
        <v>-224000000</v>
      </c>
      <c r="G3716" s="42" t="s">
        <v>763</v>
      </c>
      <c r="H3716" s="42" t="s">
        <v>151</v>
      </c>
      <c r="I3716" s="42" t="s">
        <v>893</v>
      </c>
    </row>
    <row r="3717" spans="1:9">
      <c r="A3717" s="42" t="s">
        <v>897</v>
      </c>
      <c r="B3717" s="42" t="s">
        <v>241</v>
      </c>
      <c r="C3717" s="42" t="s">
        <v>914</v>
      </c>
      <c r="D3717" s="42" t="s">
        <v>179</v>
      </c>
      <c r="E3717" s="42" t="s">
        <v>808</v>
      </c>
      <c r="F3717" s="45">
        <v>-69000000</v>
      </c>
      <c r="G3717" s="42" t="s">
        <v>763</v>
      </c>
      <c r="H3717" s="42" t="s">
        <v>151</v>
      </c>
      <c r="I3717" s="42" t="s">
        <v>893</v>
      </c>
    </row>
    <row r="3718" spans="1:9">
      <c r="A3718" s="42" t="s">
        <v>897</v>
      </c>
      <c r="B3718" s="42" t="s">
        <v>310</v>
      </c>
      <c r="C3718" s="42" t="s">
        <v>915</v>
      </c>
      <c r="D3718" s="42" t="s">
        <v>179</v>
      </c>
      <c r="E3718" s="42" t="s">
        <v>808</v>
      </c>
      <c r="F3718" s="45">
        <v>-282000000</v>
      </c>
      <c r="G3718" s="42" t="s">
        <v>763</v>
      </c>
      <c r="H3718" s="42" t="s">
        <v>151</v>
      </c>
      <c r="I3718" s="42" t="s">
        <v>893</v>
      </c>
    </row>
    <row r="3719" spans="1:9">
      <c r="A3719" s="42" t="s">
        <v>897</v>
      </c>
      <c r="B3719" s="42" t="s">
        <v>305</v>
      </c>
      <c r="C3719" s="42" t="s">
        <v>916</v>
      </c>
      <c r="D3719" s="42" t="s">
        <v>179</v>
      </c>
      <c r="E3719" s="42" t="s">
        <v>808</v>
      </c>
      <c r="F3719" s="45">
        <v>-12000000</v>
      </c>
      <c r="G3719" s="42" t="s">
        <v>763</v>
      </c>
      <c r="H3719" s="42" t="s">
        <v>151</v>
      </c>
      <c r="I3719" s="42" t="s">
        <v>893</v>
      </c>
    </row>
    <row r="3720" spans="1:9">
      <c r="A3720" s="42" t="s">
        <v>897</v>
      </c>
      <c r="B3720" s="42" t="s">
        <v>306</v>
      </c>
      <c r="C3720" s="42" t="s">
        <v>917</v>
      </c>
      <c r="D3720" s="42" t="s">
        <v>179</v>
      </c>
      <c r="E3720" s="42" t="s">
        <v>808</v>
      </c>
      <c r="F3720" s="45">
        <v>27000000</v>
      </c>
      <c r="G3720" s="42" t="s">
        <v>763</v>
      </c>
      <c r="H3720" s="42" t="s">
        <v>151</v>
      </c>
      <c r="I3720" s="42" t="s">
        <v>893</v>
      </c>
    </row>
    <row r="3721" spans="1:9">
      <c r="A3721" s="42" t="s">
        <v>897</v>
      </c>
      <c r="B3721" s="42" t="s">
        <v>309</v>
      </c>
      <c r="C3721" s="42" t="s">
        <v>918</v>
      </c>
      <c r="D3721" s="42" t="s">
        <v>179</v>
      </c>
      <c r="E3721" s="42" t="s">
        <v>808</v>
      </c>
      <c r="F3721" s="45">
        <v>-104000000</v>
      </c>
      <c r="G3721" s="42" t="s">
        <v>763</v>
      </c>
      <c r="H3721" s="42" t="s">
        <v>151</v>
      </c>
      <c r="I3721" s="42" t="s">
        <v>893</v>
      </c>
    </row>
    <row r="3722" spans="1:9">
      <c r="A3722" s="42" t="s">
        <v>897</v>
      </c>
      <c r="B3722" s="42" t="s">
        <v>325</v>
      </c>
      <c r="C3722" s="42" t="s">
        <v>919</v>
      </c>
      <c r="D3722" s="42" t="s">
        <v>179</v>
      </c>
      <c r="E3722" s="42" t="s">
        <v>808</v>
      </c>
      <c r="F3722" s="45">
        <v>-59000000</v>
      </c>
      <c r="G3722" s="42" t="s">
        <v>763</v>
      </c>
      <c r="H3722" s="42" t="s">
        <v>151</v>
      </c>
      <c r="I3722" s="42" t="s">
        <v>893</v>
      </c>
    </row>
    <row r="3723" spans="1:9">
      <c r="A3723" s="42" t="s">
        <v>897</v>
      </c>
      <c r="B3723" s="42" t="s">
        <v>242</v>
      </c>
      <c r="C3723" s="42" t="s">
        <v>920</v>
      </c>
      <c r="D3723" s="42" t="s">
        <v>179</v>
      </c>
      <c r="E3723" s="42" t="s">
        <v>808</v>
      </c>
      <c r="F3723" s="45">
        <v>5000000</v>
      </c>
      <c r="G3723" s="42" t="s">
        <v>763</v>
      </c>
      <c r="H3723" s="42" t="s">
        <v>151</v>
      </c>
      <c r="I3723" s="42" t="s">
        <v>893</v>
      </c>
    </row>
    <row r="3724" spans="1:9">
      <c r="A3724" s="42" t="s">
        <v>897</v>
      </c>
      <c r="B3724" s="42" t="s">
        <v>302</v>
      </c>
      <c r="C3724" s="42" t="s">
        <v>921</v>
      </c>
      <c r="D3724" s="42" t="s">
        <v>179</v>
      </c>
      <c r="E3724" s="42" t="s">
        <v>808</v>
      </c>
      <c r="F3724" s="45">
        <v>45000000</v>
      </c>
      <c r="G3724" s="42" t="s">
        <v>763</v>
      </c>
      <c r="H3724" s="42" t="s">
        <v>151</v>
      </c>
      <c r="I3724" s="42" t="s">
        <v>893</v>
      </c>
    </row>
    <row r="3725" spans="1:9">
      <c r="A3725" s="42" t="s">
        <v>897</v>
      </c>
      <c r="B3725" s="42" t="s">
        <v>327</v>
      </c>
      <c r="C3725" s="42" t="s">
        <v>1009</v>
      </c>
      <c r="D3725" s="42" t="s">
        <v>179</v>
      </c>
      <c r="E3725" s="42" t="s">
        <v>808</v>
      </c>
      <c r="F3725" s="45">
        <v>1000000</v>
      </c>
      <c r="G3725" s="42" t="s">
        <v>763</v>
      </c>
      <c r="H3725" s="42" t="s">
        <v>151</v>
      </c>
      <c r="I3725" s="42" t="s">
        <v>893</v>
      </c>
    </row>
    <row r="3726" spans="1:9">
      <c r="A3726" s="42" t="s">
        <v>897</v>
      </c>
      <c r="B3726" s="42" t="s">
        <v>328</v>
      </c>
      <c r="C3726" s="42" t="s">
        <v>924</v>
      </c>
      <c r="D3726" s="42" t="s">
        <v>179</v>
      </c>
      <c r="E3726" s="42" t="s">
        <v>808</v>
      </c>
      <c r="F3726" s="45">
        <v>-8000000</v>
      </c>
      <c r="G3726" s="42" t="s">
        <v>763</v>
      </c>
      <c r="H3726" s="42" t="s">
        <v>151</v>
      </c>
      <c r="I3726" s="42" t="s">
        <v>893</v>
      </c>
    </row>
    <row r="3727" spans="1:9">
      <c r="A3727" s="42" t="s">
        <v>897</v>
      </c>
      <c r="B3727" s="42" t="s">
        <v>329</v>
      </c>
      <c r="C3727" s="42" t="s">
        <v>925</v>
      </c>
      <c r="D3727" s="42" t="s">
        <v>179</v>
      </c>
      <c r="E3727" s="42" t="s">
        <v>808</v>
      </c>
      <c r="F3727" s="45">
        <v>850000000</v>
      </c>
      <c r="G3727" s="42" t="s">
        <v>763</v>
      </c>
      <c r="H3727" s="42" t="s">
        <v>151</v>
      </c>
      <c r="I3727" s="42" t="s">
        <v>893</v>
      </c>
    </row>
    <row r="3728" spans="1:9">
      <c r="A3728" s="42" t="s">
        <v>897</v>
      </c>
      <c r="B3728" s="42" t="s">
        <v>372</v>
      </c>
      <c r="C3728" s="42" t="s">
        <v>926</v>
      </c>
      <c r="D3728" s="42" t="s">
        <v>179</v>
      </c>
      <c r="E3728" s="42" t="s">
        <v>808</v>
      </c>
      <c r="F3728" s="45">
        <v>97000000</v>
      </c>
      <c r="G3728" s="42" t="s">
        <v>763</v>
      </c>
      <c r="H3728" s="42" t="s">
        <v>151</v>
      </c>
      <c r="I3728" s="42" t="s">
        <v>896</v>
      </c>
    </row>
    <row r="3729" spans="1:9">
      <c r="A3729" s="42" t="s">
        <v>897</v>
      </c>
      <c r="B3729" s="42" t="s">
        <v>330</v>
      </c>
      <c r="C3729" s="42" t="s">
        <v>927</v>
      </c>
      <c r="D3729" s="42" t="s">
        <v>179</v>
      </c>
      <c r="E3729" s="42" t="s">
        <v>808</v>
      </c>
      <c r="F3729" s="45">
        <v>-1205000000</v>
      </c>
      <c r="G3729" s="42" t="s">
        <v>763</v>
      </c>
      <c r="H3729" s="42" t="s">
        <v>151</v>
      </c>
      <c r="I3729" s="42" t="s">
        <v>893</v>
      </c>
    </row>
    <row r="3730" spans="1:9">
      <c r="A3730" s="42" t="s">
        <v>897</v>
      </c>
      <c r="B3730" s="42" t="s">
        <v>331</v>
      </c>
      <c r="C3730" s="42" t="s">
        <v>1079</v>
      </c>
      <c r="D3730" s="42" t="s">
        <v>179</v>
      </c>
      <c r="E3730" s="42" t="s">
        <v>808</v>
      </c>
      <c r="F3730" s="45">
        <v>-33000000</v>
      </c>
      <c r="G3730" s="42" t="s">
        <v>763</v>
      </c>
      <c r="H3730" s="42" t="s">
        <v>151</v>
      </c>
      <c r="I3730" s="42" t="s">
        <v>893</v>
      </c>
    </row>
    <row r="3731" spans="1:9">
      <c r="A3731" s="42" t="s">
        <v>897</v>
      </c>
      <c r="B3731" s="42" t="s">
        <v>332</v>
      </c>
      <c r="C3731" s="42" t="s">
        <v>932</v>
      </c>
      <c r="D3731" s="42" t="s">
        <v>179</v>
      </c>
      <c r="E3731" s="42" t="s">
        <v>808</v>
      </c>
      <c r="F3731" s="45">
        <v>-71000000</v>
      </c>
      <c r="G3731" s="42" t="s">
        <v>763</v>
      </c>
      <c r="H3731" s="42" t="s">
        <v>151</v>
      </c>
      <c r="I3731" s="42" t="s">
        <v>893</v>
      </c>
    </row>
    <row r="3732" spans="1:9">
      <c r="A3732" s="42" t="s">
        <v>897</v>
      </c>
      <c r="B3732" s="42" t="s">
        <v>333</v>
      </c>
      <c r="C3732" s="42" t="s">
        <v>1086</v>
      </c>
      <c r="D3732" s="42" t="s">
        <v>179</v>
      </c>
      <c r="E3732" s="42" t="s">
        <v>808</v>
      </c>
      <c r="F3732" s="45">
        <v>-243000000</v>
      </c>
      <c r="G3732" s="42" t="s">
        <v>763</v>
      </c>
      <c r="H3732" s="42" t="s">
        <v>151</v>
      </c>
      <c r="I3732" s="42" t="s">
        <v>893</v>
      </c>
    </row>
    <row r="3733" spans="1:9">
      <c r="A3733" s="42" t="s">
        <v>897</v>
      </c>
      <c r="B3733" s="42" t="s">
        <v>334</v>
      </c>
      <c r="C3733" s="42" t="s">
        <v>933</v>
      </c>
      <c r="D3733" s="42" t="s">
        <v>179</v>
      </c>
      <c r="E3733" s="42" t="s">
        <v>808</v>
      </c>
      <c r="F3733" s="45">
        <v>1000000</v>
      </c>
      <c r="G3733" s="42" t="s">
        <v>763</v>
      </c>
      <c r="H3733" s="42" t="s">
        <v>151</v>
      </c>
      <c r="I3733" s="42" t="s">
        <v>893</v>
      </c>
    </row>
    <row r="3734" spans="1:9">
      <c r="A3734" s="42" t="s">
        <v>897</v>
      </c>
      <c r="B3734" s="42" t="s">
        <v>335</v>
      </c>
      <c r="C3734" s="42" t="s">
        <v>1068</v>
      </c>
      <c r="D3734" s="42" t="s">
        <v>179</v>
      </c>
      <c r="E3734" s="42" t="s">
        <v>808</v>
      </c>
      <c r="F3734" s="45">
        <v>71000000</v>
      </c>
      <c r="G3734" s="42" t="s">
        <v>763</v>
      </c>
      <c r="H3734" s="42" t="s">
        <v>151</v>
      </c>
      <c r="I3734" s="42" t="s">
        <v>893</v>
      </c>
    </row>
    <row r="3735" spans="1:9">
      <c r="A3735" s="42" t="s">
        <v>897</v>
      </c>
      <c r="B3735" s="42" t="s">
        <v>336</v>
      </c>
      <c r="C3735" s="42" t="s">
        <v>938</v>
      </c>
      <c r="D3735" s="42" t="s">
        <v>179</v>
      </c>
      <c r="E3735" s="42" t="s">
        <v>808</v>
      </c>
      <c r="F3735" s="45">
        <v>-1383000000</v>
      </c>
      <c r="G3735" s="42" t="s">
        <v>763</v>
      </c>
      <c r="H3735" s="42" t="s">
        <v>151</v>
      </c>
      <c r="I3735" s="42" t="s">
        <v>893</v>
      </c>
    </row>
    <row r="3736" spans="1:9">
      <c r="A3736" s="42" t="s">
        <v>897</v>
      </c>
      <c r="B3736" s="42" t="s">
        <v>337</v>
      </c>
      <c r="C3736" s="42" t="s">
        <v>991</v>
      </c>
      <c r="D3736" s="42" t="s">
        <v>179</v>
      </c>
      <c r="E3736" s="42" t="s">
        <v>808</v>
      </c>
      <c r="F3736" s="45">
        <v>-1087000000</v>
      </c>
      <c r="G3736" s="42" t="s">
        <v>763</v>
      </c>
      <c r="H3736" s="42" t="s">
        <v>151</v>
      </c>
      <c r="I3736" s="42" t="s">
        <v>893</v>
      </c>
    </row>
    <row r="3737" spans="1:9">
      <c r="A3737" s="42" t="s">
        <v>897</v>
      </c>
      <c r="B3737" s="42" t="s">
        <v>338</v>
      </c>
      <c r="C3737" s="42" t="s">
        <v>972</v>
      </c>
      <c r="D3737" s="42" t="s">
        <v>179</v>
      </c>
      <c r="E3737" s="42" t="s">
        <v>808</v>
      </c>
      <c r="F3737" s="45">
        <v>-221000000</v>
      </c>
      <c r="G3737" s="42" t="s">
        <v>763</v>
      </c>
      <c r="H3737" s="42" t="s">
        <v>151</v>
      </c>
      <c r="I3737" s="42" t="s">
        <v>893</v>
      </c>
    </row>
    <row r="3738" spans="1:9">
      <c r="A3738" s="42" t="s">
        <v>897</v>
      </c>
      <c r="B3738" s="42" t="s">
        <v>939</v>
      </c>
      <c r="C3738" s="42" t="s">
        <v>973</v>
      </c>
      <c r="D3738" s="42" t="s">
        <v>179</v>
      </c>
      <c r="E3738" s="42" t="s">
        <v>808</v>
      </c>
      <c r="F3738" s="45">
        <v>1767000000</v>
      </c>
      <c r="G3738" s="42" t="s">
        <v>763</v>
      </c>
      <c r="H3738" s="42" t="s">
        <v>151</v>
      </c>
      <c r="I3738" s="42" t="s">
        <v>893</v>
      </c>
    </row>
    <row r="3739" spans="1:9">
      <c r="A3739" s="42" t="s">
        <v>897</v>
      </c>
      <c r="B3739" s="42" t="s">
        <v>342</v>
      </c>
      <c r="C3739" s="42" t="s">
        <v>1014</v>
      </c>
      <c r="D3739" s="42" t="s">
        <v>179</v>
      </c>
      <c r="E3739" s="42" t="s">
        <v>808</v>
      </c>
      <c r="F3739" s="45">
        <v>-105000000</v>
      </c>
      <c r="G3739" s="42" t="s">
        <v>763</v>
      </c>
      <c r="H3739" s="42" t="s">
        <v>151</v>
      </c>
      <c r="I3739" s="42" t="s">
        <v>893</v>
      </c>
    </row>
    <row r="3740" spans="1:9">
      <c r="A3740" s="42" t="s">
        <v>897</v>
      </c>
      <c r="B3740" s="42" t="s">
        <v>344</v>
      </c>
      <c r="C3740" s="42" t="s">
        <v>980</v>
      </c>
      <c r="D3740" s="42" t="s">
        <v>179</v>
      </c>
      <c r="E3740" s="42" t="s">
        <v>808</v>
      </c>
      <c r="F3740" s="45">
        <v>354000000</v>
      </c>
      <c r="G3740" s="42" t="s">
        <v>763</v>
      </c>
      <c r="H3740" s="42" t="s">
        <v>151</v>
      </c>
      <c r="I3740" s="42" t="s">
        <v>893</v>
      </c>
    </row>
    <row r="3741" spans="1:9">
      <c r="A3741" s="42" t="s">
        <v>897</v>
      </c>
      <c r="B3741" s="42" t="s">
        <v>345</v>
      </c>
      <c r="C3741" s="42" t="s">
        <v>1035</v>
      </c>
      <c r="D3741" s="42" t="s">
        <v>179</v>
      </c>
      <c r="E3741" s="42" t="s">
        <v>808</v>
      </c>
      <c r="F3741" s="45">
        <v>-1000000</v>
      </c>
      <c r="G3741" s="42" t="s">
        <v>763</v>
      </c>
      <c r="H3741" s="42" t="s">
        <v>151</v>
      </c>
      <c r="I3741" s="42" t="s">
        <v>893</v>
      </c>
    </row>
    <row r="3742" spans="1:9">
      <c r="A3742" s="42" t="s">
        <v>897</v>
      </c>
      <c r="B3742" s="42" t="s">
        <v>346</v>
      </c>
      <c r="C3742" s="42" t="s">
        <v>956</v>
      </c>
      <c r="D3742" s="42" t="s">
        <v>179</v>
      </c>
      <c r="E3742" s="42" t="s">
        <v>808</v>
      </c>
      <c r="F3742" s="45">
        <v>-180000000</v>
      </c>
      <c r="G3742" s="42" t="s">
        <v>763</v>
      </c>
      <c r="H3742" s="42" t="s">
        <v>151</v>
      </c>
      <c r="I3742" s="42" t="s">
        <v>893</v>
      </c>
    </row>
    <row r="3743" spans="1:9">
      <c r="A3743" s="42" t="s">
        <v>897</v>
      </c>
      <c r="B3743" s="42" t="s">
        <v>347</v>
      </c>
      <c r="C3743" s="42" t="s">
        <v>981</v>
      </c>
      <c r="D3743" s="42" t="s">
        <v>179</v>
      </c>
      <c r="E3743" s="42" t="s">
        <v>808</v>
      </c>
      <c r="F3743" s="45">
        <v>1118000000</v>
      </c>
      <c r="G3743" s="42" t="s">
        <v>763</v>
      </c>
      <c r="H3743" s="42" t="s">
        <v>151</v>
      </c>
      <c r="I3743" s="42" t="s">
        <v>893</v>
      </c>
    </row>
    <row r="3744" spans="1:9">
      <c r="A3744" s="42" t="s">
        <v>897</v>
      </c>
      <c r="B3744" s="42" t="s">
        <v>348</v>
      </c>
      <c r="C3744" s="42" t="s">
        <v>982</v>
      </c>
      <c r="D3744" s="42" t="s">
        <v>179</v>
      </c>
      <c r="E3744" s="42" t="s">
        <v>808</v>
      </c>
      <c r="F3744" s="45">
        <v>938000000</v>
      </c>
      <c r="G3744" s="42" t="s">
        <v>763</v>
      </c>
      <c r="H3744" s="42" t="s">
        <v>151</v>
      </c>
      <c r="I3744" s="42" t="s">
        <v>893</v>
      </c>
    </row>
    <row r="3745" spans="1:9">
      <c r="A3745" s="42" t="s">
        <v>897</v>
      </c>
      <c r="B3745" s="42" t="s">
        <v>346</v>
      </c>
      <c r="C3745" s="42" t="s">
        <v>961</v>
      </c>
      <c r="D3745" s="42" t="s">
        <v>179</v>
      </c>
      <c r="E3745" s="42" t="s">
        <v>808</v>
      </c>
      <c r="F3745" s="45">
        <v>-180000000</v>
      </c>
      <c r="G3745" s="42" t="s">
        <v>763</v>
      </c>
      <c r="H3745" s="42" t="s">
        <v>151</v>
      </c>
      <c r="I3745" s="42" t="s">
        <v>893</v>
      </c>
    </row>
    <row r="3746" spans="1:9">
      <c r="A3746" s="42" t="s">
        <v>897</v>
      </c>
      <c r="B3746" s="42" t="s">
        <v>313</v>
      </c>
      <c r="C3746" s="42" t="s">
        <v>994</v>
      </c>
      <c r="D3746" s="42" t="s">
        <v>180</v>
      </c>
      <c r="E3746" s="42" t="s">
        <v>808</v>
      </c>
      <c r="F3746" s="45">
        <v>58000000</v>
      </c>
      <c r="G3746" s="42" t="s">
        <v>1001</v>
      </c>
      <c r="H3746" s="42" t="s">
        <v>1081</v>
      </c>
      <c r="I3746" s="42" t="s">
        <v>893</v>
      </c>
    </row>
    <row r="3747" spans="1:9">
      <c r="A3747" s="42" t="s">
        <v>897</v>
      </c>
      <c r="B3747" s="42" t="s">
        <v>201</v>
      </c>
      <c r="C3747" s="42" t="s">
        <v>966</v>
      </c>
      <c r="D3747" s="42" t="s">
        <v>180</v>
      </c>
      <c r="E3747" s="42" t="s">
        <v>808</v>
      </c>
      <c r="F3747" s="45">
        <v>6000000</v>
      </c>
      <c r="G3747" s="42" t="s">
        <v>1001</v>
      </c>
      <c r="H3747" s="42" t="s">
        <v>1081</v>
      </c>
      <c r="I3747" s="42" t="s">
        <v>893</v>
      </c>
    </row>
    <row r="3748" spans="1:9">
      <c r="A3748" s="42" t="s">
        <v>897</v>
      </c>
      <c r="B3748" s="42" t="s">
        <v>314</v>
      </c>
      <c r="C3748" s="42" t="s">
        <v>900</v>
      </c>
      <c r="D3748" s="42" t="s">
        <v>180</v>
      </c>
      <c r="E3748" s="42" t="s">
        <v>808</v>
      </c>
      <c r="F3748" s="45">
        <v>704000000</v>
      </c>
      <c r="G3748" s="42" t="s">
        <v>1001</v>
      </c>
      <c r="H3748" s="42" t="s">
        <v>1081</v>
      </c>
      <c r="I3748" s="42" t="s">
        <v>893</v>
      </c>
    </row>
    <row r="3749" spans="1:9">
      <c r="A3749" s="42" t="s">
        <v>897</v>
      </c>
      <c r="B3749" s="42" t="s">
        <v>315</v>
      </c>
      <c r="C3749" s="42" t="s">
        <v>901</v>
      </c>
      <c r="D3749" s="42" t="s">
        <v>180</v>
      </c>
      <c r="E3749" s="42" t="s">
        <v>808</v>
      </c>
      <c r="F3749" s="45">
        <v>17000000</v>
      </c>
      <c r="G3749" s="42" t="s">
        <v>1001</v>
      </c>
      <c r="H3749" s="42" t="s">
        <v>1081</v>
      </c>
      <c r="I3749" s="42" t="s">
        <v>893</v>
      </c>
    </row>
    <row r="3750" spans="1:9">
      <c r="A3750" s="42" t="s">
        <v>897</v>
      </c>
      <c r="B3750" s="42" t="s">
        <v>316</v>
      </c>
      <c r="C3750" s="42" t="s">
        <v>1004</v>
      </c>
      <c r="D3750" s="42" t="s">
        <v>180</v>
      </c>
      <c r="E3750" s="42" t="s">
        <v>808</v>
      </c>
      <c r="F3750" s="45">
        <v>67000000</v>
      </c>
      <c r="G3750" s="42" t="s">
        <v>1001</v>
      </c>
      <c r="H3750" s="42" t="s">
        <v>1081</v>
      </c>
      <c r="I3750" s="42" t="s">
        <v>893</v>
      </c>
    </row>
    <row r="3751" spans="1:9">
      <c r="A3751" s="42" t="s">
        <v>897</v>
      </c>
      <c r="B3751" s="42" t="s">
        <v>317</v>
      </c>
      <c r="C3751" s="42" t="s">
        <v>967</v>
      </c>
      <c r="D3751" s="42" t="s">
        <v>180</v>
      </c>
      <c r="E3751" s="42" t="s">
        <v>808</v>
      </c>
      <c r="F3751" s="45">
        <v>100000000</v>
      </c>
      <c r="G3751" s="42" t="s">
        <v>1001</v>
      </c>
      <c r="H3751" s="42" t="s">
        <v>1081</v>
      </c>
      <c r="I3751" s="42" t="s">
        <v>893</v>
      </c>
    </row>
    <row r="3752" spans="1:9">
      <c r="A3752" s="42" t="s">
        <v>897</v>
      </c>
      <c r="B3752" s="42" t="s">
        <v>318</v>
      </c>
      <c r="C3752" s="42" t="s">
        <v>904</v>
      </c>
      <c r="D3752" s="42" t="s">
        <v>180</v>
      </c>
      <c r="E3752" s="42" t="s">
        <v>808</v>
      </c>
      <c r="F3752" s="45">
        <v>61000000</v>
      </c>
      <c r="G3752" s="42" t="s">
        <v>1001</v>
      </c>
      <c r="H3752" s="42" t="s">
        <v>1081</v>
      </c>
      <c r="I3752" s="42" t="s">
        <v>893</v>
      </c>
    </row>
    <row r="3753" spans="1:9">
      <c r="A3753" s="42" t="s">
        <v>897</v>
      </c>
      <c r="B3753" s="42" t="s">
        <v>319</v>
      </c>
      <c r="C3753" s="42" t="s">
        <v>907</v>
      </c>
      <c r="D3753" s="42" t="s">
        <v>180</v>
      </c>
      <c r="E3753" s="42" t="s">
        <v>808</v>
      </c>
      <c r="F3753" s="45">
        <v>247000000</v>
      </c>
      <c r="G3753" s="42" t="s">
        <v>1001</v>
      </c>
      <c r="H3753" s="42" t="s">
        <v>1081</v>
      </c>
      <c r="I3753" s="42" t="s">
        <v>893</v>
      </c>
    </row>
    <row r="3754" spans="1:9">
      <c r="A3754" s="42" t="s">
        <v>897</v>
      </c>
      <c r="B3754" s="42" t="s">
        <v>320</v>
      </c>
      <c r="C3754" s="42" t="s">
        <v>1048</v>
      </c>
      <c r="D3754" s="42" t="s">
        <v>180</v>
      </c>
      <c r="E3754" s="42" t="s">
        <v>808</v>
      </c>
      <c r="F3754" s="45">
        <v>299000000</v>
      </c>
      <c r="G3754" s="42" t="s">
        <v>1001</v>
      </c>
      <c r="H3754" s="42" t="s">
        <v>1081</v>
      </c>
      <c r="I3754" s="42" t="s">
        <v>893</v>
      </c>
    </row>
    <row r="3755" spans="1:9">
      <c r="A3755" s="42" t="s">
        <v>897</v>
      </c>
      <c r="B3755" s="42" t="s">
        <v>251</v>
      </c>
      <c r="C3755" s="42" t="s">
        <v>909</v>
      </c>
      <c r="D3755" s="42" t="s">
        <v>180</v>
      </c>
      <c r="E3755" s="42" t="s">
        <v>808</v>
      </c>
      <c r="F3755" s="45">
        <v>3000000</v>
      </c>
      <c r="G3755" s="42" t="s">
        <v>1001</v>
      </c>
      <c r="H3755" s="42" t="s">
        <v>1081</v>
      </c>
      <c r="I3755" s="42" t="s">
        <v>893</v>
      </c>
    </row>
    <row r="3756" spans="1:9">
      <c r="A3756" s="42" t="s">
        <v>897</v>
      </c>
      <c r="B3756" s="42" t="s">
        <v>321</v>
      </c>
      <c r="C3756" s="42" t="s">
        <v>1049</v>
      </c>
      <c r="D3756" s="42" t="s">
        <v>180</v>
      </c>
      <c r="E3756" s="42" t="s">
        <v>808</v>
      </c>
      <c r="F3756" s="45">
        <v>-168000000</v>
      </c>
      <c r="G3756" s="42" t="s">
        <v>1001</v>
      </c>
      <c r="H3756" s="42" t="s">
        <v>1081</v>
      </c>
      <c r="I3756" s="42" t="s">
        <v>893</v>
      </c>
    </row>
    <row r="3757" spans="1:9">
      <c r="A3757" s="42" t="s">
        <v>897</v>
      </c>
      <c r="B3757" s="42" t="s">
        <v>322</v>
      </c>
      <c r="C3757" s="42" t="s">
        <v>1078</v>
      </c>
      <c r="D3757" s="42" t="s">
        <v>180</v>
      </c>
      <c r="E3757" s="42" t="s">
        <v>808</v>
      </c>
      <c r="F3757" s="45">
        <v>44000000</v>
      </c>
      <c r="G3757" s="42" t="s">
        <v>1001</v>
      </c>
      <c r="H3757" s="42" t="s">
        <v>1081</v>
      </c>
      <c r="I3757" s="42" t="s">
        <v>893</v>
      </c>
    </row>
    <row r="3758" spans="1:9">
      <c r="A3758" s="42" t="s">
        <v>897</v>
      </c>
      <c r="B3758" s="42" t="s">
        <v>293</v>
      </c>
      <c r="C3758" s="42" t="s">
        <v>912</v>
      </c>
      <c r="D3758" s="42" t="s">
        <v>180</v>
      </c>
      <c r="E3758" s="42" t="s">
        <v>808</v>
      </c>
      <c r="F3758" s="45">
        <v>-271000000</v>
      </c>
      <c r="G3758" s="42" t="s">
        <v>1001</v>
      </c>
      <c r="H3758" s="42" t="s">
        <v>1081</v>
      </c>
      <c r="I3758" s="42" t="s">
        <v>893</v>
      </c>
    </row>
    <row r="3759" spans="1:9">
      <c r="A3759" s="42" t="s">
        <v>897</v>
      </c>
      <c r="B3759" s="42" t="s">
        <v>292</v>
      </c>
      <c r="C3759" s="42" t="s">
        <v>913</v>
      </c>
      <c r="D3759" s="42" t="s">
        <v>180</v>
      </c>
      <c r="E3759" s="42" t="s">
        <v>808</v>
      </c>
      <c r="F3759" s="45">
        <v>-20000000</v>
      </c>
      <c r="G3759" s="42" t="s">
        <v>1001</v>
      </c>
      <c r="H3759" s="42" t="s">
        <v>1081</v>
      </c>
      <c r="I3759" s="42" t="s">
        <v>893</v>
      </c>
    </row>
    <row r="3760" spans="1:9">
      <c r="A3760" s="42" t="s">
        <v>897</v>
      </c>
      <c r="B3760" s="42" t="s">
        <v>241</v>
      </c>
      <c r="C3760" s="42" t="s">
        <v>914</v>
      </c>
      <c r="D3760" s="42" t="s">
        <v>180</v>
      </c>
      <c r="E3760" s="42" t="s">
        <v>808</v>
      </c>
      <c r="F3760" s="45">
        <v>132000000</v>
      </c>
      <c r="G3760" s="42" t="s">
        <v>1001</v>
      </c>
      <c r="H3760" s="42" t="s">
        <v>1081</v>
      </c>
      <c r="I3760" s="42" t="s">
        <v>893</v>
      </c>
    </row>
    <row r="3761" spans="1:9">
      <c r="A3761" s="42" t="s">
        <v>897</v>
      </c>
      <c r="B3761" s="42" t="s">
        <v>310</v>
      </c>
      <c r="C3761" s="42" t="s">
        <v>915</v>
      </c>
      <c r="D3761" s="42" t="s">
        <v>180</v>
      </c>
      <c r="E3761" s="42" t="s">
        <v>808</v>
      </c>
      <c r="F3761" s="45">
        <v>196000000</v>
      </c>
      <c r="G3761" s="42" t="s">
        <v>1001</v>
      </c>
      <c r="H3761" s="42" t="s">
        <v>1081</v>
      </c>
      <c r="I3761" s="42" t="s">
        <v>893</v>
      </c>
    </row>
    <row r="3762" spans="1:9">
      <c r="A3762" s="42" t="s">
        <v>897</v>
      </c>
      <c r="B3762" s="42" t="s">
        <v>305</v>
      </c>
      <c r="C3762" s="42" t="s">
        <v>916</v>
      </c>
      <c r="D3762" s="42" t="s">
        <v>180</v>
      </c>
      <c r="E3762" s="42" t="s">
        <v>808</v>
      </c>
      <c r="F3762" s="45">
        <v>65000000</v>
      </c>
      <c r="G3762" s="42" t="s">
        <v>1001</v>
      </c>
      <c r="H3762" s="42" t="s">
        <v>1081</v>
      </c>
      <c r="I3762" s="42" t="s">
        <v>893</v>
      </c>
    </row>
    <row r="3763" spans="1:9">
      <c r="A3763" s="42" t="s">
        <v>897</v>
      </c>
      <c r="B3763" s="42" t="s">
        <v>306</v>
      </c>
      <c r="C3763" s="42" t="s">
        <v>917</v>
      </c>
      <c r="D3763" s="42" t="s">
        <v>180</v>
      </c>
      <c r="E3763" s="42" t="s">
        <v>808</v>
      </c>
      <c r="F3763" s="45">
        <v>-111000000</v>
      </c>
      <c r="G3763" s="42" t="s">
        <v>1001</v>
      </c>
      <c r="H3763" s="42" t="s">
        <v>1081</v>
      </c>
      <c r="I3763" s="42" t="s">
        <v>893</v>
      </c>
    </row>
    <row r="3764" spans="1:9">
      <c r="A3764" s="42" t="s">
        <v>897</v>
      </c>
      <c r="B3764" s="42" t="s">
        <v>309</v>
      </c>
      <c r="C3764" s="42" t="s">
        <v>918</v>
      </c>
      <c r="D3764" s="42" t="s">
        <v>180</v>
      </c>
      <c r="E3764" s="42" t="s">
        <v>808</v>
      </c>
      <c r="F3764" s="45">
        <v>-288000000</v>
      </c>
      <c r="G3764" s="42" t="s">
        <v>1001</v>
      </c>
      <c r="H3764" s="42" t="s">
        <v>1081</v>
      </c>
      <c r="I3764" s="42" t="s">
        <v>893</v>
      </c>
    </row>
    <row r="3765" spans="1:9">
      <c r="A3765" s="42" t="s">
        <v>897</v>
      </c>
      <c r="B3765" s="42" t="s">
        <v>325</v>
      </c>
      <c r="C3765" s="42" t="s">
        <v>919</v>
      </c>
      <c r="D3765" s="42" t="s">
        <v>180</v>
      </c>
      <c r="E3765" s="42" t="s">
        <v>808</v>
      </c>
      <c r="F3765" s="45">
        <v>-41000000</v>
      </c>
      <c r="G3765" s="42" t="s">
        <v>1001</v>
      </c>
      <c r="H3765" s="42" t="s">
        <v>1081</v>
      </c>
      <c r="I3765" s="42" t="s">
        <v>893</v>
      </c>
    </row>
    <row r="3766" spans="1:9">
      <c r="A3766" s="42" t="s">
        <v>897</v>
      </c>
      <c r="B3766" s="42" t="s">
        <v>242</v>
      </c>
      <c r="C3766" s="42" t="s">
        <v>920</v>
      </c>
      <c r="D3766" s="42" t="s">
        <v>180</v>
      </c>
      <c r="E3766" s="42" t="s">
        <v>808</v>
      </c>
      <c r="F3766" s="45">
        <v>0</v>
      </c>
      <c r="G3766" s="42" t="s">
        <v>1001</v>
      </c>
      <c r="H3766" s="42" t="s">
        <v>1081</v>
      </c>
      <c r="I3766" s="42" t="s">
        <v>893</v>
      </c>
    </row>
    <row r="3767" spans="1:9">
      <c r="A3767" s="42" t="s">
        <v>897</v>
      </c>
      <c r="B3767" s="42" t="s">
        <v>302</v>
      </c>
      <c r="C3767" s="42" t="s">
        <v>921</v>
      </c>
      <c r="D3767" s="42" t="s">
        <v>180</v>
      </c>
      <c r="E3767" s="42" t="s">
        <v>808</v>
      </c>
      <c r="F3767" s="45">
        <v>35000000</v>
      </c>
      <c r="G3767" s="42" t="s">
        <v>1001</v>
      </c>
      <c r="H3767" s="42" t="s">
        <v>1081</v>
      </c>
      <c r="I3767" s="42" t="s">
        <v>893</v>
      </c>
    </row>
    <row r="3768" spans="1:9">
      <c r="A3768" s="42" t="s">
        <v>897</v>
      </c>
      <c r="B3768" s="42" t="s">
        <v>327</v>
      </c>
      <c r="C3768" s="42" t="s">
        <v>1009</v>
      </c>
      <c r="D3768" s="42" t="s">
        <v>180</v>
      </c>
      <c r="E3768" s="42" t="s">
        <v>808</v>
      </c>
      <c r="F3768" s="45">
        <v>4000000</v>
      </c>
      <c r="G3768" s="42" t="s">
        <v>1001</v>
      </c>
      <c r="H3768" s="42" t="s">
        <v>1081</v>
      </c>
      <c r="I3768" s="42" t="s">
        <v>893</v>
      </c>
    </row>
    <row r="3769" spans="1:9">
      <c r="A3769" s="42" t="s">
        <v>897</v>
      </c>
      <c r="B3769" s="42" t="s">
        <v>328</v>
      </c>
      <c r="C3769" s="42" t="s">
        <v>924</v>
      </c>
      <c r="D3769" s="42" t="s">
        <v>180</v>
      </c>
      <c r="E3769" s="42" t="s">
        <v>808</v>
      </c>
      <c r="F3769" s="45">
        <v>-104000000</v>
      </c>
      <c r="G3769" s="42" t="s">
        <v>1001</v>
      </c>
      <c r="H3769" s="42" t="s">
        <v>1081</v>
      </c>
      <c r="I3769" s="42" t="s">
        <v>893</v>
      </c>
    </row>
    <row r="3770" spans="1:9">
      <c r="A3770" s="42" t="s">
        <v>897</v>
      </c>
      <c r="B3770" s="42" t="s">
        <v>329</v>
      </c>
      <c r="C3770" s="42" t="s">
        <v>925</v>
      </c>
      <c r="D3770" s="42" t="s">
        <v>180</v>
      </c>
      <c r="E3770" s="42" t="s">
        <v>808</v>
      </c>
      <c r="F3770" s="45">
        <v>1146000000</v>
      </c>
      <c r="G3770" s="42" t="s">
        <v>1001</v>
      </c>
      <c r="H3770" s="42" t="s">
        <v>1081</v>
      </c>
      <c r="I3770" s="42" t="s">
        <v>893</v>
      </c>
    </row>
    <row r="3771" spans="1:9">
      <c r="A3771" s="42" t="s">
        <v>897</v>
      </c>
      <c r="B3771" s="42" t="s">
        <v>372</v>
      </c>
      <c r="C3771" s="42" t="s">
        <v>926</v>
      </c>
      <c r="D3771" s="42" t="s">
        <v>180</v>
      </c>
      <c r="E3771" s="42" t="s">
        <v>808</v>
      </c>
      <c r="F3771" s="45">
        <v>51000000</v>
      </c>
      <c r="G3771" s="42" t="s">
        <v>1001</v>
      </c>
      <c r="H3771" s="42" t="s">
        <v>1081</v>
      </c>
      <c r="I3771" s="42" t="s">
        <v>896</v>
      </c>
    </row>
    <row r="3772" spans="1:9">
      <c r="A3772" s="42" t="s">
        <v>897</v>
      </c>
      <c r="B3772" s="42" t="s">
        <v>330</v>
      </c>
      <c r="C3772" s="42" t="s">
        <v>927</v>
      </c>
      <c r="D3772" s="42" t="s">
        <v>180</v>
      </c>
      <c r="E3772" s="42" t="s">
        <v>808</v>
      </c>
      <c r="F3772" s="45">
        <v>-1304000000</v>
      </c>
      <c r="G3772" s="42" t="s">
        <v>1001</v>
      </c>
      <c r="H3772" s="42" t="s">
        <v>1081</v>
      </c>
      <c r="I3772" s="42" t="s">
        <v>893</v>
      </c>
    </row>
    <row r="3773" spans="1:9">
      <c r="A3773" s="42" t="s">
        <v>897</v>
      </c>
      <c r="B3773" s="42" t="s">
        <v>331</v>
      </c>
      <c r="C3773" s="42" t="s">
        <v>1079</v>
      </c>
      <c r="D3773" s="42" t="s">
        <v>180</v>
      </c>
      <c r="E3773" s="42" t="s">
        <v>808</v>
      </c>
      <c r="F3773" s="45">
        <v>-9000000</v>
      </c>
      <c r="G3773" s="42" t="s">
        <v>1001</v>
      </c>
      <c r="H3773" s="42" t="s">
        <v>1081</v>
      </c>
      <c r="I3773" s="42" t="s">
        <v>893</v>
      </c>
    </row>
    <row r="3774" spans="1:9">
      <c r="A3774" s="42" t="s">
        <v>897</v>
      </c>
      <c r="B3774" s="42" t="s">
        <v>332</v>
      </c>
      <c r="C3774" s="42" t="s">
        <v>932</v>
      </c>
      <c r="D3774" s="42" t="s">
        <v>180</v>
      </c>
      <c r="E3774" s="42" t="s">
        <v>808</v>
      </c>
      <c r="F3774" s="45">
        <v>-11000000</v>
      </c>
      <c r="G3774" s="42" t="s">
        <v>1001</v>
      </c>
      <c r="H3774" s="42" t="s">
        <v>1081</v>
      </c>
      <c r="I3774" s="42" t="s">
        <v>893</v>
      </c>
    </row>
    <row r="3775" spans="1:9">
      <c r="A3775" s="42" t="s">
        <v>897</v>
      </c>
      <c r="B3775" s="42" t="s">
        <v>333</v>
      </c>
      <c r="C3775" s="42" t="s">
        <v>1086</v>
      </c>
      <c r="D3775" s="42" t="s">
        <v>180</v>
      </c>
      <c r="E3775" s="42" t="s">
        <v>808</v>
      </c>
      <c r="F3775" s="45">
        <v>13000000</v>
      </c>
      <c r="G3775" s="42" t="s">
        <v>1001</v>
      </c>
      <c r="H3775" s="42" t="s">
        <v>1081</v>
      </c>
      <c r="I3775" s="42" t="s">
        <v>893</v>
      </c>
    </row>
    <row r="3776" spans="1:9">
      <c r="A3776" s="42" t="s">
        <v>897</v>
      </c>
      <c r="B3776" s="42" t="s">
        <v>334</v>
      </c>
      <c r="C3776" s="42" t="s">
        <v>933</v>
      </c>
      <c r="D3776" s="42" t="s">
        <v>180</v>
      </c>
      <c r="E3776" s="42" t="s">
        <v>808</v>
      </c>
      <c r="F3776" s="45">
        <v>2000000</v>
      </c>
      <c r="G3776" s="42" t="s">
        <v>1001</v>
      </c>
      <c r="H3776" s="42" t="s">
        <v>1081</v>
      </c>
      <c r="I3776" s="42" t="s">
        <v>893</v>
      </c>
    </row>
    <row r="3777" spans="1:9">
      <c r="A3777" s="42" t="s">
        <v>897</v>
      </c>
      <c r="B3777" s="42" t="s">
        <v>335</v>
      </c>
      <c r="C3777" s="42" t="s">
        <v>1068</v>
      </c>
      <c r="D3777" s="42" t="s">
        <v>180</v>
      </c>
      <c r="E3777" s="42" t="s">
        <v>808</v>
      </c>
      <c r="F3777" s="45">
        <v>0</v>
      </c>
      <c r="G3777" s="42" t="s">
        <v>1001</v>
      </c>
      <c r="H3777" s="42" t="s">
        <v>1081</v>
      </c>
      <c r="I3777" s="42" t="s">
        <v>893</v>
      </c>
    </row>
    <row r="3778" spans="1:9">
      <c r="A3778" s="42" t="s">
        <v>897</v>
      </c>
      <c r="B3778" s="42" t="s">
        <v>336</v>
      </c>
      <c r="C3778" s="42" t="s">
        <v>938</v>
      </c>
      <c r="D3778" s="42" t="s">
        <v>180</v>
      </c>
      <c r="E3778" s="42" t="s">
        <v>808</v>
      </c>
      <c r="F3778" s="45">
        <v>-1258000000</v>
      </c>
      <c r="G3778" s="42" t="s">
        <v>1001</v>
      </c>
      <c r="H3778" s="42" t="s">
        <v>1081</v>
      </c>
      <c r="I3778" s="42" t="s">
        <v>893</v>
      </c>
    </row>
    <row r="3779" spans="1:9">
      <c r="A3779" s="42" t="s">
        <v>897</v>
      </c>
      <c r="B3779" s="42" t="s">
        <v>337</v>
      </c>
      <c r="C3779" s="42" t="s">
        <v>991</v>
      </c>
      <c r="D3779" s="42" t="s">
        <v>180</v>
      </c>
      <c r="E3779" s="42" t="s">
        <v>808</v>
      </c>
      <c r="F3779" s="45">
        <v>-294000000</v>
      </c>
      <c r="G3779" s="42" t="s">
        <v>1001</v>
      </c>
      <c r="H3779" s="42" t="s">
        <v>1081</v>
      </c>
      <c r="I3779" s="42" t="s">
        <v>893</v>
      </c>
    </row>
    <row r="3780" spans="1:9">
      <c r="A3780" s="42" t="s">
        <v>897</v>
      </c>
      <c r="B3780" s="42" t="s">
        <v>338</v>
      </c>
      <c r="C3780" s="42" t="s">
        <v>972</v>
      </c>
      <c r="D3780" s="42" t="s">
        <v>180</v>
      </c>
      <c r="E3780" s="42" t="s">
        <v>808</v>
      </c>
      <c r="F3780" s="45">
        <v>-100000000</v>
      </c>
      <c r="G3780" s="42" t="s">
        <v>1001</v>
      </c>
      <c r="H3780" s="42" t="s">
        <v>1081</v>
      </c>
      <c r="I3780" s="42" t="s">
        <v>893</v>
      </c>
    </row>
    <row r="3781" spans="1:9">
      <c r="A3781" s="42" t="s">
        <v>897</v>
      </c>
      <c r="B3781" s="42" t="s">
        <v>939</v>
      </c>
      <c r="C3781" s="42" t="s">
        <v>973</v>
      </c>
      <c r="D3781" s="42" t="s">
        <v>180</v>
      </c>
      <c r="E3781" s="42" t="s">
        <v>808</v>
      </c>
      <c r="F3781" s="45">
        <v>514000000</v>
      </c>
      <c r="G3781" s="42" t="s">
        <v>1001</v>
      </c>
      <c r="H3781" s="42" t="s">
        <v>1081</v>
      </c>
      <c r="I3781" s="42" t="s">
        <v>893</v>
      </c>
    </row>
    <row r="3782" spans="1:9">
      <c r="A3782" s="42" t="s">
        <v>897</v>
      </c>
      <c r="B3782" s="42" t="s">
        <v>342</v>
      </c>
      <c r="C3782" s="42" t="s">
        <v>1014</v>
      </c>
      <c r="D3782" s="42" t="s">
        <v>180</v>
      </c>
      <c r="E3782" s="42" t="s">
        <v>808</v>
      </c>
      <c r="F3782" s="45">
        <v>-99000000</v>
      </c>
      <c r="G3782" s="42" t="s">
        <v>1001</v>
      </c>
      <c r="H3782" s="42" t="s">
        <v>1081</v>
      </c>
      <c r="I3782" s="42" t="s">
        <v>893</v>
      </c>
    </row>
    <row r="3783" spans="1:9">
      <c r="A3783" s="42" t="s">
        <v>897</v>
      </c>
      <c r="B3783" s="42" t="s">
        <v>344</v>
      </c>
      <c r="C3783" s="42" t="s">
        <v>980</v>
      </c>
      <c r="D3783" s="42" t="s">
        <v>180</v>
      </c>
      <c r="E3783" s="42" t="s">
        <v>808</v>
      </c>
      <c r="F3783" s="45">
        <v>20000000</v>
      </c>
      <c r="G3783" s="42" t="s">
        <v>1001</v>
      </c>
      <c r="H3783" s="42" t="s">
        <v>1081</v>
      </c>
      <c r="I3783" s="42" t="s">
        <v>893</v>
      </c>
    </row>
    <row r="3784" spans="1:9">
      <c r="A3784" s="42" t="s">
        <v>897</v>
      </c>
      <c r="B3784" s="42" t="s">
        <v>345</v>
      </c>
      <c r="C3784" s="42" t="s">
        <v>1035</v>
      </c>
      <c r="D3784" s="42" t="s">
        <v>180</v>
      </c>
      <c r="E3784" s="42" t="s">
        <v>808</v>
      </c>
      <c r="F3784" s="45">
        <v>-72000000</v>
      </c>
      <c r="G3784" s="42" t="s">
        <v>1001</v>
      </c>
      <c r="H3784" s="42" t="s">
        <v>1081</v>
      </c>
      <c r="I3784" s="42" t="s">
        <v>893</v>
      </c>
    </row>
    <row r="3785" spans="1:9">
      <c r="A3785" s="42" t="s">
        <v>897</v>
      </c>
      <c r="B3785" s="42" t="s">
        <v>346</v>
      </c>
      <c r="C3785" s="42" t="s">
        <v>956</v>
      </c>
      <c r="D3785" s="42" t="s">
        <v>180</v>
      </c>
      <c r="E3785" s="42" t="s">
        <v>808</v>
      </c>
      <c r="F3785" s="45">
        <v>-164000000</v>
      </c>
      <c r="G3785" s="42" t="s">
        <v>1001</v>
      </c>
      <c r="H3785" s="42" t="s">
        <v>1081</v>
      </c>
      <c r="I3785" s="42" t="s">
        <v>893</v>
      </c>
    </row>
    <row r="3786" spans="1:9">
      <c r="A3786" s="42" t="s">
        <v>897</v>
      </c>
      <c r="B3786" s="42" t="s">
        <v>347</v>
      </c>
      <c r="C3786" s="42" t="s">
        <v>981</v>
      </c>
      <c r="D3786" s="42" t="s">
        <v>180</v>
      </c>
      <c r="E3786" s="42" t="s">
        <v>808</v>
      </c>
      <c r="F3786" s="45">
        <v>938000000</v>
      </c>
      <c r="G3786" s="42" t="s">
        <v>1039</v>
      </c>
      <c r="H3786" s="42" t="s">
        <v>151</v>
      </c>
      <c r="I3786" s="42" t="s">
        <v>893</v>
      </c>
    </row>
    <row r="3787" spans="1:9">
      <c r="A3787" s="42" t="s">
        <v>897</v>
      </c>
      <c r="B3787" s="42" t="s">
        <v>348</v>
      </c>
      <c r="C3787" s="42" t="s">
        <v>982</v>
      </c>
      <c r="D3787" s="42" t="s">
        <v>180</v>
      </c>
      <c r="E3787" s="42" t="s">
        <v>808</v>
      </c>
      <c r="F3787" s="45">
        <v>774000000</v>
      </c>
      <c r="G3787" s="42" t="s">
        <v>985</v>
      </c>
      <c r="H3787" s="42" t="s">
        <v>153</v>
      </c>
      <c r="I3787" s="42" t="s">
        <v>893</v>
      </c>
    </row>
    <row r="3788" spans="1:9">
      <c r="A3788" s="42" t="s">
        <v>897</v>
      </c>
      <c r="B3788" s="42" t="s">
        <v>346</v>
      </c>
      <c r="C3788" s="42" t="s">
        <v>961</v>
      </c>
      <c r="D3788" s="42" t="s">
        <v>180</v>
      </c>
      <c r="E3788" s="42" t="s">
        <v>808</v>
      </c>
      <c r="F3788" s="45">
        <v>-164000000</v>
      </c>
      <c r="G3788" s="42" t="s">
        <v>1001</v>
      </c>
      <c r="H3788" s="42" t="s">
        <v>1081</v>
      </c>
      <c r="I3788" s="42" t="s">
        <v>893</v>
      </c>
    </row>
    <row r="3789" spans="1:9">
      <c r="A3789" s="42" t="s">
        <v>897</v>
      </c>
      <c r="B3789" s="42" t="s">
        <v>313</v>
      </c>
      <c r="C3789" s="42" t="s">
        <v>994</v>
      </c>
      <c r="D3789" s="42" t="s">
        <v>181</v>
      </c>
      <c r="E3789" s="42" t="s">
        <v>808</v>
      </c>
      <c r="F3789" s="45">
        <v>-198000000</v>
      </c>
      <c r="G3789" s="42" t="s">
        <v>1022</v>
      </c>
      <c r="H3789" s="42" t="s">
        <v>1082</v>
      </c>
      <c r="I3789" s="42" t="s">
        <v>893</v>
      </c>
    </row>
    <row r="3790" spans="1:9">
      <c r="A3790" s="42" t="s">
        <v>897</v>
      </c>
      <c r="B3790" s="42" t="s">
        <v>201</v>
      </c>
      <c r="C3790" s="42" t="s">
        <v>966</v>
      </c>
      <c r="D3790" s="42" t="s">
        <v>181</v>
      </c>
      <c r="E3790" s="42" t="s">
        <v>808</v>
      </c>
      <c r="F3790" s="45">
        <v>-32000000</v>
      </c>
      <c r="G3790" s="42" t="s">
        <v>1022</v>
      </c>
      <c r="H3790" s="42" t="s">
        <v>1082</v>
      </c>
      <c r="I3790" s="42" t="s">
        <v>893</v>
      </c>
    </row>
    <row r="3791" spans="1:9">
      <c r="A3791" s="42" t="s">
        <v>897</v>
      </c>
      <c r="B3791" s="42" t="s">
        <v>314</v>
      </c>
      <c r="C3791" s="42" t="s">
        <v>900</v>
      </c>
      <c r="D3791" s="42" t="s">
        <v>181</v>
      </c>
      <c r="E3791" s="42" t="s">
        <v>808</v>
      </c>
      <c r="F3791" s="45">
        <v>750000000</v>
      </c>
      <c r="G3791" s="42" t="s">
        <v>1022</v>
      </c>
      <c r="H3791" s="42" t="s">
        <v>1082</v>
      </c>
      <c r="I3791" s="42" t="s">
        <v>893</v>
      </c>
    </row>
    <row r="3792" spans="1:9">
      <c r="A3792" s="42" t="s">
        <v>897</v>
      </c>
      <c r="B3792" s="42" t="s">
        <v>315</v>
      </c>
      <c r="C3792" s="42" t="s">
        <v>901</v>
      </c>
      <c r="D3792" s="42" t="s">
        <v>181</v>
      </c>
      <c r="E3792" s="42" t="s">
        <v>808</v>
      </c>
      <c r="F3792" s="45">
        <v>13000000</v>
      </c>
      <c r="G3792" s="42" t="s">
        <v>1022</v>
      </c>
      <c r="H3792" s="42" t="s">
        <v>1082</v>
      </c>
      <c r="I3792" s="42" t="s">
        <v>893</v>
      </c>
    </row>
    <row r="3793" spans="1:9">
      <c r="A3793" s="42" t="s">
        <v>897</v>
      </c>
      <c r="B3793" s="42" t="s">
        <v>316</v>
      </c>
      <c r="C3793" s="42" t="s">
        <v>1004</v>
      </c>
      <c r="D3793" s="42" t="s">
        <v>181</v>
      </c>
      <c r="E3793" s="42" t="s">
        <v>808</v>
      </c>
      <c r="F3793" s="45">
        <v>73000000</v>
      </c>
      <c r="G3793" s="42" t="s">
        <v>1022</v>
      </c>
      <c r="H3793" s="42" t="s">
        <v>1082</v>
      </c>
      <c r="I3793" s="42" t="s">
        <v>893</v>
      </c>
    </row>
    <row r="3794" spans="1:9">
      <c r="A3794" s="42" t="s">
        <v>897</v>
      </c>
      <c r="B3794" s="42" t="s">
        <v>317</v>
      </c>
      <c r="C3794" s="42" t="s">
        <v>967</v>
      </c>
      <c r="D3794" s="42" t="s">
        <v>181</v>
      </c>
      <c r="E3794" s="42" t="s">
        <v>808</v>
      </c>
      <c r="F3794" s="45">
        <v>138000000</v>
      </c>
      <c r="G3794" s="42" t="s">
        <v>1022</v>
      </c>
      <c r="H3794" s="42" t="s">
        <v>1082</v>
      </c>
      <c r="I3794" s="42" t="s">
        <v>893</v>
      </c>
    </row>
    <row r="3795" spans="1:9">
      <c r="A3795" s="42" t="s">
        <v>897</v>
      </c>
      <c r="B3795" s="42" t="s">
        <v>318</v>
      </c>
      <c r="C3795" s="42" t="s">
        <v>904</v>
      </c>
      <c r="D3795" s="42" t="s">
        <v>181</v>
      </c>
      <c r="E3795" s="42" t="s">
        <v>808</v>
      </c>
      <c r="F3795" s="45">
        <v>579000000</v>
      </c>
      <c r="G3795" s="42" t="s">
        <v>1022</v>
      </c>
      <c r="H3795" s="42" t="s">
        <v>1082</v>
      </c>
      <c r="I3795" s="42" t="s">
        <v>893</v>
      </c>
    </row>
    <row r="3796" spans="1:9">
      <c r="A3796" s="42" t="s">
        <v>897</v>
      </c>
      <c r="B3796" s="42" t="s">
        <v>319</v>
      </c>
      <c r="C3796" s="42" t="s">
        <v>907</v>
      </c>
      <c r="D3796" s="42" t="s">
        <v>181</v>
      </c>
      <c r="E3796" s="42" t="s">
        <v>808</v>
      </c>
      <c r="F3796" s="45">
        <v>88000000</v>
      </c>
      <c r="G3796" s="42" t="s">
        <v>1022</v>
      </c>
      <c r="H3796" s="42" t="s">
        <v>1082</v>
      </c>
      <c r="I3796" s="42" t="s">
        <v>893</v>
      </c>
    </row>
    <row r="3797" spans="1:9">
      <c r="A3797" s="42" t="s">
        <v>897</v>
      </c>
      <c r="B3797" s="42" t="s">
        <v>198</v>
      </c>
      <c r="C3797" s="42" t="s">
        <v>1066</v>
      </c>
      <c r="D3797" s="42" t="s">
        <v>181</v>
      </c>
      <c r="E3797" s="42" t="s">
        <v>808</v>
      </c>
      <c r="F3797" s="45">
        <v>5000000</v>
      </c>
      <c r="G3797" s="42" t="s">
        <v>1022</v>
      </c>
      <c r="H3797" s="42" t="s">
        <v>1082</v>
      </c>
      <c r="I3797" s="42" t="s">
        <v>893</v>
      </c>
    </row>
    <row r="3798" spans="1:9">
      <c r="A3798" s="42" t="s">
        <v>897</v>
      </c>
      <c r="B3798" s="42" t="s">
        <v>320</v>
      </c>
      <c r="C3798" s="42" t="s">
        <v>1048</v>
      </c>
      <c r="D3798" s="42" t="s">
        <v>181</v>
      </c>
      <c r="E3798" s="42" t="s">
        <v>808</v>
      </c>
      <c r="F3798" s="45">
        <v>173000000</v>
      </c>
      <c r="G3798" s="42" t="s">
        <v>1022</v>
      </c>
      <c r="H3798" s="42" t="s">
        <v>1082</v>
      </c>
      <c r="I3798" s="42" t="s">
        <v>893</v>
      </c>
    </row>
    <row r="3799" spans="1:9">
      <c r="A3799" s="42" t="s">
        <v>897</v>
      </c>
      <c r="B3799" s="42" t="s">
        <v>251</v>
      </c>
      <c r="C3799" s="42" t="s">
        <v>909</v>
      </c>
      <c r="D3799" s="42" t="s">
        <v>181</v>
      </c>
      <c r="E3799" s="42" t="s">
        <v>808</v>
      </c>
      <c r="F3799" s="45">
        <v>4000000</v>
      </c>
      <c r="G3799" s="42" t="s">
        <v>1022</v>
      </c>
      <c r="H3799" s="42" t="s">
        <v>1082</v>
      </c>
      <c r="I3799" s="42" t="s">
        <v>893</v>
      </c>
    </row>
    <row r="3800" spans="1:9">
      <c r="A3800" s="42" t="s">
        <v>897</v>
      </c>
      <c r="B3800" s="42" t="s">
        <v>321</v>
      </c>
      <c r="C3800" s="42" t="s">
        <v>1049</v>
      </c>
      <c r="D3800" s="42" t="s">
        <v>181</v>
      </c>
      <c r="E3800" s="42" t="s">
        <v>808</v>
      </c>
      <c r="F3800" s="45">
        <v>-34000000</v>
      </c>
      <c r="G3800" s="42" t="s">
        <v>1022</v>
      </c>
      <c r="H3800" s="42" t="s">
        <v>1082</v>
      </c>
      <c r="I3800" s="42" t="s">
        <v>893</v>
      </c>
    </row>
    <row r="3801" spans="1:9">
      <c r="A3801" s="42" t="s">
        <v>897</v>
      </c>
      <c r="B3801" s="42" t="s">
        <v>322</v>
      </c>
      <c r="C3801" s="42" t="s">
        <v>1078</v>
      </c>
      <c r="D3801" s="42" t="s">
        <v>181</v>
      </c>
      <c r="E3801" s="42" t="s">
        <v>808</v>
      </c>
      <c r="F3801" s="45">
        <v>-4000000</v>
      </c>
      <c r="G3801" s="42" t="s">
        <v>1022</v>
      </c>
      <c r="H3801" s="42" t="s">
        <v>1082</v>
      </c>
      <c r="I3801" s="42" t="s">
        <v>893</v>
      </c>
    </row>
    <row r="3802" spans="1:9">
      <c r="A3802" s="42" t="s">
        <v>897</v>
      </c>
      <c r="B3802" s="42" t="s">
        <v>323</v>
      </c>
      <c r="C3802" s="42" t="s">
        <v>1084</v>
      </c>
      <c r="D3802" s="42" t="s">
        <v>181</v>
      </c>
      <c r="E3802" s="42" t="s">
        <v>808</v>
      </c>
      <c r="F3802" s="45">
        <v>0</v>
      </c>
      <c r="G3802" s="42" t="s">
        <v>1022</v>
      </c>
      <c r="H3802" s="42" t="s">
        <v>1082</v>
      </c>
      <c r="I3802" s="42" t="s">
        <v>893</v>
      </c>
    </row>
    <row r="3803" spans="1:9">
      <c r="A3803" s="42" t="s">
        <v>897</v>
      </c>
      <c r="B3803" s="42" t="s">
        <v>293</v>
      </c>
      <c r="C3803" s="42" t="s">
        <v>912</v>
      </c>
      <c r="D3803" s="42" t="s">
        <v>181</v>
      </c>
      <c r="E3803" s="42" t="s">
        <v>808</v>
      </c>
      <c r="F3803" s="45">
        <v>-250000000</v>
      </c>
      <c r="G3803" s="42" t="s">
        <v>1022</v>
      </c>
      <c r="H3803" s="42" t="s">
        <v>1082</v>
      </c>
      <c r="I3803" s="42" t="s">
        <v>893</v>
      </c>
    </row>
    <row r="3804" spans="1:9">
      <c r="A3804" s="42" t="s">
        <v>897</v>
      </c>
      <c r="B3804" s="42" t="s">
        <v>292</v>
      </c>
      <c r="C3804" s="42" t="s">
        <v>913</v>
      </c>
      <c r="D3804" s="42" t="s">
        <v>181</v>
      </c>
      <c r="E3804" s="42" t="s">
        <v>808</v>
      </c>
      <c r="F3804" s="45">
        <v>-25000000</v>
      </c>
      <c r="G3804" s="42" t="s">
        <v>1022</v>
      </c>
      <c r="H3804" s="42" t="s">
        <v>1082</v>
      </c>
      <c r="I3804" s="42" t="s">
        <v>893</v>
      </c>
    </row>
    <row r="3805" spans="1:9">
      <c r="A3805" s="42" t="s">
        <v>897</v>
      </c>
      <c r="B3805" s="42" t="s">
        <v>241</v>
      </c>
      <c r="C3805" s="42" t="s">
        <v>914</v>
      </c>
      <c r="D3805" s="42" t="s">
        <v>181</v>
      </c>
      <c r="E3805" s="42" t="s">
        <v>808</v>
      </c>
      <c r="F3805" s="45">
        <v>-54000000</v>
      </c>
      <c r="G3805" s="42" t="s">
        <v>1022</v>
      </c>
      <c r="H3805" s="42" t="s">
        <v>1082</v>
      </c>
      <c r="I3805" s="42" t="s">
        <v>893</v>
      </c>
    </row>
    <row r="3806" spans="1:9">
      <c r="A3806" s="42" t="s">
        <v>897</v>
      </c>
      <c r="B3806" s="42" t="s">
        <v>310</v>
      </c>
      <c r="C3806" s="42" t="s">
        <v>915</v>
      </c>
      <c r="D3806" s="42" t="s">
        <v>181</v>
      </c>
      <c r="E3806" s="42" t="s">
        <v>808</v>
      </c>
      <c r="F3806" s="45">
        <v>-70000000</v>
      </c>
      <c r="G3806" s="42" t="s">
        <v>1022</v>
      </c>
      <c r="H3806" s="42" t="s">
        <v>1082</v>
      </c>
      <c r="I3806" s="42" t="s">
        <v>893</v>
      </c>
    </row>
    <row r="3807" spans="1:9">
      <c r="A3807" s="42" t="s">
        <v>897</v>
      </c>
      <c r="B3807" s="42" t="s">
        <v>305</v>
      </c>
      <c r="C3807" s="42" t="s">
        <v>916</v>
      </c>
      <c r="D3807" s="42" t="s">
        <v>181</v>
      </c>
      <c r="E3807" s="42" t="s">
        <v>808</v>
      </c>
      <c r="F3807" s="45">
        <v>-23000000</v>
      </c>
      <c r="G3807" s="42" t="s">
        <v>1022</v>
      </c>
      <c r="H3807" s="42" t="s">
        <v>1082</v>
      </c>
      <c r="I3807" s="42" t="s">
        <v>893</v>
      </c>
    </row>
    <row r="3808" spans="1:9">
      <c r="A3808" s="42" t="s">
        <v>897</v>
      </c>
      <c r="B3808" s="42" t="s">
        <v>306</v>
      </c>
      <c r="C3808" s="42" t="s">
        <v>917</v>
      </c>
      <c r="D3808" s="42" t="s">
        <v>181</v>
      </c>
      <c r="E3808" s="42" t="s">
        <v>808</v>
      </c>
      <c r="F3808" s="45">
        <v>27000000</v>
      </c>
      <c r="G3808" s="42" t="s">
        <v>1022</v>
      </c>
      <c r="H3808" s="42" t="s">
        <v>1082</v>
      </c>
      <c r="I3808" s="42" t="s">
        <v>893</v>
      </c>
    </row>
    <row r="3809" spans="1:9">
      <c r="A3809" s="42" t="s">
        <v>897</v>
      </c>
      <c r="B3809" s="42" t="s">
        <v>309</v>
      </c>
      <c r="C3809" s="42" t="s">
        <v>918</v>
      </c>
      <c r="D3809" s="42" t="s">
        <v>181</v>
      </c>
      <c r="E3809" s="42" t="s">
        <v>808</v>
      </c>
      <c r="F3809" s="45">
        <v>87000000</v>
      </c>
      <c r="G3809" s="42" t="s">
        <v>1022</v>
      </c>
      <c r="H3809" s="42" t="s">
        <v>1082</v>
      </c>
      <c r="I3809" s="42" t="s">
        <v>893</v>
      </c>
    </row>
    <row r="3810" spans="1:9">
      <c r="A3810" s="42" t="s">
        <v>897</v>
      </c>
      <c r="B3810" s="42" t="s">
        <v>325</v>
      </c>
      <c r="C3810" s="42" t="s">
        <v>919</v>
      </c>
      <c r="D3810" s="42" t="s">
        <v>181</v>
      </c>
      <c r="E3810" s="42" t="s">
        <v>808</v>
      </c>
      <c r="F3810" s="45">
        <v>-34000000</v>
      </c>
      <c r="G3810" s="42" t="s">
        <v>1022</v>
      </c>
      <c r="H3810" s="42" t="s">
        <v>1082</v>
      </c>
      <c r="I3810" s="42" t="s">
        <v>893</v>
      </c>
    </row>
    <row r="3811" spans="1:9">
      <c r="A3811" s="42" t="s">
        <v>897</v>
      </c>
      <c r="B3811" s="42" t="s">
        <v>242</v>
      </c>
      <c r="C3811" s="42" t="s">
        <v>920</v>
      </c>
      <c r="D3811" s="42" t="s">
        <v>181</v>
      </c>
      <c r="E3811" s="42" t="s">
        <v>808</v>
      </c>
      <c r="F3811" s="45">
        <v>10000000</v>
      </c>
      <c r="G3811" s="42" t="s">
        <v>1022</v>
      </c>
      <c r="H3811" s="42" t="s">
        <v>1082</v>
      </c>
      <c r="I3811" s="42" t="s">
        <v>893</v>
      </c>
    </row>
    <row r="3812" spans="1:9">
      <c r="A3812" s="42" t="s">
        <v>897</v>
      </c>
      <c r="B3812" s="42" t="s">
        <v>302</v>
      </c>
      <c r="C3812" s="42" t="s">
        <v>921</v>
      </c>
      <c r="D3812" s="42" t="s">
        <v>181</v>
      </c>
      <c r="E3812" s="42" t="s">
        <v>808</v>
      </c>
      <c r="F3812" s="45">
        <v>-9000000</v>
      </c>
      <c r="G3812" s="42" t="s">
        <v>1022</v>
      </c>
      <c r="H3812" s="42" t="s">
        <v>1082</v>
      </c>
      <c r="I3812" s="42" t="s">
        <v>893</v>
      </c>
    </row>
    <row r="3813" spans="1:9">
      <c r="A3813" s="42" t="s">
        <v>897</v>
      </c>
      <c r="B3813" s="42" t="s">
        <v>326</v>
      </c>
      <c r="C3813" s="42" t="s">
        <v>922</v>
      </c>
      <c r="D3813" s="42" t="s">
        <v>181</v>
      </c>
      <c r="E3813" s="42" t="s">
        <v>808</v>
      </c>
      <c r="F3813" s="45">
        <v>21000000</v>
      </c>
      <c r="G3813" s="42" t="s">
        <v>1022</v>
      </c>
      <c r="H3813" s="42" t="s">
        <v>1082</v>
      </c>
      <c r="I3813" s="42" t="s">
        <v>893</v>
      </c>
    </row>
    <row r="3814" spans="1:9">
      <c r="A3814" s="42" t="s">
        <v>897</v>
      </c>
      <c r="B3814" s="42" t="s">
        <v>327</v>
      </c>
      <c r="C3814" s="42" t="s">
        <v>1009</v>
      </c>
      <c r="D3814" s="42" t="s">
        <v>181</v>
      </c>
      <c r="E3814" s="42" t="s">
        <v>808</v>
      </c>
      <c r="F3814" s="45">
        <v>0</v>
      </c>
      <c r="G3814" s="42" t="s">
        <v>1022</v>
      </c>
      <c r="H3814" s="42" t="s">
        <v>1082</v>
      </c>
      <c r="I3814" s="42" t="s">
        <v>893</v>
      </c>
    </row>
    <row r="3815" spans="1:9">
      <c r="A3815" s="42" t="s">
        <v>897</v>
      </c>
      <c r="B3815" s="42" t="s">
        <v>328</v>
      </c>
      <c r="C3815" s="42" t="s">
        <v>924</v>
      </c>
      <c r="D3815" s="42" t="s">
        <v>181</v>
      </c>
      <c r="E3815" s="42" t="s">
        <v>808</v>
      </c>
      <c r="F3815" s="45">
        <v>-10000000</v>
      </c>
      <c r="G3815" s="42" t="s">
        <v>1022</v>
      </c>
      <c r="H3815" s="42" t="s">
        <v>1082</v>
      </c>
      <c r="I3815" s="42" t="s">
        <v>893</v>
      </c>
    </row>
    <row r="3816" spans="1:9">
      <c r="A3816" s="42" t="s">
        <v>897</v>
      </c>
      <c r="B3816" s="42" t="s">
        <v>329</v>
      </c>
      <c r="C3816" s="42" t="s">
        <v>925</v>
      </c>
      <c r="D3816" s="42" t="s">
        <v>181</v>
      </c>
      <c r="E3816" s="42" t="s">
        <v>808</v>
      </c>
      <c r="F3816" s="45">
        <v>1225000000</v>
      </c>
      <c r="G3816" s="42" t="s">
        <v>1022</v>
      </c>
      <c r="H3816" s="42" t="s">
        <v>1082</v>
      </c>
      <c r="I3816" s="42" t="s">
        <v>893</v>
      </c>
    </row>
    <row r="3817" spans="1:9">
      <c r="A3817" s="42" t="s">
        <v>897</v>
      </c>
      <c r="B3817" s="42" t="s">
        <v>372</v>
      </c>
      <c r="C3817" s="42" t="s">
        <v>926</v>
      </c>
      <c r="D3817" s="42" t="s">
        <v>181</v>
      </c>
      <c r="E3817" s="42" t="s">
        <v>808</v>
      </c>
      <c r="F3817" s="45">
        <v>62000000</v>
      </c>
      <c r="G3817" s="42" t="s">
        <v>1022</v>
      </c>
      <c r="H3817" s="42" t="s">
        <v>1082</v>
      </c>
      <c r="I3817" s="42" t="s">
        <v>896</v>
      </c>
    </row>
    <row r="3818" spans="1:9">
      <c r="A3818" s="42" t="s">
        <v>897</v>
      </c>
      <c r="B3818" s="42" t="s">
        <v>330</v>
      </c>
      <c r="C3818" s="42" t="s">
        <v>927</v>
      </c>
      <c r="D3818" s="42" t="s">
        <v>181</v>
      </c>
      <c r="E3818" s="42" t="s">
        <v>808</v>
      </c>
      <c r="F3818" s="45">
        <v>-1148000000</v>
      </c>
      <c r="G3818" s="42" t="s">
        <v>1022</v>
      </c>
      <c r="H3818" s="42" t="s">
        <v>1082</v>
      </c>
      <c r="I3818" s="42" t="s">
        <v>893</v>
      </c>
    </row>
    <row r="3819" spans="1:9">
      <c r="A3819" s="42" t="s">
        <v>897</v>
      </c>
      <c r="B3819" s="42" t="s">
        <v>331</v>
      </c>
      <c r="C3819" s="42" t="s">
        <v>1079</v>
      </c>
      <c r="D3819" s="42" t="s">
        <v>181</v>
      </c>
      <c r="E3819" s="42" t="s">
        <v>808</v>
      </c>
      <c r="F3819" s="45">
        <v>-3000000</v>
      </c>
      <c r="G3819" s="42" t="s">
        <v>1022</v>
      </c>
      <c r="H3819" s="42" t="s">
        <v>1082</v>
      </c>
      <c r="I3819" s="42" t="s">
        <v>893</v>
      </c>
    </row>
    <row r="3820" spans="1:9">
      <c r="A3820" s="42" t="s">
        <v>897</v>
      </c>
      <c r="B3820" s="42" t="s">
        <v>332</v>
      </c>
      <c r="C3820" s="42" t="s">
        <v>932</v>
      </c>
      <c r="D3820" s="42" t="s">
        <v>181</v>
      </c>
      <c r="E3820" s="42" t="s">
        <v>808</v>
      </c>
      <c r="F3820" s="45">
        <v>0</v>
      </c>
      <c r="G3820" s="42" t="s">
        <v>1022</v>
      </c>
      <c r="H3820" s="42" t="s">
        <v>1082</v>
      </c>
      <c r="I3820" s="42" t="s">
        <v>893</v>
      </c>
    </row>
    <row r="3821" spans="1:9">
      <c r="A3821" s="42" t="s">
        <v>897</v>
      </c>
      <c r="B3821" s="42" t="s">
        <v>333</v>
      </c>
      <c r="C3821" s="42" t="s">
        <v>1086</v>
      </c>
      <c r="D3821" s="42" t="s">
        <v>181</v>
      </c>
      <c r="E3821" s="42" t="s">
        <v>808</v>
      </c>
      <c r="F3821" s="45">
        <v>-520000000</v>
      </c>
      <c r="G3821" s="42" t="s">
        <v>1022</v>
      </c>
      <c r="H3821" s="42" t="s">
        <v>1082</v>
      </c>
      <c r="I3821" s="42" t="s">
        <v>893</v>
      </c>
    </row>
    <row r="3822" spans="1:9">
      <c r="A3822" s="42" t="s">
        <v>897</v>
      </c>
      <c r="B3822" s="42" t="s">
        <v>334</v>
      </c>
      <c r="C3822" s="42" t="s">
        <v>933</v>
      </c>
      <c r="D3822" s="42" t="s">
        <v>181</v>
      </c>
      <c r="E3822" s="42" t="s">
        <v>808</v>
      </c>
      <c r="F3822" s="45">
        <v>1000000</v>
      </c>
      <c r="G3822" s="42" t="s">
        <v>1022</v>
      </c>
      <c r="H3822" s="42" t="s">
        <v>1082</v>
      </c>
      <c r="I3822" s="42" t="s">
        <v>893</v>
      </c>
    </row>
    <row r="3823" spans="1:9">
      <c r="A3823" s="42" t="s">
        <v>897</v>
      </c>
      <c r="B3823" s="42" t="s">
        <v>335</v>
      </c>
      <c r="C3823" s="42" t="s">
        <v>1068</v>
      </c>
      <c r="D3823" s="42" t="s">
        <v>181</v>
      </c>
      <c r="E3823" s="42" t="s">
        <v>808</v>
      </c>
      <c r="F3823" s="45">
        <v>7000000</v>
      </c>
      <c r="G3823" s="42" t="s">
        <v>1022</v>
      </c>
      <c r="H3823" s="42" t="s">
        <v>1082</v>
      </c>
      <c r="I3823" s="42" t="s">
        <v>893</v>
      </c>
    </row>
    <row r="3824" spans="1:9">
      <c r="A3824" s="42" t="s">
        <v>897</v>
      </c>
      <c r="B3824" s="42" t="s">
        <v>336</v>
      </c>
      <c r="C3824" s="42" t="s">
        <v>938</v>
      </c>
      <c r="D3824" s="42" t="s">
        <v>181</v>
      </c>
      <c r="E3824" s="42" t="s">
        <v>808</v>
      </c>
      <c r="F3824" s="45">
        <v>-1662000000</v>
      </c>
      <c r="G3824" s="42" t="s">
        <v>1022</v>
      </c>
      <c r="H3824" s="42" t="s">
        <v>1082</v>
      </c>
      <c r="I3824" s="42" t="s">
        <v>893</v>
      </c>
    </row>
    <row r="3825" spans="1:9">
      <c r="A3825" s="42" t="s">
        <v>897</v>
      </c>
      <c r="B3825" s="42" t="s">
        <v>337</v>
      </c>
      <c r="C3825" s="42" t="s">
        <v>991</v>
      </c>
      <c r="D3825" s="42" t="s">
        <v>181</v>
      </c>
      <c r="E3825" s="42" t="s">
        <v>808</v>
      </c>
      <c r="F3825" s="45">
        <v>-494000000</v>
      </c>
      <c r="G3825" s="42" t="s">
        <v>1022</v>
      </c>
      <c r="H3825" s="42" t="s">
        <v>1082</v>
      </c>
      <c r="I3825" s="42" t="s">
        <v>893</v>
      </c>
    </row>
    <row r="3826" spans="1:9">
      <c r="A3826" s="42" t="s">
        <v>897</v>
      </c>
      <c r="B3826" s="42" t="s">
        <v>338</v>
      </c>
      <c r="C3826" s="42" t="s">
        <v>972</v>
      </c>
      <c r="D3826" s="42" t="s">
        <v>181</v>
      </c>
      <c r="E3826" s="42" t="s">
        <v>808</v>
      </c>
      <c r="F3826" s="45">
        <v>-217000000</v>
      </c>
      <c r="G3826" s="42" t="s">
        <v>1022</v>
      </c>
      <c r="H3826" s="42" t="s">
        <v>1082</v>
      </c>
      <c r="I3826" s="42" t="s">
        <v>893</v>
      </c>
    </row>
    <row r="3827" spans="1:9">
      <c r="A3827" s="42" t="s">
        <v>897</v>
      </c>
      <c r="B3827" s="42" t="s">
        <v>939</v>
      </c>
      <c r="C3827" s="42" t="s">
        <v>973</v>
      </c>
      <c r="D3827" s="42" t="s">
        <v>181</v>
      </c>
      <c r="E3827" s="42" t="s">
        <v>808</v>
      </c>
      <c r="F3827" s="45">
        <v>1311000000</v>
      </c>
      <c r="G3827" s="42" t="s">
        <v>1022</v>
      </c>
      <c r="H3827" s="42" t="s">
        <v>1082</v>
      </c>
      <c r="I3827" s="42" t="s">
        <v>893</v>
      </c>
    </row>
    <row r="3828" spans="1:9">
      <c r="A3828" s="42" t="s">
        <v>897</v>
      </c>
      <c r="B3828" s="42" t="s">
        <v>342</v>
      </c>
      <c r="C3828" s="42" t="s">
        <v>1014</v>
      </c>
      <c r="D3828" s="42" t="s">
        <v>181</v>
      </c>
      <c r="E3828" s="42" t="s">
        <v>808</v>
      </c>
      <c r="F3828" s="45">
        <v>-102000000</v>
      </c>
      <c r="G3828" s="42" t="s">
        <v>1022</v>
      </c>
      <c r="H3828" s="42" t="s">
        <v>1082</v>
      </c>
      <c r="I3828" s="42" t="s">
        <v>893</v>
      </c>
    </row>
    <row r="3829" spans="1:9">
      <c r="A3829" s="42" t="s">
        <v>897</v>
      </c>
      <c r="B3829" s="42" t="s">
        <v>343</v>
      </c>
      <c r="C3829" s="42" t="s">
        <v>1016</v>
      </c>
      <c r="D3829" s="42" t="s">
        <v>181</v>
      </c>
      <c r="E3829" s="42" t="s">
        <v>808</v>
      </c>
      <c r="F3829" s="45">
        <v>-1000000</v>
      </c>
      <c r="G3829" s="42" t="s">
        <v>1022</v>
      </c>
      <c r="H3829" s="42" t="s">
        <v>1082</v>
      </c>
      <c r="I3829" s="42" t="s">
        <v>893</v>
      </c>
    </row>
    <row r="3830" spans="1:9">
      <c r="A3830" s="42" t="s">
        <v>897</v>
      </c>
      <c r="B3830" s="42" t="s">
        <v>344</v>
      </c>
      <c r="C3830" s="42" t="s">
        <v>980</v>
      </c>
      <c r="D3830" s="42" t="s">
        <v>181</v>
      </c>
      <c r="E3830" s="42" t="s">
        <v>808</v>
      </c>
      <c r="F3830" s="45">
        <v>497000000</v>
      </c>
      <c r="G3830" s="42" t="s">
        <v>1022</v>
      </c>
      <c r="H3830" s="42" t="s">
        <v>1082</v>
      </c>
      <c r="I3830" s="42" t="s">
        <v>893</v>
      </c>
    </row>
    <row r="3831" spans="1:9">
      <c r="A3831" s="42" t="s">
        <v>897</v>
      </c>
      <c r="B3831" s="42" t="s">
        <v>345</v>
      </c>
      <c r="C3831" s="42" t="s">
        <v>1035</v>
      </c>
      <c r="D3831" s="42" t="s">
        <v>181</v>
      </c>
      <c r="E3831" s="42" t="s">
        <v>808</v>
      </c>
      <c r="F3831" s="45">
        <v>-35000000</v>
      </c>
      <c r="G3831" s="42" t="s">
        <v>1022</v>
      </c>
      <c r="H3831" s="42" t="s">
        <v>1082</v>
      </c>
      <c r="I3831" s="42" t="s">
        <v>893</v>
      </c>
    </row>
    <row r="3832" spans="1:9">
      <c r="A3832" s="42" t="s">
        <v>897</v>
      </c>
      <c r="B3832" s="42" t="s">
        <v>346</v>
      </c>
      <c r="C3832" s="42" t="s">
        <v>956</v>
      </c>
      <c r="D3832" s="42" t="s">
        <v>181</v>
      </c>
      <c r="E3832" s="42" t="s">
        <v>808</v>
      </c>
      <c r="F3832" s="45">
        <v>25000000</v>
      </c>
      <c r="G3832" s="42" t="s">
        <v>1022</v>
      </c>
      <c r="H3832" s="42" t="s">
        <v>1082</v>
      </c>
      <c r="I3832" s="42" t="s">
        <v>893</v>
      </c>
    </row>
    <row r="3833" spans="1:9">
      <c r="A3833" s="42" t="s">
        <v>897</v>
      </c>
      <c r="B3833" s="42" t="s">
        <v>347</v>
      </c>
      <c r="C3833" s="42" t="s">
        <v>981</v>
      </c>
      <c r="D3833" s="42" t="s">
        <v>181</v>
      </c>
      <c r="E3833" s="42" t="s">
        <v>808</v>
      </c>
      <c r="F3833" s="45">
        <v>774000000</v>
      </c>
      <c r="G3833" s="42" t="s">
        <v>1039</v>
      </c>
      <c r="H3833" s="42" t="s">
        <v>153</v>
      </c>
      <c r="I3833" s="42" t="s">
        <v>893</v>
      </c>
    </row>
    <row r="3834" spans="1:9">
      <c r="A3834" s="42" t="s">
        <v>897</v>
      </c>
      <c r="B3834" s="42" t="s">
        <v>348</v>
      </c>
      <c r="C3834" s="42" t="s">
        <v>982</v>
      </c>
      <c r="D3834" s="42" t="s">
        <v>181</v>
      </c>
      <c r="E3834" s="42" t="s">
        <v>808</v>
      </c>
      <c r="F3834" s="45">
        <v>799000000</v>
      </c>
      <c r="G3834" s="42" t="s">
        <v>985</v>
      </c>
      <c r="H3834" s="42" t="s">
        <v>145</v>
      </c>
      <c r="I3834" s="42" t="s">
        <v>893</v>
      </c>
    </row>
    <row r="3835" spans="1:9">
      <c r="A3835" s="42" t="s">
        <v>897</v>
      </c>
      <c r="B3835" s="42" t="s">
        <v>346</v>
      </c>
      <c r="C3835" s="42" t="s">
        <v>961</v>
      </c>
      <c r="D3835" s="42" t="s">
        <v>181</v>
      </c>
      <c r="E3835" s="42" t="s">
        <v>808</v>
      </c>
      <c r="F3835" s="45">
        <v>25000000</v>
      </c>
      <c r="G3835" s="42" t="s">
        <v>1022</v>
      </c>
      <c r="H3835" s="42" t="s">
        <v>1082</v>
      </c>
      <c r="I3835" s="42" t="s">
        <v>893</v>
      </c>
    </row>
    <row r="3836" spans="1:9">
      <c r="A3836" s="42" t="s">
        <v>897</v>
      </c>
      <c r="B3836" s="42" t="s">
        <v>313</v>
      </c>
      <c r="C3836" s="42" t="s">
        <v>994</v>
      </c>
      <c r="D3836" s="42" t="s">
        <v>182</v>
      </c>
      <c r="E3836" s="42" t="s">
        <v>808</v>
      </c>
      <c r="F3836" s="45">
        <v>-649000000</v>
      </c>
      <c r="G3836" s="42" t="s">
        <v>1025</v>
      </c>
      <c r="H3836" s="42" t="s">
        <v>1083</v>
      </c>
      <c r="I3836" s="42" t="s">
        <v>893</v>
      </c>
    </row>
    <row r="3837" spans="1:9">
      <c r="A3837" s="42" t="s">
        <v>897</v>
      </c>
      <c r="B3837" s="42" t="s">
        <v>201</v>
      </c>
      <c r="C3837" s="42" t="s">
        <v>966</v>
      </c>
      <c r="D3837" s="42" t="s">
        <v>182</v>
      </c>
      <c r="E3837" s="42" t="s">
        <v>808</v>
      </c>
      <c r="F3837" s="45">
        <v>-15000000</v>
      </c>
      <c r="G3837" s="42" t="s">
        <v>1025</v>
      </c>
      <c r="H3837" s="42" t="s">
        <v>1083</v>
      </c>
      <c r="I3837" s="42" t="s">
        <v>893</v>
      </c>
    </row>
    <row r="3838" spans="1:9">
      <c r="A3838" s="42" t="s">
        <v>897</v>
      </c>
      <c r="B3838" s="42" t="s">
        <v>314</v>
      </c>
      <c r="C3838" s="42" t="s">
        <v>900</v>
      </c>
      <c r="D3838" s="42" t="s">
        <v>182</v>
      </c>
      <c r="E3838" s="42" t="s">
        <v>808</v>
      </c>
      <c r="F3838" s="45">
        <v>685000000</v>
      </c>
      <c r="G3838" s="42" t="s">
        <v>1025</v>
      </c>
      <c r="H3838" s="42" t="s">
        <v>1083</v>
      </c>
      <c r="I3838" s="42" t="s">
        <v>893</v>
      </c>
    </row>
    <row r="3839" spans="1:9">
      <c r="A3839" s="42" t="s">
        <v>897</v>
      </c>
      <c r="B3839" s="42" t="s">
        <v>315</v>
      </c>
      <c r="C3839" s="42" t="s">
        <v>901</v>
      </c>
      <c r="D3839" s="42" t="s">
        <v>182</v>
      </c>
      <c r="E3839" s="42" t="s">
        <v>808</v>
      </c>
      <c r="F3839" s="45">
        <v>17000000</v>
      </c>
      <c r="G3839" s="42" t="s">
        <v>1025</v>
      </c>
      <c r="H3839" s="42" t="s">
        <v>1083</v>
      </c>
      <c r="I3839" s="42" t="s">
        <v>893</v>
      </c>
    </row>
    <row r="3840" spans="1:9">
      <c r="A3840" s="42" t="s">
        <v>897</v>
      </c>
      <c r="B3840" s="42" t="s">
        <v>316</v>
      </c>
      <c r="C3840" s="42" t="s">
        <v>1004</v>
      </c>
      <c r="D3840" s="42" t="s">
        <v>182</v>
      </c>
      <c r="E3840" s="42" t="s">
        <v>808</v>
      </c>
      <c r="F3840" s="45">
        <v>72000000</v>
      </c>
      <c r="G3840" s="42" t="s">
        <v>1025</v>
      </c>
      <c r="H3840" s="42" t="s">
        <v>1083</v>
      </c>
      <c r="I3840" s="42" t="s">
        <v>893</v>
      </c>
    </row>
    <row r="3841" spans="1:9">
      <c r="A3841" s="42" t="s">
        <v>897</v>
      </c>
      <c r="B3841" s="42" t="s">
        <v>317</v>
      </c>
      <c r="C3841" s="42" t="s">
        <v>967</v>
      </c>
      <c r="D3841" s="42" t="s">
        <v>182</v>
      </c>
      <c r="E3841" s="42" t="s">
        <v>808</v>
      </c>
      <c r="F3841" s="45">
        <v>343000000</v>
      </c>
      <c r="G3841" s="42" t="s">
        <v>1025</v>
      </c>
      <c r="H3841" s="42" t="s">
        <v>1083</v>
      </c>
      <c r="I3841" s="42" t="s">
        <v>893</v>
      </c>
    </row>
    <row r="3842" spans="1:9">
      <c r="A3842" s="42" t="s">
        <v>897</v>
      </c>
      <c r="B3842" s="42" t="s">
        <v>318</v>
      </c>
      <c r="C3842" s="42" t="s">
        <v>904</v>
      </c>
      <c r="D3842" s="42" t="s">
        <v>182</v>
      </c>
      <c r="E3842" s="42" t="s">
        <v>808</v>
      </c>
      <c r="F3842" s="45">
        <v>1042000000</v>
      </c>
      <c r="G3842" s="42" t="s">
        <v>1025</v>
      </c>
      <c r="H3842" s="42" t="s">
        <v>1083</v>
      </c>
      <c r="I3842" s="42" t="s">
        <v>893</v>
      </c>
    </row>
    <row r="3843" spans="1:9">
      <c r="A3843" s="42" t="s">
        <v>897</v>
      </c>
      <c r="B3843" s="42" t="s">
        <v>319</v>
      </c>
      <c r="C3843" s="42" t="s">
        <v>907</v>
      </c>
      <c r="D3843" s="42" t="s">
        <v>182</v>
      </c>
      <c r="E3843" s="42" t="s">
        <v>808</v>
      </c>
      <c r="F3843" s="45">
        <v>221000000</v>
      </c>
      <c r="G3843" s="42" t="s">
        <v>1025</v>
      </c>
      <c r="H3843" s="42" t="s">
        <v>1083</v>
      </c>
      <c r="I3843" s="42" t="s">
        <v>893</v>
      </c>
    </row>
    <row r="3844" spans="1:9">
      <c r="A3844" s="42" t="s">
        <v>897</v>
      </c>
      <c r="B3844" s="42" t="s">
        <v>198</v>
      </c>
      <c r="C3844" s="42" t="s">
        <v>1066</v>
      </c>
      <c r="D3844" s="42" t="s">
        <v>182</v>
      </c>
      <c r="E3844" s="42" t="s">
        <v>808</v>
      </c>
      <c r="F3844" s="45">
        <v>0</v>
      </c>
      <c r="G3844" s="42" t="s">
        <v>1025</v>
      </c>
      <c r="H3844" s="42" t="s">
        <v>1083</v>
      </c>
      <c r="I3844" s="42" t="s">
        <v>893</v>
      </c>
    </row>
    <row r="3845" spans="1:9">
      <c r="A3845" s="42" t="s">
        <v>897</v>
      </c>
      <c r="B3845" s="42" t="s">
        <v>320</v>
      </c>
      <c r="C3845" s="42" t="s">
        <v>1048</v>
      </c>
      <c r="D3845" s="42" t="s">
        <v>182</v>
      </c>
      <c r="E3845" s="42" t="s">
        <v>808</v>
      </c>
      <c r="F3845" s="45">
        <v>237000000</v>
      </c>
      <c r="G3845" s="42" t="s">
        <v>1025</v>
      </c>
      <c r="H3845" s="42" t="s">
        <v>1083</v>
      </c>
      <c r="I3845" s="42" t="s">
        <v>893</v>
      </c>
    </row>
    <row r="3846" spans="1:9">
      <c r="A3846" s="42" t="s">
        <v>897</v>
      </c>
      <c r="B3846" s="42" t="s">
        <v>251</v>
      </c>
      <c r="C3846" s="42" t="s">
        <v>909</v>
      </c>
      <c r="D3846" s="42" t="s">
        <v>182</v>
      </c>
      <c r="E3846" s="42" t="s">
        <v>808</v>
      </c>
      <c r="F3846" s="45">
        <v>6000000</v>
      </c>
      <c r="G3846" s="42" t="s">
        <v>1025</v>
      </c>
      <c r="H3846" s="42" t="s">
        <v>1083</v>
      </c>
      <c r="I3846" s="42" t="s">
        <v>893</v>
      </c>
    </row>
    <row r="3847" spans="1:9">
      <c r="A3847" s="42" t="s">
        <v>897</v>
      </c>
      <c r="B3847" s="42" t="s">
        <v>321</v>
      </c>
      <c r="C3847" s="42" t="s">
        <v>1049</v>
      </c>
      <c r="D3847" s="42" t="s">
        <v>182</v>
      </c>
      <c r="E3847" s="42" t="s">
        <v>808</v>
      </c>
      <c r="F3847" s="45">
        <v>-3000000</v>
      </c>
      <c r="G3847" s="42" t="s">
        <v>1025</v>
      </c>
      <c r="H3847" s="42" t="s">
        <v>1083</v>
      </c>
      <c r="I3847" s="42" t="s">
        <v>893</v>
      </c>
    </row>
    <row r="3848" spans="1:9">
      <c r="A3848" s="42" t="s">
        <v>897</v>
      </c>
      <c r="B3848" s="42" t="s">
        <v>322</v>
      </c>
      <c r="C3848" s="42" t="s">
        <v>1078</v>
      </c>
      <c r="D3848" s="42" t="s">
        <v>182</v>
      </c>
      <c r="E3848" s="42" t="s">
        <v>808</v>
      </c>
      <c r="F3848" s="45">
        <v>178000000</v>
      </c>
      <c r="G3848" s="42" t="s">
        <v>1025</v>
      </c>
      <c r="H3848" s="42" t="s">
        <v>1083</v>
      </c>
      <c r="I3848" s="42" t="s">
        <v>893</v>
      </c>
    </row>
    <row r="3849" spans="1:9">
      <c r="A3849" s="42" t="s">
        <v>897</v>
      </c>
      <c r="B3849" s="42" t="s">
        <v>323</v>
      </c>
      <c r="C3849" s="42" t="s">
        <v>1084</v>
      </c>
      <c r="D3849" s="42" t="s">
        <v>182</v>
      </c>
      <c r="E3849" s="42" t="s">
        <v>808</v>
      </c>
      <c r="F3849" s="45">
        <v>0</v>
      </c>
      <c r="G3849" s="42" t="s">
        <v>1025</v>
      </c>
      <c r="H3849" s="42" t="s">
        <v>1083</v>
      </c>
      <c r="I3849" s="42" t="s">
        <v>893</v>
      </c>
    </row>
    <row r="3850" spans="1:9">
      <c r="A3850" s="42" t="s">
        <v>897</v>
      </c>
      <c r="B3850" s="42" t="s">
        <v>293</v>
      </c>
      <c r="C3850" s="42" t="s">
        <v>912</v>
      </c>
      <c r="D3850" s="42" t="s">
        <v>182</v>
      </c>
      <c r="E3850" s="42" t="s">
        <v>808</v>
      </c>
      <c r="F3850" s="45">
        <v>176000000</v>
      </c>
      <c r="G3850" s="42" t="s">
        <v>1025</v>
      </c>
      <c r="H3850" s="42" t="s">
        <v>1083</v>
      </c>
      <c r="I3850" s="42" t="s">
        <v>893</v>
      </c>
    </row>
    <row r="3851" spans="1:9">
      <c r="A3851" s="42" t="s">
        <v>897</v>
      </c>
      <c r="B3851" s="42" t="s">
        <v>292</v>
      </c>
      <c r="C3851" s="42" t="s">
        <v>913</v>
      </c>
      <c r="D3851" s="42" t="s">
        <v>182</v>
      </c>
      <c r="E3851" s="42" t="s">
        <v>808</v>
      </c>
      <c r="F3851" s="45">
        <v>-161000000</v>
      </c>
      <c r="G3851" s="42" t="s">
        <v>1025</v>
      </c>
      <c r="H3851" s="42" t="s">
        <v>1083</v>
      </c>
      <c r="I3851" s="42" t="s">
        <v>893</v>
      </c>
    </row>
    <row r="3852" spans="1:9">
      <c r="A3852" s="42" t="s">
        <v>897</v>
      </c>
      <c r="B3852" s="42" t="s">
        <v>241</v>
      </c>
      <c r="C3852" s="42" t="s">
        <v>914</v>
      </c>
      <c r="D3852" s="42" t="s">
        <v>182</v>
      </c>
      <c r="E3852" s="42" t="s">
        <v>808</v>
      </c>
      <c r="F3852" s="45">
        <v>85000000</v>
      </c>
      <c r="G3852" s="42" t="s">
        <v>1025</v>
      </c>
      <c r="H3852" s="42" t="s">
        <v>1083</v>
      </c>
      <c r="I3852" s="42" t="s">
        <v>893</v>
      </c>
    </row>
    <row r="3853" spans="1:9">
      <c r="A3853" s="42" t="s">
        <v>897</v>
      </c>
      <c r="B3853" s="42" t="s">
        <v>310</v>
      </c>
      <c r="C3853" s="42" t="s">
        <v>915</v>
      </c>
      <c r="D3853" s="42" t="s">
        <v>182</v>
      </c>
      <c r="E3853" s="42" t="s">
        <v>808</v>
      </c>
      <c r="F3853" s="45">
        <v>-124000000</v>
      </c>
      <c r="G3853" s="42" t="s">
        <v>1025</v>
      </c>
      <c r="H3853" s="42" t="s">
        <v>1083</v>
      </c>
      <c r="I3853" s="42" t="s">
        <v>893</v>
      </c>
    </row>
    <row r="3854" spans="1:9">
      <c r="A3854" s="42" t="s">
        <v>897</v>
      </c>
      <c r="B3854" s="42" t="s">
        <v>305</v>
      </c>
      <c r="C3854" s="42" t="s">
        <v>916</v>
      </c>
      <c r="D3854" s="42" t="s">
        <v>182</v>
      </c>
      <c r="E3854" s="42" t="s">
        <v>808</v>
      </c>
      <c r="F3854" s="45">
        <v>-15000000</v>
      </c>
      <c r="G3854" s="42" t="s">
        <v>1025</v>
      </c>
      <c r="H3854" s="42" t="s">
        <v>1083</v>
      </c>
      <c r="I3854" s="42" t="s">
        <v>893</v>
      </c>
    </row>
    <row r="3855" spans="1:9">
      <c r="A3855" s="42" t="s">
        <v>897</v>
      </c>
      <c r="B3855" s="42" t="s">
        <v>306</v>
      </c>
      <c r="C3855" s="42" t="s">
        <v>917</v>
      </c>
      <c r="D3855" s="42" t="s">
        <v>182</v>
      </c>
      <c r="E3855" s="42" t="s">
        <v>808</v>
      </c>
      <c r="F3855" s="45">
        <v>54000000</v>
      </c>
      <c r="G3855" s="42" t="s">
        <v>1025</v>
      </c>
      <c r="H3855" s="42" t="s">
        <v>1083</v>
      </c>
      <c r="I3855" s="42" t="s">
        <v>893</v>
      </c>
    </row>
    <row r="3856" spans="1:9">
      <c r="A3856" s="42" t="s">
        <v>897</v>
      </c>
      <c r="B3856" s="42" t="s">
        <v>309</v>
      </c>
      <c r="C3856" s="42" t="s">
        <v>918</v>
      </c>
      <c r="D3856" s="42" t="s">
        <v>182</v>
      </c>
      <c r="E3856" s="42" t="s">
        <v>808</v>
      </c>
      <c r="F3856" s="45">
        <v>-87000000</v>
      </c>
      <c r="G3856" s="42" t="s">
        <v>1025</v>
      </c>
      <c r="H3856" s="42" t="s">
        <v>1083</v>
      </c>
      <c r="I3856" s="42" t="s">
        <v>893</v>
      </c>
    </row>
    <row r="3857" spans="1:9">
      <c r="A3857" s="42" t="s">
        <v>897</v>
      </c>
      <c r="B3857" s="42" t="s">
        <v>325</v>
      </c>
      <c r="C3857" s="42" t="s">
        <v>919</v>
      </c>
      <c r="D3857" s="42" t="s">
        <v>182</v>
      </c>
      <c r="E3857" s="42" t="s">
        <v>808</v>
      </c>
      <c r="F3857" s="45">
        <v>-32000000</v>
      </c>
      <c r="G3857" s="42" t="s">
        <v>1025</v>
      </c>
      <c r="H3857" s="42" t="s">
        <v>1083</v>
      </c>
      <c r="I3857" s="42" t="s">
        <v>893</v>
      </c>
    </row>
    <row r="3858" spans="1:9">
      <c r="A3858" s="42" t="s">
        <v>897</v>
      </c>
      <c r="B3858" s="42" t="s">
        <v>242</v>
      </c>
      <c r="C3858" s="42" t="s">
        <v>920</v>
      </c>
      <c r="D3858" s="42" t="s">
        <v>182</v>
      </c>
      <c r="E3858" s="42" t="s">
        <v>808</v>
      </c>
      <c r="F3858" s="45">
        <v>3000000</v>
      </c>
      <c r="G3858" s="42" t="s">
        <v>1025</v>
      </c>
      <c r="H3858" s="42" t="s">
        <v>1083</v>
      </c>
      <c r="I3858" s="42" t="s">
        <v>893</v>
      </c>
    </row>
    <row r="3859" spans="1:9">
      <c r="A3859" s="42" t="s">
        <v>897</v>
      </c>
      <c r="B3859" s="42" t="s">
        <v>302</v>
      </c>
      <c r="C3859" s="42" t="s">
        <v>921</v>
      </c>
      <c r="D3859" s="42" t="s">
        <v>182</v>
      </c>
      <c r="E3859" s="42" t="s">
        <v>808</v>
      </c>
      <c r="F3859" s="45">
        <v>13000000</v>
      </c>
      <c r="G3859" s="42" t="s">
        <v>1025</v>
      </c>
      <c r="H3859" s="42" t="s">
        <v>1083</v>
      </c>
      <c r="I3859" s="42" t="s">
        <v>893</v>
      </c>
    </row>
    <row r="3860" spans="1:9">
      <c r="A3860" s="42" t="s">
        <v>897</v>
      </c>
      <c r="B3860" s="42" t="s">
        <v>326</v>
      </c>
      <c r="C3860" s="42" t="s">
        <v>922</v>
      </c>
      <c r="D3860" s="42" t="s">
        <v>182</v>
      </c>
      <c r="E3860" s="42" t="s">
        <v>808</v>
      </c>
      <c r="F3860" s="45">
        <v>38000000</v>
      </c>
      <c r="G3860" s="42" t="s">
        <v>1025</v>
      </c>
      <c r="H3860" s="42" t="s">
        <v>1083</v>
      </c>
      <c r="I3860" s="42" t="s">
        <v>893</v>
      </c>
    </row>
    <row r="3861" spans="1:9">
      <c r="A3861" s="42" t="s">
        <v>897</v>
      </c>
      <c r="B3861" s="42" t="s">
        <v>327</v>
      </c>
      <c r="C3861" s="42" t="s">
        <v>1009</v>
      </c>
      <c r="D3861" s="42" t="s">
        <v>182</v>
      </c>
      <c r="E3861" s="42" t="s">
        <v>808</v>
      </c>
      <c r="F3861" s="45">
        <v>0</v>
      </c>
      <c r="G3861" s="42" t="s">
        <v>1025</v>
      </c>
      <c r="H3861" s="42" t="s">
        <v>1083</v>
      </c>
      <c r="I3861" s="42" t="s">
        <v>893</v>
      </c>
    </row>
    <row r="3862" spans="1:9">
      <c r="A3862" s="42" t="s">
        <v>897</v>
      </c>
      <c r="B3862" s="42" t="s">
        <v>328</v>
      </c>
      <c r="C3862" s="42" t="s">
        <v>924</v>
      </c>
      <c r="D3862" s="42" t="s">
        <v>182</v>
      </c>
      <c r="E3862" s="42" t="s">
        <v>808</v>
      </c>
      <c r="F3862" s="45">
        <v>-11000000</v>
      </c>
      <c r="G3862" s="42" t="s">
        <v>1025</v>
      </c>
      <c r="H3862" s="42" t="s">
        <v>1083</v>
      </c>
      <c r="I3862" s="42" t="s">
        <v>893</v>
      </c>
    </row>
    <row r="3863" spans="1:9">
      <c r="A3863" s="42" t="s">
        <v>897</v>
      </c>
      <c r="B3863" s="42" t="s">
        <v>329</v>
      </c>
      <c r="C3863" s="42" t="s">
        <v>925</v>
      </c>
      <c r="D3863" s="42" t="s">
        <v>182</v>
      </c>
      <c r="E3863" s="42" t="s">
        <v>808</v>
      </c>
      <c r="F3863" s="45">
        <v>1738000000</v>
      </c>
      <c r="G3863" s="42" t="s">
        <v>1025</v>
      </c>
      <c r="H3863" s="42" t="s">
        <v>1083</v>
      </c>
      <c r="I3863" s="42" t="s">
        <v>893</v>
      </c>
    </row>
    <row r="3864" spans="1:9">
      <c r="A3864" s="42" t="s">
        <v>897</v>
      </c>
      <c r="B3864" s="42" t="s">
        <v>372</v>
      </c>
      <c r="C3864" s="42" t="s">
        <v>926</v>
      </c>
      <c r="D3864" s="42" t="s">
        <v>182</v>
      </c>
      <c r="E3864" s="42" t="s">
        <v>808</v>
      </c>
      <c r="F3864" s="45">
        <v>11000000</v>
      </c>
      <c r="G3864" s="42" t="s">
        <v>1025</v>
      </c>
      <c r="H3864" s="42" t="s">
        <v>1083</v>
      </c>
      <c r="I3864" s="42" t="s">
        <v>896</v>
      </c>
    </row>
    <row r="3865" spans="1:9">
      <c r="A3865" s="42" t="s">
        <v>897</v>
      </c>
      <c r="B3865" s="42" t="s">
        <v>373</v>
      </c>
      <c r="C3865" s="42" t="s">
        <v>1032</v>
      </c>
      <c r="D3865" s="42" t="s">
        <v>182</v>
      </c>
      <c r="E3865" s="42" t="s">
        <v>808</v>
      </c>
      <c r="F3865" s="45">
        <v>-13000000</v>
      </c>
      <c r="G3865" s="42" t="s">
        <v>1025</v>
      </c>
      <c r="H3865" s="42" t="s">
        <v>1083</v>
      </c>
      <c r="I3865" s="42" t="s">
        <v>896</v>
      </c>
    </row>
    <row r="3866" spans="1:9">
      <c r="A3866" s="42" t="s">
        <v>897</v>
      </c>
      <c r="B3866" s="42" t="s">
        <v>330</v>
      </c>
      <c r="C3866" s="42" t="s">
        <v>927</v>
      </c>
      <c r="D3866" s="42" t="s">
        <v>182</v>
      </c>
      <c r="E3866" s="42" t="s">
        <v>808</v>
      </c>
      <c r="F3866" s="45">
        <v>-1420000000</v>
      </c>
      <c r="G3866" s="42" t="s">
        <v>1025</v>
      </c>
      <c r="H3866" s="42" t="s">
        <v>1083</v>
      </c>
      <c r="I3866" s="42" t="s">
        <v>893</v>
      </c>
    </row>
    <row r="3867" spans="1:9">
      <c r="A3867" s="42" t="s">
        <v>897</v>
      </c>
      <c r="B3867" s="42" t="s">
        <v>331</v>
      </c>
      <c r="C3867" s="42" t="s">
        <v>1079</v>
      </c>
      <c r="D3867" s="42" t="s">
        <v>182</v>
      </c>
      <c r="E3867" s="42" t="s">
        <v>808</v>
      </c>
      <c r="F3867" s="45">
        <v>-1000000</v>
      </c>
      <c r="G3867" s="42" t="s">
        <v>1025</v>
      </c>
      <c r="H3867" s="42" t="s">
        <v>1083</v>
      </c>
      <c r="I3867" s="42" t="s">
        <v>893</v>
      </c>
    </row>
    <row r="3868" spans="1:9">
      <c r="A3868" s="42" t="s">
        <v>897</v>
      </c>
      <c r="B3868" s="42" t="s">
        <v>332</v>
      </c>
      <c r="C3868" s="42" t="s">
        <v>932</v>
      </c>
      <c r="D3868" s="42" t="s">
        <v>182</v>
      </c>
      <c r="E3868" s="42" t="s">
        <v>808</v>
      </c>
      <c r="F3868" s="45">
        <v>-3000000</v>
      </c>
      <c r="G3868" s="42" t="s">
        <v>1025</v>
      </c>
      <c r="H3868" s="42" t="s">
        <v>1083</v>
      </c>
      <c r="I3868" s="42" t="s">
        <v>893</v>
      </c>
    </row>
    <row r="3869" spans="1:9">
      <c r="A3869" s="42" t="s">
        <v>897</v>
      </c>
      <c r="B3869" s="42" t="s">
        <v>333</v>
      </c>
      <c r="C3869" s="42" t="s">
        <v>1086</v>
      </c>
      <c r="D3869" s="42" t="s">
        <v>182</v>
      </c>
      <c r="E3869" s="42" t="s">
        <v>808</v>
      </c>
      <c r="F3869" s="45">
        <v>-17000000</v>
      </c>
      <c r="G3869" s="42" t="s">
        <v>1025</v>
      </c>
      <c r="H3869" s="42" t="s">
        <v>1083</v>
      </c>
      <c r="I3869" s="42" t="s">
        <v>893</v>
      </c>
    </row>
    <row r="3870" spans="1:9">
      <c r="A3870" s="42" t="s">
        <v>897</v>
      </c>
      <c r="B3870" s="42" t="s">
        <v>334</v>
      </c>
      <c r="C3870" s="42" t="s">
        <v>933</v>
      </c>
      <c r="D3870" s="42" t="s">
        <v>182</v>
      </c>
      <c r="E3870" s="42" t="s">
        <v>808</v>
      </c>
      <c r="F3870" s="45">
        <v>0</v>
      </c>
      <c r="G3870" s="42" t="s">
        <v>1025</v>
      </c>
      <c r="H3870" s="42" t="s">
        <v>1083</v>
      </c>
      <c r="I3870" s="42" t="s">
        <v>893</v>
      </c>
    </row>
    <row r="3871" spans="1:9">
      <c r="A3871" s="42" t="s">
        <v>897</v>
      </c>
      <c r="B3871" s="42" t="s">
        <v>335</v>
      </c>
      <c r="C3871" s="42" t="s">
        <v>1068</v>
      </c>
      <c r="D3871" s="42" t="s">
        <v>182</v>
      </c>
      <c r="E3871" s="42" t="s">
        <v>808</v>
      </c>
      <c r="F3871" s="45">
        <v>219000000</v>
      </c>
      <c r="G3871" s="42" t="s">
        <v>1025</v>
      </c>
      <c r="H3871" s="42" t="s">
        <v>1083</v>
      </c>
      <c r="I3871" s="42" t="s">
        <v>893</v>
      </c>
    </row>
    <row r="3872" spans="1:9">
      <c r="A3872" s="42" t="s">
        <v>897</v>
      </c>
      <c r="B3872" s="42" t="s">
        <v>336</v>
      </c>
      <c r="C3872" s="42" t="s">
        <v>938</v>
      </c>
      <c r="D3872" s="42" t="s">
        <v>182</v>
      </c>
      <c r="E3872" s="42" t="s">
        <v>808</v>
      </c>
      <c r="F3872" s="45">
        <v>-1224000000</v>
      </c>
      <c r="G3872" s="42" t="s">
        <v>1025</v>
      </c>
      <c r="H3872" s="42" t="s">
        <v>1083</v>
      </c>
      <c r="I3872" s="42" t="s">
        <v>893</v>
      </c>
    </row>
    <row r="3873" spans="1:9">
      <c r="A3873" s="42" t="s">
        <v>897</v>
      </c>
      <c r="B3873" s="42" t="s">
        <v>337</v>
      </c>
      <c r="C3873" s="42" t="s">
        <v>991</v>
      </c>
      <c r="D3873" s="42" t="s">
        <v>182</v>
      </c>
      <c r="E3873" s="42" t="s">
        <v>808</v>
      </c>
      <c r="F3873" s="45">
        <v>-996000000</v>
      </c>
      <c r="G3873" s="42" t="s">
        <v>1025</v>
      </c>
      <c r="H3873" s="42" t="s">
        <v>1083</v>
      </c>
      <c r="I3873" s="42" t="s">
        <v>893</v>
      </c>
    </row>
    <row r="3874" spans="1:9">
      <c r="A3874" s="42" t="s">
        <v>897</v>
      </c>
      <c r="B3874" s="42" t="s">
        <v>338</v>
      </c>
      <c r="C3874" s="42" t="s">
        <v>972</v>
      </c>
      <c r="D3874" s="42" t="s">
        <v>182</v>
      </c>
      <c r="E3874" s="42" t="s">
        <v>808</v>
      </c>
      <c r="F3874" s="45">
        <v>-132000000</v>
      </c>
      <c r="G3874" s="42" t="s">
        <v>1025</v>
      </c>
      <c r="H3874" s="42" t="s">
        <v>1083</v>
      </c>
      <c r="I3874" s="42" t="s">
        <v>893</v>
      </c>
    </row>
    <row r="3875" spans="1:9">
      <c r="A3875" s="42" t="s">
        <v>897</v>
      </c>
      <c r="B3875" s="42" t="s">
        <v>939</v>
      </c>
      <c r="C3875" s="42" t="s">
        <v>973</v>
      </c>
      <c r="D3875" s="42" t="s">
        <v>182</v>
      </c>
      <c r="E3875" s="42" t="s">
        <v>808</v>
      </c>
      <c r="F3875" s="45">
        <v>889000000</v>
      </c>
      <c r="G3875" s="42" t="s">
        <v>1025</v>
      </c>
      <c r="H3875" s="42" t="s">
        <v>1083</v>
      </c>
      <c r="I3875" s="42" t="s">
        <v>893</v>
      </c>
    </row>
    <row r="3876" spans="1:9">
      <c r="A3876" s="42" t="s">
        <v>897</v>
      </c>
      <c r="B3876" s="42" t="s">
        <v>342</v>
      </c>
      <c r="C3876" s="42" t="s">
        <v>1014</v>
      </c>
      <c r="D3876" s="42" t="s">
        <v>182</v>
      </c>
      <c r="E3876" s="42" t="s">
        <v>808</v>
      </c>
      <c r="F3876" s="45">
        <v>-100000000</v>
      </c>
      <c r="G3876" s="42" t="s">
        <v>1025</v>
      </c>
      <c r="H3876" s="42" t="s">
        <v>1083</v>
      </c>
      <c r="I3876" s="42" t="s">
        <v>893</v>
      </c>
    </row>
    <row r="3877" spans="1:9">
      <c r="A3877" s="42" t="s">
        <v>897</v>
      </c>
      <c r="B3877" s="42" t="s">
        <v>343</v>
      </c>
      <c r="C3877" s="42" t="s">
        <v>1016</v>
      </c>
      <c r="D3877" s="42" t="s">
        <v>182</v>
      </c>
      <c r="E3877" s="42" t="s">
        <v>808</v>
      </c>
      <c r="F3877" s="45">
        <v>-9000000</v>
      </c>
      <c r="G3877" s="42" t="s">
        <v>1025</v>
      </c>
      <c r="H3877" s="42" t="s">
        <v>1083</v>
      </c>
      <c r="I3877" s="42" t="s">
        <v>893</v>
      </c>
    </row>
    <row r="3878" spans="1:9">
      <c r="A3878" s="42" t="s">
        <v>897</v>
      </c>
      <c r="B3878" s="42" t="s">
        <v>344</v>
      </c>
      <c r="C3878" s="42" t="s">
        <v>980</v>
      </c>
      <c r="D3878" s="42" t="s">
        <v>182</v>
      </c>
      <c r="E3878" s="42" t="s">
        <v>808</v>
      </c>
      <c r="F3878" s="45">
        <v>-354000000</v>
      </c>
      <c r="G3878" s="42" t="s">
        <v>1025</v>
      </c>
      <c r="H3878" s="42" t="s">
        <v>1083</v>
      </c>
      <c r="I3878" s="42" t="s">
        <v>893</v>
      </c>
    </row>
    <row r="3879" spans="1:9">
      <c r="A3879" s="42" t="s">
        <v>897</v>
      </c>
      <c r="B3879" s="42" t="s">
        <v>345</v>
      </c>
      <c r="C3879" s="42" t="s">
        <v>1035</v>
      </c>
      <c r="D3879" s="42" t="s">
        <v>182</v>
      </c>
      <c r="E3879" s="42" t="s">
        <v>808</v>
      </c>
      <c r="F3879" s="45">
        <v>-26000000</v>
      </c>
      <c r="G3879" s="42" t="s">
        <v>1025</v>
      </c>
      <c r="H3879" s="42" t="s">
        <v>1083</v>
      </c>
      <c r="I3879" s="42" t="s">
        <v>893</v>
      </c>
    </row>
    <row r="3880" spans="1:9">
      <c r="A3880" s="42" t="s">
        <v>897</v>
      </c>
      <c r="B3880" s="42" t="s">
        <v>346</v>
      </c>
      <c r="C3880" s="42" t="s">
        <v>956</v>
      </c>
      <c r="D3880" s="42" t="s">
        <v>182</v>
      </c>
      <c r="E3880" s="42" t="s">
        <v>808</v>
      </c>
      <c r="F3880" s="45">
        <v>134000000</v>
      </c>
      <c r="G3880" s="42" t="s">
        <v>1025</v>
      </c>
      <c r="H3880" s="42" t="s">
        <v>1083</v>
      </c>
      <c r="I3880" s="42" t="s">
        <v>893</v>
      </c>
    </row>
    <row r="3881" spans="1:9">
      <c r="A3881" s="42" t="s">
        <v>897</v>
      </c>
      <c r="B3881" s="42" t="s">
        <v>347</v>
      </c>
      <c r="C3881" s="42" t="s">
        <v>981</v>
      </c>
      <c r="D3881" s="42" t="s">
        <v>182</v>
      </c>
      <c r="E3881" s="42" t="s">
        <v>808</v>
      </c>
      <c r="F3881" s="45">
        <v>799000000</v>
      </c>
      <c r="G3881" s="42" t="s">
        <v>1039</v>
      </c>
      <c r="H3881" s="42" t="s">
        <v>145</v>
      </c>
      <c r="I3881" s="42" t="s">
        <v>893</v>
      </c>
    </row>
    <row r="3882" spans="1:9">
      <c r="A3882" s="42" t="s">
        <v>897</v>
      </c>
      <c r="B3882" s="42" t="s">
        <v>348</v>
      </c>
      <c r="C3882" s="42" t="s">
        <v>982</v>
      </c>
      <c r="D3882" s="42" t="s">
        <v>182</v>
      </c>
      <c r="E3882" s="42" t="s">
        <v>808</v>
      </c>
      <c r="F3882" s="45">
        <v>933000000</v>
      </c>
      <c r="G3882" s="42" t="s">
        <v>985</v>
      </c>
      <c r="H3882" s="42" t="s">
        <v>149</v>
      </c>
      <c r="I3882" s="42" t="s">
        <v>893</v>
      </c>
    </row>
    <row r="3883" spans="1:9">
      <c r="A3883" s="42" t="s">
        <v>897</v>
      </c>
      <c r="B3883" s="42" t="s">
        <v>346</v>
      </c>
      <c r="C3883" s="42" t="s">
        <v>961</v>
      </c>
      <c r="D3883" s="42" t="s">
        <v>182</v>
      </c>
      <c r="E3883" s="42" t="s">
        <v>808</v>
      </c>
      <c r="F3883" s="45">
        <v>134000000</v>
      </c>
      <c r="G3883" s="42" t="s">
        <v>1025</v>
      </c>
      <c r="H3883" s="42" t="s">
        <v>1083</v>
      </c>
      <c r="I3883" s="42" t="s">
        <v>893</v>
      </c>
    </row>
    <row r="3884" spans="1:9">
      <c r="A3884" s="42" t="s">
        <v>897</v>
      </c>
      <c r="B3884" s="42" t="s">
        <v>313</v>
      </c>
      <c r="C3884" s="42" t="s">
        <v>994</v>
      </c>
      <c r="D3884" s="42" t="s">
        <v>183</v>
      </c>
      <c r="E3884" s="42" t="s">
        <v>808</v>
      </c>
      <c r="F3884" s="45">
        <v>409000000</v>
      </c>
      <c r="G3884" s="42" t="s">
        <v>763</v>
      </c>
      <c r="H3884" s="42" t="s">
        <v>151</v>
      </c>
      <c r="I3884" s="42" t="s">
        <v>893</v>
      </c>
    </row>
    <row r="3885" spans="1:9">
      <c r="A3885" s="42" t="s">
        <v>897</v>
      </c>
      <c r="B3885" s="42" t="s">
        <v>201</v>
      </c>
      <c r="C3885" s="42" t="s">
        <v>966</v>
      </c>
      <c r="D3885" s="42" t="s">
        <v>183</v>
      </c>
      <c r="E3885" s="42" t="s">
        <v>808</v>
      </c>
      <c r="F3885" s="45">
        <v>-101000000</v>
      </c>
      <c r="G3885" s="42" t="s">
        <v>763</v>
      </c>
      <c r="H3885" s="42" t="s">
        <v>151</v>
      </c>
      <c r="I3885" s="42" t="s">
        <v>893</v>
      </c>
    </row>
    <row r="3886" spans="1:9">
      <c r="A3886" s="42" t="s">
        <v>897</v>
      </c>
      <c r="B3886" s="42" t="s">
        <v>314</v>
      </c>
      <c r="C3886" s="42" t="s">
        <v>900</v>
      </c>
      <c r="D3886" s="42" t="s">
        <v>183</v>
      </c>
      <c r="E3886" s="42" t="s">
        <v>808</v>
      </c>
      <c r="F3886" s="45">
        <v>653000000</v>
      </c>
      <c r="G3886" s="42" t="s">
        <v>763</v>
      </c>
      <c r="H3886" s="42" t="s">
        <v>151</v>
      </c>
      <c r="I3886" s="42" t="s">
        <v>893</v>
      </c>
    </row>
    <row r="3887" spans="1:9">
      <c r="A3887" s="42" t="s">
        <v>897</v>
      </c>
      <c r="B3887" s="42" t="s">
        <v>315</v>
      </c>
      <c r="C3887" s="42" t="s">
        <v>901</v>
      </c>
      <c r="D3887" s="42" t="s">
        <v>183</v>
      </c>
      <c r="E3887" s="42" t="s">
        <v>808</v>
      </c>
      <c r="F3887" s="45">
        <v>17000000</v>
      </c>
      <c r="G3887" s="42" t="s">
        <v>763</v>
      </c>
      <c r="H3887" s="42" t="s">
        <v>151</v>
      </c>
      <c r="I3887" s="42" t="s">
        <v>893</v>
      </c>
    </row>
    <row r="3888" spans="1:9">
      <c r="A3888" s="42" t="s">
        <v>897</v>
      </c>
      <c r="B3888" s="42" t="s">
        <v>316</v>
      </c>
      <c r="C3888" s="42" t="s">
        <v>1004</v>
      </c>
      <c r="D3888" s="42" t="s">
        <v>183</v>
      </c>
      <c r="E3888" s="42" t="s">
        <v>808</v>
      </c>
      <c r="F3888" s="45">
        <v>73000000</v>
      </c>
      <c r="G3888" s="42" t="s">
        <v>763</v>
      </c>
      <c r="H3888" s="42" t="s">
        <v>151</v>
      </c>
      <c r="I3888" s="42" t="s">
        <v>893</v>
      </c>
    </row>
    <row r="3889" spans="1:9">
      <c r="A3889" s="42" t="s">
        <v>897</v>
      </c>
      <c r="B3889" s="42" t="s">
        <v>317</v>
      </c>
      <c r="C3889" s="42" t="s">
        <v>967</v>
      </c>
      <c r="D3889" s="42" t="s">
        <v>183</v>
      </c>
      <c r="E3889" s="42" t="s">
        <v>808</v>
      </c>
      <c r="F3889" s="45">
        <v>56000000</v>
      </c>
      <c r="G3889" s="42" t="s">
        <v>763</v>
      </c>
      <c r="H3889" s="42" t="s">
        <v>151</v>
      </c>
      <c r="I3889" s="42" t="s">
        <v>893</v>
      </c>
    </row>
    <row r="3890" spans="1:9">
      <c r="A3890" s="42" t="s">
        <v>897</v>
      </c>
      <c r="B3890" s="42" t="s">
        <v>318</v>
      </c>
      <c r="C3890" s="42" t="s">
        <v>904</v>
      </c>
      <c r="D3890" s="42" t="s">
        <v>183</v>
      </c>
      <c r="E3890" s="42" t="s">
        <v>808</v>
      </c>
      <c r="F3890" s="45">
        <v>243000000</v>
      </c>
      <c r="G3890" s="42" t="s">
        <v>763</v>
      </c>
      <c r="H3890" s="42" t="s">
        <v>151</v>
      </c>
      <c r="I3890" s="42" t="s">
        <v>893</v>
      </c>
    </row>
    <row r="3891" spans="1:9">
      <c r="A3891" s="42" t="s">
        <v>897</v>
      </c>
      <c r="B3891" s="42" t="s">
        <v>319</v>
      </c>
      <c r="C3891" s="42" t="s">
        <v>907</v>
      </c>
      <c r="D3891" s="42" t="s">
        <v>183</v>
      </c>
      <c r="E3891" s="42" t="s">
        <v>808</v>
      </c>
      <c r="F3891" s="45">
        <v>102000000</v>
      </c>
      <c r="G3891" s="42" t="s">
        <v>763</v>
      </c>
      <c r="H3891" s="42" t="s">
        <v>151</v>
      </c>
      <c r="I3891" s="42" t="s">
        <v>893</v>
      </c>
    </row>
    <row r="3892" spans="1:9">
      <c r="A3892" s="42" t="s">
        <v>897</v>
      </c>
      <c r="B3892" s="42" t="s">
        <v>320</v>
      </c>
      <c r="C3892" s="42" t="s">
        <v>1048</v>
      </c>
      <c r="D3892" s="42" t="s">
        <v>183</v>
      </c>
      <c r="E3892" s="42" t="s">
        <v>808</v>
      </c>
      <c r="F3892" s="45">
        <v>291000000</v>
      </c>
      <c r="G3892" s="42" t="s">
        <v>763</v>
      </c>
      <c r="H3892" s="42" t="s">
        <v>151</v>
      </c>
      <c r="I3892" s="42" t="s">
        <v>893</v>
      </c>
    </row>
    <row r="3893" spans="1:9">
      <c r="A3893" s="42" t="s">
        <v>897</v>
      </c>
      <c r="B3893" s="42" t="s">
        <v>251</v>
      </c>
      <c r="C3893" s="42" t="s">
        <v>909</v>
      </c>
      <c r="D3893" s="42" t="s">
        <v>183</v>
      </c>
      <c r="E3893" s="42" t="s">
        <v>808</v>
      </c>
      <c r="F3893" s="45">
        <v>3000000</v>
      </c>
      <c r="G3893" s="42" t="s">
        <v>763</v>
      </c>
      <c r="H3893" s="42" t="s">
        <v>151</v>
      </c>
      <c r="I3893" s="42" t="s">
        <v>893</v>
      </c>
    </row>
    <row r="3894" spans="1:9">
      <c r="A3894" s="42" t="s">
        <v>897</v>
      </c>
      <c r="B3894" s="42" t="s">
        <v>321</v>
      </c>
      <c r="C3894" s="42" t="s">
        <v>1049</v>
      </c>
      <c r="D3894" s="42" t="s">
        <v>183</v>
      </c>
      <c r="E3894" s="42" t="s">
        <v>808</v>
      </c>
      <c r="F3894" s="45">
        <v>-4000000</v>
      </c>
      <c r="G3894" s="42" t="s">
        <v>763</v>
      </c>
      <c r="H3894" s="42" t="s">
        <v>151</v>
      </c>
      <c r="I3894" s="42" t="s">
        <v>893</v>
      </c>
    </row>
    <row r="3895" spans="1:9">
      <c r="A3895" s="42" t="s">
        <v>897</v>
      </c>
      <c r="B3895" s="42" t="s">
        <v>322</v>
      </c>
      <c r="C3895" s="42" t="s">
        <v>1078</v>
      </c>
      <c r="D3895" s="42" t="s">
        <v>183</v>
      </c>
      <c r="E3895" s="42" t="s">
        <v>808</v>
      </c>
      <c r="F3895" s="45">
        <v>-14000000</v>
      </c>
      <c r="G3895" s="42" t="s">
        <v>763</v>
      </c>
      <c r="H3895" s="42" t="s">
        <v>151</v>
      </c>
      <c r="I3895" s="42" t="s">
        <v>893</v>
      </c>
    </row>
    <row r="3896" spans="1:9">
      <c r="A3896" s="42" t="s">
        <v>897</v>
      </c>
      <c r="B3896" s="42" t="s">
        <v>293</v>
      </c>
      <c r="C3896" s="42" t="s">
        <v>912</v>
      </c>
      <c r="D3896" s="42" t="s">
        <v>183</v>
      </c>
      <c r="E3896" s="42" t="s">
        <v>808</v>
      </c>
      <c r="F3896" s="45">
        <v>-58000000</v>
      </c>
      <c r="G3896" s="42" t="s">
        <v>763</v>
      </c>
      <c r="H3896" s="42" t="s">
        <v>151</v>
      </c>
      <c r="I3896" s="42" t="s">
        <v>893</v>
      </c>
    </row>
    <row r="3897" spans="1:9">
      <c r="A3897" s="42" t="s">
        <v>897</v>
      </c>
      <c r="B3897" s="42" t="s">
        <v>292</v>
      </c>
      <c r="C3897" s="42" t="s">
        <v>913</v>
      </c>
      <c r="D3897" s="42" t="s">
        <v>183</v>
      </c>
      <c r="E3897" s="42" t="s">
        <v>808</v>
      </c>
      <c r="F3897" s="45">
        <v>1000000</v>
      </c>
      <c r="G3897" s="42" t="s">
        <v>763</v>
      </c>
      <c r="H3897" s="42" t="s">
        <v>151</v>
      </c>
      <c r="I3897" s="42" t="s">
        <v>893</v>
      </c>
    </row>
    <row r="3898" spans="1:9">
      <c r="A3898" s="42" t="s">
        <v>897</v>
      </c>
      <c r="B3898" s="42" t="s">
        <v>241</v>
      </c>
      <c r="C3898" s="42" t="s">
        <v>914</v>
      </c>
      <c r="D3898" s="42" t="s">
        <v>183</v>
      </c>
      <c r="E3898" s="42" t="s">
        <v>808</v>
      </c>
      <c r="F3898" s="45">
        <v>-5000000</v>
      </c>
      <c r="G3898" s="42" t="s">
        <v>763</v>
      </c>
      <c r="H3898" s="42" t="s">
        <v>151</v>
      </c>
      <c r="I3898" s="42" t="s">
        <v>893</v>
      </c>
    </row>
    <row r="3899" spans="1:9">
      <c r="A3899" s="42" t="s">
        <v>897</v>
      </c>
      <c r="B3899" s="42" t="s">
        <v>310</v>
      </c>
      <c r="C3899" s="42" t="s">
        <v>915</v>
      </c>
      <c r="D3899" s="42" t="s">
        <v>183</v>
      </c>
      <c r="E3899" s="42" t="s">
        <v>808</v>
      </c>
      <c r="F3899" s="45">
        <v>81000000</v>
      </c>
      <c r="G3899" s="42" t="s">
        <v>763</v>
      </c>
      <c r="H3899" s="42" t="s">
        <v>151</v>
      </c>
      <c r="I3899" s="42" t="s">
        <v>893</v>
      </c>
    </row>
    <row r="3900" spans="1:9">
      <c r="A3900" s="42" t="s">
        <v>897</v>
      </c>
      <c r="B3900" s="42" t="s">
        <v>305</v>
      </c>
      <c r="C3900" s="42" t="s">
        <v>916</v>
      </c>
      <c r="D3900" s="42" t="s">
        <v>183</v>
      </c>
      <c r="E3900" s="42" t="s">
        <v>808</v>
      </c>
      <c r="F3900" s="45">
        <v>123000000</v>
      </c>
      <c r="G3900" s="42" t="s">
        <v>763</v>
      </c>
      <c r="H3900" s="42" t="s">
        <v>151</v>
      </c>
      <c r="I3900" s="42" t="s">
        <v>893</v>
      </c>
    </row>
    <row r="3901" spans="1:9">
      <c r="A3901" s="42" t="s">
        <v>897</v>
      </c>
      <c r="B3901" s="42" t="s">
        <v>306</v>
      </c>
      <c r="C3901" s="42" t="s">
        <v>917</v>
      </c>
      <c r="D3901" s="42" t="s">
        <v>183</v>
      </c>
      <c r="E3901" s="42" t="s">
        <v>808</v>
      </c>
      <c r="F3901" s="45">
        <v>64000000</v>
      </c>
      <c r="G3901" s="42" t="s">
        <v>763</v>
      </c>
      <c r="H3901" s="42" t="s">
        <v>151</v>
      </c>
      <c r="I3901" s="42" t="s">
        <v>893</v>
      </c>
    </row>
    <row r="3902" spans="1:9">
      <c r="A3902" s="42" t="s">
        <v>897</v>
      </c>
      <c r="B3902" s="42" t="s">
        <v>309</v>
      </c>
      <c r="C3902" s="42" t="s">
        <v>918</v>
      </c>
      <c r="D3902" s="42" t="s">
        <v>183</v>
      </c>
      <c r="E3902" s="42" t="s">
        <v>808</v>
      </c>
      <c r="F3902" s="45">
        <v>-80000000</v>
      </c>
      <c r="G3902" s="42" t="s">
        <v>763</v>
      </c>
      <c r="H3902" s="42" t="s">
        <v>151</v>
      </c>
      <c r="I3902" s="42" t="s">
        <v>893</v>
      </c>
    </row>
    <row r="3903" spans="1:9">
      <c r="A3903" s="42" t="s">
        <v>897</v>
      </c>
      <c r="B3903" s="42" t="s">
        <v>325</v>
      </c>
      <c r="C3903" s="42" t="s">
        <v>919</v>
      </c>
      <c r="D3903" s="42" t="s">
        <v>183</v>
      </c>
      <c r="E3903" s="42" t="s">
        <v>808</v>
      </c>
      <c r="F3903" s="45">
        <v>-26000000</v>
      </c>
      <c r="G3903" s="42" t="s">
        <v>763</v>
      </c>
      <c r="H3903" s="42" t="s">
        <v>151</v>
      </c>
      <c r="I3903" s="42" t="s">
        <v>893</v>
      </c>
    </row>
    <row r="3904" spans="1:9">
      <c r="A3904" s="42" t="s">
        <v>897</v>
      </c>
      <c r="B3904" s="42" t="s">
        <v>242</v>
      </c>
      <c r="C3904" s="42" t="s">
        <v>920</v>
      </c>
      <c r="D3904" s="42" t="s">
        <v>183</v>
      </c>
      <c r="E3904" s="42" t="s">
        <v>808</v>
      </c>
      <c r="F3904" s="45">
        <v>-2000000</v>
      </c>
      <c r="G3904" s="42" t="s">
        <v>763</v>
      </c>
      <c r="H3904" s="42" t="s">
        <v>151</v>
      </c>
      <c r="I3904" s="42" t="s">
        <v>893</v>
      </c>
    </row>
    <row r="3905" spans="1:9">
      <c r="A3905" s="42" t="s">
        <v>897</v>
      </c>
      <c r="B3905" s="42" t="s">
        <v>302</v>
      </c>
      <c r="C3905" s="42" t="s">
        <v>921</v>
      </c>
      <c r="D3905" s="42" t="s">
        <v>183</v>
      </c>
      <c r="E3905" s="42" t="s">
        <v>808</v>
      </c>
      <c r="F3905" s="45">
        <v>63000000</v>
      </c>
      <c r="G3905" s="42" t="s">
        <v>763</v>
      </c>
      <c r="H3905" s="42" t="s">
        <v>151</v>
      </c>
      <c r="I3905" s="42" t="s">
        <v>893</v>
      </c>
    </row>
    <row r="3906" spans="1:9">
      <c r="A3906" s="42" t="s">
        <v>897</v>
      </c>
      <c r="B3906" s="42" t="s">
        <v>328</v>
      </c>
      <c r="C3906" s="42" t="s">
        <v>924</v>
      </c>
      <c r="D3906" s="42" t="s">
        <v>183</v>
      </c>
      <c r="E3906" s="42" t="s">
        <v>808</v>
      </c>
      <c r="F3906" s="45">
        <v>-24000000</v>
      </c>
      <c r="G3906" s="42" t="s">
        <v>763</v>
      </c>
      <c r="H3906" s="42" t="s">
        <v>151</v>
      </c>
      <c r="I3906" s="42" t="s">
        <v>893</v>
      </c>
    </row>
    <row r="3907" spans="1:9">
      <c r="A3907" s="42" t="s">
        <v>897</v>
      </c>
      <c r="B3907" s="42" t="s">
        <v>329</v>
      </c>
      <c r="C3907" s="42" t="s">
        <v>925</v>
      </c>
      <c r="D3907" s="42" t="s">
        <v>183</v>
      </c>
      <c r="E3907" s="42" t="s">
        <v>808</v>
      </c>
      <c r="F3907" s="45">
        <v>1865000000</v>
      </c>
      <c r="G3907" s="42" t="s">
        <v>763</v>
      </c>
      <c r="H3907" s="42" t="s">
        <v>151</v>
      </c>
      <c r="I3907" s="42" t="s">
        <v>893</v>
      </c>
    </row>
    <row r="3908" spans="1:9">
      <c r="A3908" s="42" t="s">
        <v>897</v>
      </c>
      <c r="B3908" s="42" t="s">
        <v>372</v>
      </c>
      <c r="C3908" s="42" t="s">
        <v>926</v>
      </c>
      <c r="D3908" s="42" t="s">
        <v>183</v>
      </c>
      <c r="E3908" s="42" t="s">
        <v>808</v>
      </c>
      <c r="F3908" s="45">
        <v>49000000</v>
      </c>
      <c r="G3908" s="42" t="s">
        <v>763</v>
      </c>
      <c r="H3908" s="42" t="s">
        <v>151</v>
      </c>
      <c r="I3908" s="42" t="s">
        <v>896</v>
      </c>
    </row>
    <row r="3909" spans="1:9">
      <c r="A3909" s="42" t="s">
        <v>897</v>
      </c>
      <c r="B3909" s="42" t="s">
        <v>373</v>
      </c>
      <c r="C3909" s="42" t="s">
        <v>1032</v>
      </c>
      <c r="D3909" s="42" t="s">
        <v>183</v>
      </c>
      <c r="E3909" s="42" t="s">
        <v>808</v>
      </c>
      <c r="F3909" s="45">
        <v>-145000000</v>
      </c>
      <c r="G3909" s="42" t="s">
        <v>763</v>
      </c>
      <c r="H3909" s="42" t="s">
        <v>151</v>
      </c>
      <c r="I3909" s="42" t="s">
        <v>896</v>
      </c>
    </row>
    <row r="3910" spans="1:9">
      <c r="A3910" s="42" t="s">
        <v>897</v>
      </c>
      <c r="B3910" s="42" t="s">
        <v>330</v>
      </c>
      <c r="C3910" s="42" t="s">
        <v>927</v>
      </c>
      <c r="D3910" s="42" t="s">
        <v>183</v>
      </c>
      <c r="E3910" s="42" t="s">
        <v>808</v>
      </c>
      <c r="F3910" s="45">
        <v>-1090000000</v>
      </c>
      <c r="G3910" s="42" t="s">
        <v>763</v>
      </c>
      <c r="H3910" s="42" t="s">
        <v>151</v>
      </c>
      <c r="I3910" s="42" t="s">
        <v>893</v>
      </c>
    </row>
    <row r="3911" spans="1:9">
      <c r="A3911" s="42" t="s">
        <v>897</v>
      </c>
      <c r="B3911" s="42" t="s">
        <v>331</v>
      </c>
      <c r="C3911" s="42" t="s">
        <v>1079</v>
      </c>
      <c r="D3911" s="42" t="s">
        <v>183</v>
      </c>
      <c r="E3911" s="42" t="s">
        <v>808</v>
      </c>
      <c r="F3911" s="45">
        <v>-4000000</v>
      </c>
      <c r="G3911" s="42" t="s">
        <v>763</v>
      </c>
      <c r="H3911" s="42" t="s">
        <v>151</v>
      </c>
      <c r="I3911" s="42" t="s">
        <v>893</v>
      </c>
    </row>
    <row r="3912" spans="1:9">
      <c r="A3912" s="42" t="s">
        <v>897</v>
      </c>
      <c r="B3912" s="42" t="s">
        <v>332</v>
      </c>
      <c r="C3912" s="42" t="s">
        <v>932</v>
      </c>
      <c r="D3912" s="42" t="s">
        <v>183</v>
      </c>
      <c r="E3912" s="42" t="s">
        <v>808</v>
      </c>
      <c r="F3912" s="45">
        <v>-34000000</v>
      </c>
      <c r="G3912" s="42" t="s">
        <v>763</v>
      </c>
      <c r="H3912" s="42" t="s">
        <v>151</v>
      </c>
      <c r="I3912" s="42" t="s">
        <v>893</v>
      </c>
    </row>
    <row r="3913" spans="1:9">
      <c r="A3913" s="42" t="s">
        <v>897</v>
      </c>
      <c r="B3913" s="42" t="s">
        <v>334</v>
      </c>
      <c r="C3913" s="42" t="s">
        <v>933</v>
      </c>
      <c r="D3913" s="42" t="s">
        <v>183</v>
      </c>
      <c r="E3913" s="42" t="s">
        <v>808</v>
      </c>
      <c r="F3913" s="45">
        <v>1000000</v>
      </c>
      <c r="G3913" s="42" t="s">
        <v>763</v>
      </c>
      <c r="H3913" s="42" t="s">
        <v>151</v>
      </c>
      <c r="I3913" s="42" t="s">
        <v>893</v>
      </c>
    </row>
    <row r="3914" spans="1:9">
      <c r="A3914" s="42" t="s">
        <v>897</v>
      </c>
      <c r="B3914" s="42" t="s">
        <v>335</v>
      </c>
      <c r="C3914" s="42" t="s">
        <v>1068</v>
      </c>
      <c r="D3914" s="42" t="s">
        <v>183</v>
      </c>
      <c r="E3914" s="42" t="s">
        <v>808</v>
      </c>
      <c r="F3914" s="45">
        <v>514000000</v>
      </c>
      <c r="G3914" s="42" t="s">
        <v>763</v>
      </c>
      <c r="H3914" s="42" t="s">
        <v>151</v>
      </c>
      <c r="I3914" s="42" t="s">
        <v>893</v>
      </c>
    </row>
    <row r="3915" spans="1:9">
      <c r="A3915" s="42" t="s">
        <v>897</v>
      </c>
      <c r="B3915" s="42" t="s">
        <v>336</v>
      </c>
      <c r="C3915" s="42" t="s">
        <v>938</v>
      </c>
      <c r="D3915" s="42" t="s">
        <v>183</v>
      </c>
      <c r="E3915" s="42" t="s">
        <v>808</v>
      </c>
      <c r="F3915" s="45">
        <v>-709000000</v>
      </c>
      <c r="G3915" s="42" t="s">
        <v>763</v>
      </c>
      <c r="H3915" s="42" t="s">
        <v>151</v>
      </c>
      <c r="I3915" s="42" t="s">
        <v>893</v>
      </c>
    </row>
    <row r="3916" spans="1:9">
      <c r="A3916" s="42" t="s">
        <v>897</v>
      </c>
      <c r="B3916" s="42" t="s">
        <v>337</v>
      </c>
      <c r="C3916" s="42" t="s">
        <v>991</v>
      </c>
      <c r="D3916" s="42" t="s">
        <v>183</v>
      </c>
      <c r="E3916" s="42" t="s">
        <v>808</v>
      </c>
      <c r="F3916" s="45">
        <v>-1173000000</v>
      </c>
      <c r="G3916" s="42" t="s">
        <v>763</v>
      </c>
      <c r="H3916" s="42" t="s">
        <v>151</v>
      </c>
      <c r="I3916" s="42" t="s">
        <v>893</v>
      </c>
    </row>
    <row r="3917" spans="1:9">
      <c r="A3917" s="42" t="s">
        <v>897</v>
      </c>
      <c r="B3917" s="42" t="s">
        <v>338</v>
      </c>
      <c r="C3917" s="42" t="s">
        <v>972</v>
      </c>
      <c r="D3917" s="42" t="s">
        <v>183</v>
      </c>
      <c r="E3917" s="42" t="s">
        <v>808</v>
      </c>
      <c r="F3917" s="45">
        <v>-257000000</v>
      </c>
      <c r="G3917" s="42" t="s">
        <v>763</v>
      </c>
      <c r="H3917" s="42" t="s">
        <v>151</v>
      </c>
      <c r="I3917" s="42" t="s">
        <v>893</v>
      </c>
    </row>
    <row r="3918" spans="1:9">
      <c r="A3918" s="42" t="s">
        <v>897</v>
      </c>
      <c r="B3918" s="42" t="s">
        <v>939</v>
      </c>
      <c r="C3918" s="42" t="s">
        <v>973</v>
      </c>
      <c r="D3918" s="42" t="s">
        <v>183</v>
      </c>
      <c r="E3918" s="42" t="s">
        <v>808</v>
      </c>
      <c r="F3918" s="45">
        <v>769000000</v>
      </c>
      <c r="G3918" s="42" t="s">
        <v>763</v>
      </c>
      <c r="H3918" s="42" t="s">
        <v>151</v>
      </c>
      <c r="I3918" s="42" t="s">
        <v>893</v>
      </c>
    </row>
    <row r="3919" spans="1:9">
      <c r="A3919" s="42" t="s">
        <v>897</v>
      </c>
      <c r="B3919" s="42" t="s">
        <v>340</v>
      </c>
      <c r="C3919" s="42" t="s">
        <v>1034</v>
      </c>
      <c r="D3919" s="42" t="s">
        <v>183</v>
      </c>
      <c r="E3919" s="42" t="s">
        <v>808</v>
      </c>
      <c r="F3919" s="45">
        <v>-3000000</v>
      </c>
      <c r="G3919" s="42" t="s">
        <v>763</v>
      </c>
      <c r="H3919" s="42" t="s">
        <v>151</v>
      </c>
      <c r="I3919" s="42" t="s">
        <v>893</v>
      </c>
    </row>
    <row r="3920" spans="1:9">
      <c r="A3920" s="42" t="s">
        <v>897</v>
      </c>
      <c r="B3920" s="42" t="s">
        <v>342</v>
      </c>
      <c r="C3920" s="42" t="s">
        <v>1014</v>
      </c>
      <c r="D3920" s="42" t="s">
        <v>183</v>
      </c>
      <c r="E3920" s="42" t="s">
        <v>808</v>
      </c>
      <c r="F3920" s="45">
        <v>-96000000</v>
      </c>
      <c r="G3920" s="42" t="s">
        <v>763</v>
      </c>
      <c r="H3920" s="42" t="s">
        <v>151</v>
      </c>
      <c r="I3920" s="42" t="s">
        <v>893</v>
      </c>
    </row>
    <row r="3921" spans="1:9">
      <c r="A3921" s="42" t="s">
        <v>897</v>
      </c>
      <c r="B3921" s="42" t="s">
        <v>343</v>
      </c>
      <c r="C3921" s="42" t="s">
        <v>1016</v>
      </c>
      <c r="D3921" s="42" t="s">
        <v>183</v>
      </c>
      <c r="E3921" s="42" t="s">
        <v>808</v>
      </c>
      <c r="F3921" s="45">
        <v>-27000000</v>
      </c>
      <c r="G3921" s="42" t="s">
        <v>763</v>
      </c>
      <c r="H3921" s="42" t="s">
        <v>151</v>
      </c>
      <c r="I3921" s="42" t="s">
        <v>893</v>
      </c>
    </row>
    <row r="3922" spans="1:9">
      <c r="A3922" s="42" t="s">
        <v>897</v>
      </c>
      <c r="B3922" s="42" t="s">
        <v>344</v>
      </c>
      <c r="C3922" s="42" t="s">
        <v>980</v>
      </c>
      <c r="D3922" s="42" t="s">
        <v>183</v>
      </c>
      <c r="E3922" s="42" t="s">
        <v>808</v>
      </c>
      <c r="F3922" s="45">
        <v>-787000000</v>
      </c>
      <c r="G3922" s="42" t="s">
        <v>763</v>
      </c>
      <c r="H3922" s="42" t="s">
        <v>151</v>
      </c>
      <c r="I3922" s="42" t="s">
        <v>893</v>
      </c>
    </row>
    <row r="3923" spans="1:9">
      <c r="A3923" s="42" t="s">
        <v>897</v>
      </c>
      <c r="B3923" s="42" t="s">
        <v>345</v>
      </c>
      <c r="C3923" s="42" t="s">
        <v>1035</v>
      </c>
      <c r="D3923" s="42" t="s">
        <v>183</v>
      </c>
      <c r="E3923" s="42" t="s">
        <v>808</v>
      </c>
      <c r="F3923" s="45">
        <v>24000000</v>
      </c>
      <c r="G3923" s="42" t="s">
        <v>763</v>
      </c>
      <c r="H3923" s="42" t="s">
        <v>151</v>
      </c>
      <c r="I3923" s="42" t="s">
        <v>893</v>
      </c>
    </row>
    <row r="3924" spans="1:9">
      <c r="A3924" s="42" t="s">
        <v>897</v>
      </c>
      <c r="B3924" s="42" t="s">
        <v>346</v>
      </c>
      <c r="C3924" s="42" t="s">
        <v>956</v>
      </c>
      <c r="D3924" s="42" t="s">
        <v>183</v>
      </c>
      <c r="E3924" s="42" t="s">
        <v>808</v>
      </c>
      <c r="F3924" s="45">
        <v>393000000</v>
      </c>
      <c r="G3924" s="42" t="s">
        <v>763</v>
      </c>
      <c r="H3924" s="42" t="s">
        <v>151</v>
      </c>
      <c r="I3924" s="42" t="s">
        <v>893</v>
      </c>
    </row>
    <row r="3925" spans="1:9">
      <c r="A3925" s="42" t="s">
        <v>897</v>
      </c>
      <c r="B3925" s="42" t="s">
        <v>347</v>
      </c>
      <c r="C3925" s="42" t="s">
        <v>981</v>
      </c>
      <c r="D3925" s="42" t="s">
        <v>183</v>
      </c>
      <c r="E3925" s="42" t="s">
        <v>808</v>
      </c>
      <c r="F3925" s="45">
        <v>933000000</v>
      </c>
      <c r="G3925" s="42" t="s">
        <v>763</v>
      </c>
      <c r="H3925" s="42" t="s">
        <v>151</v>
      </c>
      <c r="I3925" s="42" t="s">
        <v>893</v>
      </c>
    </row>
    <row r="3926" spans="1:9">
      <c r="A3926" s="42" t="s">
        <v>897</v>
      </c>
      <c r="B3926" s="42" t="s">
        <v>348</v>
      </c>
      <c r="C3926" s="42" t="s">
        <v>982</v>
      </c>
      <c r="D3926" s="42" t="s">
        <v>183</v>
      </c>
      <c r="E3926" s="42" t="s">
        <v>808</v>
      </c>
      <c r="F3926" s="45">
        <v>1326000000</v>
      </c>
      <c r="G3926" s="42" t="s">
        <v>763</v>
      </c>
      <c r="H3926" s="42" t="s">
        <v>151</v>
      </c>
      <c r="I3926" s="42" t="s">
        <v>893</v>
      </c>
    </row>
    <row r="3927" spans="1:9">
      <c r="A3927" s="42" t="s">
        <v>897</v>
      </c>
      <c r="B3927" s="42" t="s">
        <v>346</v>
      </c>
      <c r="C3927" s="42" t="s">
        <v>961</v>
      </c>
      <c r="D3927" s="42" t="s">
        <v>183</v>
      </c>
      <c r="E3927" s="42" t="s">
        <v>808</v>
      </c>
      <c r="F3927" s="45">
        <v>393000000</v>
      </c>
      <c r="G3927" s="42" t="s">
        <v>763</v>
      </c>
      <c r="H3927" s="42" t="s">
        <v>151</v>
      </c>
      <c r="I3927" s="42" t="s">
        <v>893</v>
      </c>
    </row>
    <row r="3928" spans="1:9">
      <c r="A3928" s="42" t="s">
        <v>897</v>
      </c>
      <c r="B3928" s="42" t="s">
        <v>313</v>
      </c>
      <c r="C3928" s="42" t="s">
        <v>994</v>
      </c>
      <c r="D3928" s="42" t="s">
        <v>184</v>
      </c>
      <c r="E3928" s="42" t="s">
        <v>808</v>
      </c>
      <c r="F3928" s="45">
        <v>1205000000</v>
      </c>
      <c r="G3928" s="42" t="s">
        <v>1001</v>
      </c>
      <c r="H3928" s="42" t="s">
        <v>1087</v>
      </c>
      <c r="I3928" s="42" t="s">
        <v>893</v>
      </c>
    </row>
    <row r="3929" spans="1:9">
      <c r="A3929" s="42" t="s">
        <v>897</v>
      </c>
      <c r="B3929" s="42" t="s">
        <v>201</v>
      </c>
      <c r="C3929" s="42" t="s">
        <v>966</v>
      </c>
      <c r="D3929" s="42" t="s">
        <v>184</v>
      </c>
      <c r="E3929" s="42" t="s">
        <v>808</v>
      </c>
      <c r="F3929" s="45">
        <v>-115000000</v>
      </c>
      <c r="G3929" s="42" t="s">
        <v>1001</v>
      </c>
      <c r="H3929" s="42" t="s">
        <v>1087</v>
      </c>
      <c r="I3929" s="42" t="s">
        <v>893</v>
      </c>
    </row>
    <row r="3930" spans="1:9">
      <c r="A3930" s="42" t="s">
        <v>897</v>
      </c>
      <c r="B3930" s="42" t="s">
        <v>314</v>
      </c>
      <c r="C3930" s="42" t="s">
        <v>900</v>
      </c>
      <c r="D3930" s="42" t="s">
        <v>184</v>
      </c>
      <c r="E3930" s="42" t="s">
        <v>808</v>
      </c>
      <c r="F3930" s="45">
        <v>788000000</v>
      </c>
      <c r="G3930" s="42" t="s">
        <v>1001</v>
      </c>
      <c r="H3930" s="42" t="s">
        <v>1087</v>
      </c>
      <c r="I3930" s="42" t="s">
        <v>893</v>
      </c>
    </row>
    <row r="3931" spans="1:9">
      <c r="A3931" s="42" t="s">
        <v>897</v>
      </c>
      <c r="B3931" s="42" t="s">
        <v>315</v>
      </c>
      <c r="C3931" s="42" t="s">
        <v>901</v>
      </c>
      <c r="D3931" s="42" t="s">
        <v>184</v>
      </c>
      <c r="E3931" s="42" t="s">
        <v>808</v>
      </c>
      <c r="F3931" s="45">
        <v>14000000</v>
      </c>
      <c r="G3931" s="42" t="s">
        <v>1001</v>
      </c>
      <c r="H3931" s="42" t="s">
        <v>1087</v>
      </c>
      <c r="I3931" s="42" t="s">
        <v>893</v>
      </c>
    </row>
    <row r="3932" spans="1:9">
      <c r="A3932" s="42" t="s">
        <v>897</v>
      </c>
      <c r="B3932" s="42" t="s">
        <v>316</v>
      </c>
      <c r="C3932" s="42" t="s">
        <v>1004</v>
      </c>
      <c r="D3932" s="42" t="s">
        <v>184</v>
      </c>
      <c r="E3932" s="42" t="s">
        <v>808</v>
      </c>
      <c r="F3932" s="45">
        <v>76000000</v>
      </c>
      <c r="G3932" s="42" t="s">
        <v>1001</v>
      </c>
      <c r="H3932" s="42" t="s">
        <v>1087</v>
      </c>
      <c r="I3932" s="42" t="s">
        <v>893</v>
      </c>
    </row>
    <row r="3933" spans="1:9">
      <c r="A3933" s="42" t="s">
        <v>897</v>
      </c>
      <c r="B3933" s="42" t="s">
        <v>317</v>
      </c>
      <c r="C3933" s="42" t="s">
        <v>967</v>
      </c>
      <c r="D3933" s="42" t="s">
        <v>184</v>
      </c>
      <c r="E3933" s="42" t="s">
        <v>808</v>
      </c>
      <c r="F3933" s="45">
        <v>92000000</v>
      </c>
      <c r="G3933" s="42" t="s">
        <v>1001</v>
      </c>
      <c r="H3933" s="42" t="s">
        <v>1087</v>
      </c>
      <c r="I3933" s="42" t="s">
        <v>893</v>
      </c>
    </row>
    <row r="3934" spans="1:9">
      <c r="A3934" s="42" t="s">
        <v>897</v>
      </c>
      <c r="B3934" s="42" t="s">
        <v>318</v>
      </c>
      <c r="C3934" s="42" t="s">
        <v>904</v>
      </c>
      <c r="D3934" s="42" t="s">
        <v>184</v>
      </c>
      <c r="E3934" s="42" t="s">
        <v>808</v>
      </c>
      <c r="F3934" s="45">
        <v>593000000</v>
      </c>
      <c r="G3934" s="42" t="s">
        <v>1001</v>
      </c>
      <c r="H3934" s="42" t="s">
        <v>1087</v>
      </c>
      <c r="I3934" s="42" t="s">
        <v>893</v>
      </c>
    </row>
    <row r="3935" spans="1:9">
      <c r="A3935" s="42" t="s">
        <v>897</v>
      </c>
      <c r="B3935" s="42" t="s">
        <v>319</v>
      </c>
      <c r="C3935" s="42" t="s">
        <v>907</v>
      </c>
      <c r="D3935" s="42" t="s">
        <v>184</v>
      </c>
      <c r="E3935" s="42" t="s">
        <v>808</v>
      </c>
      <c r="F3935" s="45">
        <v>75000000</v>
      </c>
      <c r="G3935" s="42" t="s">
        <v>1001</v>
      </c>
      <c r="H3935" s="42" t="s">
        <v>1087</v>
      </c>
      <c r="I3935" s="42" t="s">
        <v>893</v>
      </c>
    </row>
    <row r="3936" spans="1:9">
      <c r="A3936" s="42" t="s">
        <v>897</v>
      </c>
      <c r="B3936" s="42" t="s">
        <v>320</v>
      </c>
      <c r="C3936" s="42" t="s">
        <v>1048</v>
      </c>
      <c r="D3936" s="42" t="s">
        <v>184</v>
      </c>
      <c r="E3936" s="42" t="s">
        <v>808</v>
      </c>
      <c r="F3936" s="45">
        <v>45000000</v>
      </c>
      <c r="G3936" s="42" t="s">
        <v>1001</v>
      </c>
      <c r="H3936" s="42" t="s">
        <v>1087</v>
      </c>
      <c r="I3936" s="42" t="s">
        <v>893</v>
      </c>
    </row>
    <row r="3937" spans="1:9">
      <c r="A3937" s="42" t="s">
        <v>897</v>
      </c>
      <c r="B3937" s="42" t="s">
        <v>251</v>
      </c>
      <c r="C3937" s="42" t="s">
        <v>909</v>
      </c>
      <c r="D3937" s="42" t="s">
        <v>184</v>
      </c>
      <c r="E3937" s="42" t="s">
        <v>808</v>
      </c>
      <c r="F3937" s="45">
        <v>4000000</v>
      </c>
      <c r="G3937" s="42" t="s">
        <v>1001</v>
      </c>
      <c r="H3937" s="42" t="s">
        <v>1087</v>
      </c>
      <c r="I3937" s="42" t="s">
        <v>893</v>
      </c>
    </row>
    <row r="3938" spans="1:9">
      <c r="A3938" s="42" t="s">
        <v>897</v>
      </c>
      <c r="B3938" s="42" t="s">
        <v>321</v>
      </c>
      <c r="C3938" s="42" t="s">
        <v>1049</v>
      </c>
      <c r="D3938" s="42" t="s">
        <v>184</v>
      </c>
      <c r="E3938" s="42" t="s">
        <v>808</v>
      </c>
      <c r="F3938" s="45">
        <v>0</v>
      </c>
      <c r="G3938" s="42" t="s">
        <v>1001</v>
      </c>
      <c r="H3938" s="42" t="s">
        <v>1087</v>
      </c>
      <c r="I3938" s="42" t="s">
        <v>893</v>
      </c>
    </row>
    <row r="3939" spans="1:9">
      <c r="A3939" s="42" t="s">
        <v>897</v>
      </c>
      <c r="B3939" s="42" t="s">
        <v>322</v>
      </c>
      <c r="C3939" s="42" t="s">
        <v>1078</v>
      </c>
      <c r="D3939" s="42" t="s">
        <v>184</v>
      </c>
      <c r="E3939" s="42" t="s">
        <v>808</v>
      </c>
      <c r="F3939" s="45">
        <v>147000000</v>
      </c>
      <c r="G3939" s="42" t="s">
        <v>1001</v>
      </c>
      <c r="H3939" s="42" t="s">
        <v>1087</v>
      </c>
      <c r="I3939" s="42" t="s">
        <v>893</v>
      </c>
    </row>
    <row r="3940" spans="1:9">
      <c r="A3940" s="42" t="s">
        <v>897</v>
      </c>
      <c r="B3940" s="42" t="s">
        <v>293</v>
      </c>
      <c r="C3940" s="42" t="s">
        <v>912</v>
      </c>
      <c r="D3940" s="42" t="s">
        <v>184</v>
      </c>
      <c r="E3940" s="42" t="s">
        <v>808</v>
      </c>
      <c r="F3940" s="45">
        <v>-330000000</v>
      </c>
      <c r="G3940" s="42" t="s">
        <v>1001</v>
      </c>
      <c r="H3940" s="42" t="s">
        <v>1087</v>
      </c>
      <c r="I3940" s="42" t="s">
        <v>893</v>
      </c>
    </row>
    <row r="3941" spans="1:9">
      <c r="A3941" s="42" t="s">
        <v>897</v>
      </c>
      <c r="B3941" s="42" t="s">
        <v>292</v>
      </c>
      <c r="C3941" s="42" t="s">
        <v>913</v>
      </c>
      <c r="D3941" s="42" t="s">
        <v>184</v>
      </c>
      <c r="E3941" s="42" t="s">
        <v>808</v>
      </c>
      <c r="F3941" s="45">
        <v>115000000</v>
      </c>
      <c r="G3941" s="42" t="s">
        <v>1001</v>
      </c>
      <c r="H3941" s="42" t="s">
        <v>1087</v>
      </c>
      <c r="I3941" s="42" t="s">
        <v>893</v>
      </c>
    </row>
    <row r="3942" spans="1:9">
      <c r="A3942" s="42" t="s">
        <v>897</v>
      </c>
      <c r="B3942" s="42" t="s">
        <v>241</v>
      </c>
      <c r="C3942" s="42" t="s">
        <v>914</v>
      </c>
      <c r="D3942" s="42" t="s">
        <v>184</v>
      </c>
      <c r="E3942" s="42" t="s">
        <v>808</v>
      </c>
      <c r="F3942" s="45">
        <v>-200000000</v>
      </c>
      <c r="G3942" s="42" t="s">
        <v>1001</v>
      </c>
      <c r="H3942" s="42" t="s">
        <v>1087</v>
      </c>
      <c r="I3942" s="42" t="s">
        <v>893</v>
      </c>
    </row>
    <row r="3943" spans="1:9">
      <c r="A3943" s="42" t="s">
        <v>897</v>
      </c>
      <c r="B3943" s="42" t="s">
        <v>310</v>
      </c>
      <c r="C3943" s="42" t="s">
        <v>915</v>
      </c>
      <c r="D3943" s="42" t="s">
        <v>184</v>
      </c>
      <c r="E3943" s="42" t="s">
        <v>808</v>
      </c>
      <c r="F3943" s="45">
        <v>-406000000</v>
      </c>
      <c r="G3943" s="42" t="s">
        <v>1001</v>
      </c>
      <c r="H3943" s="42" t="s">
        <v>1087</v>
      </c>
      <c r="I3943" s="42" t="s">
        <v>893</v>
      </c>
    </row>
    <row r="3944" spans="1:9">
      <c r="A3944" s="42" t="s">
        <v>897</v>
      </c>
      <c r="B3944" s="42" t="s">
        <v>305</v>
      </c>
      <c r="C3944" s="42" t="s">
        <v>916</v>
      </c>
      <c r="D3944" s="42" t="s">
        <v>184</v>
      </c>
      <c r="E3944" s="42" t="s">
        <v>808</v>
      </c>
      <c r="F3944" s="45">
        <v>59000000</v>
      </c>
      <c r="G3944" s="42" t="s">
        <v>1001</v>
      </c>
      <c r="H3944" s="42" t="s">
        <v>1087</v>
      </c>
      <c r="I3944" s="42" t="s">
        <v>893</v>
      </c>
    </row>
    <row r="3945" spans="1:9">
      <c r="A3945" s="42" t="s">
        <v>897</v>
      </c>
      <c r="B3945" s="42" t="s">
        <v>306</v>
      </c>
      <c r="C3945" s="42" t="s">
        <v>917</v>
      </c>
      <c r="D3945" s="42" t="s">
        <v>184</v>
      </c>
      <c r="E3945" s="42" t="s">
        <v>808</v>
      </c>
      <c r="F3945" s="45">
        <v>-24000000</v>
      </c>
      <c r="G3945" s="42" t="s">
        <v>1001</v>
      </c>
      <c r="H3945" s="42" t="s">
        <v>1087</v>
      </c>
      <c r="I3945" s="42" t="s">
        <v>893</v>
      </c>
    </row>
    <row r="3946" spans="1:9">
      <c r="A3946" s="42" t="s">
        <v>897</v>
      </c>
      <c r="B3946" s="42" t="s">
        <v>309</v>
      </c>
      <c r="C3946" s="42" t="s">
        <v>918</v>
      </c>
      <c r="D3946" s="42" t="s">
        <v>184</v>
      </c>
      <c r="E3946" s="42" t="s">
        <v>808</v>
      </c>
      <c r="F3946" s="45">
        <v>56000000</v>
      </c>
      <c r="G3946" s="42" t="s">
        <v>1001</v>
      </c>
      <c r="H3946" s="42" t="s">
        <v>1087</v>
      </c>
      <c r="I3946" s="42" t="s">
        <v>893</v>
      </c>
    </row>
    <row r="3947" spans="1:9">
      <c r="A3947" s="42" t="s">
        <v>897</v>
      </c>
      <c r="B3947" s="42" t="s">
        <v>325</v>
      </c>
      <c r="C3947" s="42" t="s">
        <v>919</v>
      </c>
      <c r="D3947" s="42" t="s">
        <v>184</v>
      </c>
      <c r="E3947" s="42" t="s">
        <v>808</v>
      </c>
      <c r="F3947" s="45">
        <v>-32000000</v>
      </c>
      <c r="G3947" s="42" t="s">
        <v>1001</v>
      </c>
      <c r="H3947" s="42" t="s">
        <v>1087</v>
      </c>
      <c r="I3947" s="42" t="s">
        <v>893</v>
      </c>
    </row>
    <row r="3948" spans="1:9">
      <c r="A3948" s="42" t="s">
        <v>897</v>
      </c>
      <c r="B3948" s="42" t="s">
        <v>242</v>
      </c>
      <c r="C3948" s="42" t="s">
        <v>920</v>
      </c>
      <c r="D3948" s="42" t="s">
        <v>184</v>
      </c>
      <c r="E3948" s="42" t="s">
        <v>808</v>
      </c>
      <c r="F3948" s="45">
        <v>-2000000</v>
      </c>
      <c r="G3948" s="42" t="s">
        <v>1001</v>
      </c>
      <c r="H3948" s="42" t="s">
        <v>1087</v>
      </c>
      <c r="I3948" s="42" t="s">
        <v>893</v>
      </c>
    </row>
    <row r="3949" spans="1:9">
      <c r="A3949" s="42" t="s">
        <v>897</v>
      </c>
      <c r="B3949" s="42" t="s">
        <v>302</v>
      </c>
      <c r="C3949" s="42" t="s">
        <v>921</v>
      </c>
      <c r="D3949" s="42" t="s">
        <v>184</v>
      </c>
      <c r="E3949" s="42" t="s">
        <v>808</v>
      </c>
      <c r="F3949" s="45">
        <v>71000000</v>
      </c>
      <c r="G3949" s="42" t="s">
        <v>1001</v>
      </c>
      <c r="H3949" s="42" t="s">
        <v>1087</v>
      </c>
      <c r="I3949" s="42" t="s">
        <v>893</v>
      </c>
    </row>
    <row r="3950" spans="1:9">
      <c r="A3950" s="42" t="s">
        <v>897</v>
      </c>
      <c r="B3950" s="42" t="s">
        <v>328</v>
      </c>
      <c r="C3950" s="42" t="s">
        <v>924</v>
      </c>
      <c r="D3950" s="42" t="s">
        <v>184</v>
      </c>
      <c r="E3950" s="42" t="s">
        <v>808</v>
      </c>
      <c r="F3950" s="45">
        <v>-10000000</v>
      </c>
      <c r="G3950" s="42" t="s">
        <v>1001</v>
      </c>
      <c r="H3950" s="42" t="s">
        <v>1087</v>
      </c>
      <c r="I3950" s="42" t="s">
        <v>893</v>
      </c>
    </row>
    <row r="3951" spans="1:9">
      <c r="A3951" s="42" t="s">
        <v>897</v>
      </c>
      <c r="B3951" s="42" t="s">
        <v>329</v>
      </c>
      <c r="C3951" s="42" t="s">
        <v>925</v>
      </c>
      <c r="D3951" s="42" t="s">
        <v>184</v>
      </c>
      <c r="E3951" s="42" t="s">
        <v>808</v>
      </c>
      <c r="F3951" s="45">
        <v>2372000000</v>
      </c>
      <c r="G3951" s="42" t="s">
        <v>1001</v>
      </c>
      <c r="H3951" s="42" t="s">
        <v>1087</v>
      </c>
      <c r="I3951" s="42" t="s">
        <v>893</v>
      </c>
    </row>
    <row r="3952" spans="1:9">
      <c r="A3952" s="42" t="s">
        <v>897</v>
      </c>
      <c r="B3952" s="42" t="s">
        <v>330</v>
      </c>
      <c r="C3952" s="42" t="s">
        <v>927</v>
      </c>
      <c r="D3952" s="42" t="s">
        <v>184</v>
      </c>
      <c r="E3952" s="42" t="s">
        <v>808</v>
      </c>
      <c r="F3952" s="45">
        <v>-1127000000</v>
      </c>
      <c r="G3952" s="42" t="s">
        <v>1001</v>
      </c>
      <c r="H3952" s="42" t="s">
        <v>1087</v>
      </c>
      <c r="I3952" s="42" t="s">
        <v>893</v>
      </c>
    </row>
    <row r="3953" spans="1:9">
      <c r="A3953" s="42" t="s">
        <v>897</v>
      </c>
      <c r="B3953" s="42" t="s">
        <v>331</v>
      </c>
      <c r="C3953" s="42" t="s">
        <v>1079</v>
      </c>
      <c r="D3953" s="42" t="s">
        <v>184</v>
      </c>
      <c r="E3953" s="42" t="s">
        <v>808</v>
      </c>
      <c r="F3953" s="45">
        <v>-4000000</v>
      </c>
      <c r="G3953" s="42" t="s">
        <v>1001</v>
      </c>
      <c r="H3953" s="42" t="s">
        <v>1087</v>
      </c>
      <c r="I3953" s="42" t="s">
        <v>893</v>
      </c>
    </row>
    <row r="3954" spans="1:9">
      <c r="A3954" s="42" t="s">
        <v>897</v>
      </c>
      <c r="B3954" s="42" t="s">
        <v>332</v>
      </c>
      <c r="C3954" s="42" t="s">
        <v>932</v>
      </c>
      <c r="D3954" s="42" t="s">
        <v>184</v>
      </c>
      <c r="E3954" s="42" t="s">
        <v>808</v>
      </c>
      <c r="F3954" s="45">
        <v>-202000000</v>
      </c>
      <c r="G3954" s="42" t="s">
        <v>1001</v>
      </c>
      <c r="H3954" s="42" t="s">
        <v>1087</v>
      </c>
      <c r="I3954" s="42" t="s">
        <v>893</v>
      </c>
    </row>
    <row r="3955" spans="1:9">
      <c r="A3955" s="42" t="s">
        <v>897</v>
      </c>
      <c r="B3955" s="42" t="s">
        <v>334</v>
      </c>
      <c r="C3955" s="42" t="s">
        <v>933</v>
      </c>
      <c r="D3955" s="42" t="s">
        <v>184</v>
      </c>
      <c r="E3955" s="42" t="s">
        <v>808</v>
      </c>
      <c r="F3955" s="45">
        <v>1000000</v>
      </c>
      <c r="G3955" s="42" t="s">
        <v>1001</v>
      </c>
      <c r="H3955" s="42" t="s">
        <v>1087</v>
      </c>
      <c r="I3955" s="42" t="s">
        <v>893</v>
      </c>
    </row>
    <row r="3956" spans="1:9">
      <c r="A3956" s="42" t="s">
        <v>897</v>
      </c>
      <c r="B3956" s="42" t="s">
        <v>335</v>
      </c>
      <c r="C3956" s="42" t="s">
        <v>1068</v>
      </c>
      <c r="D3956" s="42" t="s">
        <v>184</v>
      </c>
      <c r="E3956" s="42" t="s">
        <v>808</v>
      </c>
      <c r="F3956" s="45">
        <v>54000000</v>
      </c>
      <c r="G3956" s="42" t="s">
        <v>1001</v>
      </c>
      <c r="H3956" s="42" t="s">
        <v>1087</v>
      </c>
      <c r="I3956" s="42" t="s">
        <v>893</v>
      </c>
    </row>
    <row r="3957" spans="1:9">
      <c r="A3957" s="42" t="s">
        <v>897</v>
      </c>
      <c r="B3957" s="42" t="s">
        <v>336</v>
      </c>
      <c r="C3957" s="42" t="s">
        <v>938</v>
      </c>
      <c r="D3957" s="42" t="s">
        <v>184</v>
      </c>
      <c r="E3957" s="42" t="s">
        <v>808</v>
      </c>
      <c r="F3957" s="45">
        <v>-2031000000</v>
      </c>
      <c r="G3957" s="42" t="s">
        <v>1001</v>
      </c>
      <c r="H3957" s="42" t="s">
        <v>1087</v>
      </c>
      <c r="I3957" s="42" t="s">
        <v>893</v>
      </c>
    </row>
    <row r="3958" spans="1:9">
      <c r="A3958" s="42" t="s">
        <v>897</v>
      </c>
      <c r="B3958" s="42" t="s">
        <v>337</v>
      </c>
      <c r="C3958" s="42" t="s">
        <v>991</v>
      </c>
      <c r="D3958" s="42" t="s">
        <v>184</v>
      </c>
      <c r="E3958" s="42" t="s">
        <v>808</v>
      </c>
      <c r="F3958" s="45">
        <v>-400000000</v>
      </c>
      <c r="G3958" s="42" t="s">
        <v>1001</v>
      </c>
      <c r="H3958" s="42" t="s">
        <v>1087</v>
      </c>
      <c r="I3958" s="42" t="s">
        <v>893</v>
      </c>
    </row>
    <row r="3959" spans="1:9">
      <c r="A3959" s="42" t="s">
        <v>897</v>
      </c>
      <c r="B3959" s="42" t="s">
        <v>338</v>
      </c>
      <c r="C3959" s="42" t="s">
        <v>972</v>
      </c>
      <c r="D3959" s="42" t="s">
        <v>184</v>
      </c>
      <c r="E3959" s="42" t="s">
        <v>808</v>
      </c>
      <c r="F3959" s="45">
        <v>-115000000</v>
      </c>
      <c r="G3959" s="42" t="s">
        <v>1001</v>
      </c>
      <c r="H3959" s="42" t="s">
        <v>1087</v>
      </c>
      <c r="I3959" s="42" t="s">
        <v>893</v>
      </c>
    </row>
    <row r="3960" spans="1:9">
      <c r="A3960" s="42" t="s">
        <v>897</v>
      </c>
      <c r="B3960" s="42" t="s">
        <v>939</v>
      </c>
      <c r="C3960" s="42" t="s">
        <v>973</v>
      </c>
      <c r="D3960" s="42" t="s">
        <v>184</v>
      </c>
      <c r="E3960" s="42" t="s">
        <v>808</v>
      </c>
      <c r="F3960" s="45">
        <v>341000000</v>
      </c>
      <c r="G3960" s="42" t="s">
        <v>1001</v>
      </c>
      <c r="H3960" s="42" t="s">
        <v>1087</v>
      </c>
      <c r="I3960" s="42" t="s">
        <v>893</v>
      </c>
    </row>
    <row r="3961" spans="1:9">
      <c r="A3961" s="42" t="s">
        <v>897</v>
      </c>
      <c r="B3961" s="42" t="s">
        <v>340</v>
      </c>
      <c r="C3961" s="42" t="s">
        <v>1034</v>
      </c>
      <c r="D3961" s="42" t="s">
        <v>184</v>
      </c>
      <c r="E3961" s="42" t="s">
        <v>808</v>
      </c>
      <c r="F3961" s="45">
        <v>0</v>
      </c>
      <c r="G3961" s="42" t="s">
        <v>1001</v>
      </c>
      <c r="H3961" s="42" t="s">
        <v>1087</v>
      </c>
      <c r="I3961" s="42" t="s">
        <v>893</v>
      </c>
    </row>
    <row r="3962" spans="1:9">
      <c r="A3962" s="42" t="s">
        <v>897</v>
      </c>
      <c r="B3962" s="42" t="s">
        <v>342</v>
      </c>
      <c r="C3962" s="42" t="s">
        <v>1014</v>
      </c>
      <c r="D3962" s="42" t="s">
        <v>184</v>
      </c>
      <c r="E3962" s="42" t="s">
        <v>808</v>
      </c>
      <c r="F3962" s="45">
        <v>-98000000</v>
      </c>
      <c r="G3962" s="42" t="s">
        <v>1001</v>
      </c>
      <c r="H3962" s="42" t="s">
        <v>1087</v>
      </c>
      <c r="I3962" s="42" t="s">
        <v>893</v>
      </c>
    </row>
    <row r="3963" spans="1:9">
      <c r="A3963" s="42" t="s">
        <v>897</v>
      </c>
      <c r="B3963" s="42" t="s">
        <v>343</v>
      </c>
      <c r="C3963" s="42" t="s">
        <v>1016</v>
      </c>
      <c r="D3963" s="42" t="s">
        <v>184</v>
      </c>
      <c r="E3963" s="42" t="s">
        <v>808</v>
      </c>
      <c r="F3963" s="45">
        <v>-29000000</v>
      </c>
      <c r="G3963" s="42" t="s">
        <v>1001</v>
      </c>
      <c r="H3963" s="42" t="s">
        <v>1087</v>
      </c>
      <c r="I3963" s="42" t="s">
        <v>893</v>
      </c>
    </row>
    <row r="3964" spans="1:9">
      <c r="A3964" s="42" t="s">
        <v>897</v>
      </c>
      <c r="B3964" s="42" t="s">
        <v>344</v>
      </c>
      <c r="C3964" s="42" t="s">
        <v>980</v>
      </c>
      <c r="D3964" s="42" t="s">
        <v>184</v>
      </c>
      <c r="E3964" s="42" t="s">
        <v>808</v>
      </c>
      <c r="F3964" s="45">
        <v>-328000000</v>
      </c>
      <c r="G3964" s="42" t="s">
        <v>1001</v>
      </c>
      <c r="H3964" s="42" t="s">
        <v>1087</v>
      </c>
      <c r="I3964" s="42" t="s">
        <v>893</v>
      </c>
    </row>
    <row r="3965" spans="1:9">
      <c r="A3965" s="42" t="s">
        <v>897</v>
      </c>
      <c r="B3965" s="42" t="s">
        <v>345</v>
      </c>
      <c r="C3965" s="42" t="s">
        <v>1035</v>
      </c>
      <c r="D3965" s="42" t="s">
        <v>184</v>
      </c>
      <c r="E3965" s="42" t="s">
        <v>808</v>
      </c>
      <c r="F3965" s="45">
        <v>-21000000</v>
      </c>
      <c r="G3965" s="42" t="s">
        <v>1001</v>
      </c>
      <c r="H3965" s="42" t="s">
        <v>1087</v>
      </c>
      <c r="I3965" s="42" t="s">
        <v>893</v>
      </c>
    </row>
    <row r="3966" spans="1:9">
      <c r="A3966" s="42" t="s">
        <v>897</v>
      </c>
      <c r="B3966" s="42" t="s">
        <v>346</v>
      </c>
      <c r="C3966" s="42" t="s">
        <v>956</v>
      </c>
      <c r="D3966" s="42" t="s">
        <v>184</v>
      </c>
      <c r="E3966" s="42" t="s">
        <v>808</v>
      </c>
      <c r="F3966" s="45">
        <v>-8000000</v>
      </c>
      <c r="G3966" s="42" t="s">
        <v>1001</v>
      </c>
      <c r="H3966" s="42" t="s">
        <v>1087</v>
      </c>
      <c r="I3966" s="42" t="s">
        <v>893</v>
      </c>
    </row>
    <row r="3967" spans="1:9">
      <c r="A3967" s="42" t="s">
        <v>897</v>
      </c>
      <c r="B3967" s="42" t="s">
        <v>347</v>
      </c>
      <c r="C3967" s="42" t="s">
        <v>981</v>
      </c>
      <c r="D3967" s="42" t="s">
        <v>184</v>
      </c>
      <c r="E3967" s="42" t="s">
        <v>808</v>
      </c>
      <c r="F3967" s="45">
        <v>1326000000</v>
      </c>
      <c r="G3967" s="42" t="s">
        <v>1039</v>
      </c>
      <c r="H3967" s="42" t="s">
        <v>151</v>
      </c>
      <c r="I3967" s="42" t="s">
        <v>893</v>
      </c>
    </row>
    <row r="3968" spans="1:9">
      <c r="A3968" s="42" t="s">
        <v>897</v>
      </c>
      <c r="B3968" s="42" t="s">
        <v>348</v>
      </c>
      <c r="C3968" s="42" t="s">
        <v>982</v>
      </c>
      <c r="D3968" s="42" t="s">
        <v>184</v>
      </c>
      <c r="E3968" s="42" t="s">
        <v>808</v>
      </c>
      <c r="F3968" s="45">
        <v>1318000000</v>
      </c>
      <c r="G3968" s="42" t="s">
        <v>985</v>
      </c>
      <c r="H3968" s="42" t="s">
        <v>153</v>
      </c>
      <c r="I3968" s="42" t="s">
        <v>893</v>
      </c>
    </row>
    <row r="3969" spans="1:9">
      <c r="A3969" s="42" t="s">
        <v>897</v>
      </c>
      <c r="B3969" s="42" t="s">
        <v>346</v>
      </c>
      <c r="C3969" s="42" t="s">
        <v>961</v>
      </c>
      <c r="D3969" s="42" t="s">
        <v>184</v>
      </c>
      <c r="E3969" s="42" t="s">
        <v>808</v>
      </c>
      <c r="F3969" s="45">
        <v>-8000000</v>
      </c>
      <c r="G3969" s="42" t="s">
        <v>1001</v>
      </c>
      <c r="H3969" s="42" t="s">
        <v>1087</v>
      </c>
      <c r="I3969" s="42" t="s">
        <v>893</v>
      </c>
    </row>
    <row r="3970" spans="1:9">
      <c r="A3970" s="42" t="s">
        <v>1088</v>
      </c>
      <c r="B3970" s="42" t="s">
        <v>192</v>
      </c>
      <c r="C3970" s="42" t="s">
        <v>1089</v>
      </c>
      <c r="D3970" s="42" t="s">
        <v>761</v>
      </c>
      <c r="E3970" s="42" t="s">
        <v>762</v>
      </c>
      <c r="F3970" s="45">
        <v>14248068301.47066</v>
      </c>
      <c r="G3970" s="42" t="s">
        <v>763</v>
      </c>
      <c r="H3970" s="42" t="s">
        <v>80</v>
      </c>
      <c r="I3970" s="42" t="s">
        <v>893</v>
      </c>
    </row>
    <row r="3971" spans="1:9">
      <c r="A3971" s="42" t="s">
        <v>1088</v>
      </c>
      <c r="B3971" s="42" t="s">
        <v>193</v>
      </c>
      <c r="C3971" s="42" t="s">
        <v>1090</v>
      </c>
      <c r="D3971" s="42" t="s">
        <v>761</v>
      </c>
      <c r="E3971" s="42" t="s">
        <v>762</v>
      </c>
      <c r="F3971" s="45">
        <v>-12023986207.15827</v>
      </c>
      <c r="G3971" s="42" t="s">
        <v>763</v>
      </c>
      <c r="H3971" s="42" t="s">
        <v>80</v>
      </c>
      <c r="I3971" s="42" t="s">
        <v>893</v>
      </c>
    </row>
    <row r="3972" spans="1:9">
      <c r="A3972" s="42" t="s">
        <v>1088</v>
      </c>
      <c r="B3972" s="42" t="s">
        <v>194</v>
      </c>
      <c r="C3972" s="42" t="s">
        <v>1091</v>
      </c>
      <c r="D3972" s="42" t="s">
        <v>761</v>
      </c>
      <c r="E3972" s="42" t="s">
        <v>762</v>
      </c>
      <c r="F3972" s="45">
        <v>2224082094.312383</v>
      </c>
      <c r="G3972" s="42" t="s">
        <v>763</v>
      </c>
      <c r="H3972" s="42" t="s">
        <v>80</v>
      </c>
      <c r="I3972" s="42" t="s">
        <v>893</v>
      </c>
    </row>
    <row r="3973" spans="1:9">
      <c r="A3973" s="42" t="s">
        <v>1088</v>
      </c>
      <c r="B3973" s="42" t="s">
        <v>195</v>
      </c>
      <c r="C3973" s="42" t="s">
        <v>1092</v>
      </c>
      <c r="D3973" s="42" t="s">
        <v>761</v>
      </c>
      <c r="E3973" s="42" t="s">
        <v>762</v>
      </c>
      <c r="F3973" s="45">
        <v>-1031611684.921331</v>
      </c>
      <c r="G3973" s="42" t="s">
        <v>763</v>
      </c>
      <c r="H3973" s="42" t="s">
        <v>80</v>
      </c>
      <c r="I3973" s="42" t="s">
        <v>893</v>
      </c>
    </row>
    <row r="3974" spans="1:9">
      <c r="A3974" s="42" t="s">
        <v>1088</v>
      </c>
      <c r="B3974" s="42" t="s">
        <v>196</v>
      </c>
      <c r="C3974" s="42" t="s">
        <v>1093</v>
      </c>
      <c r="D3974" s="42" t="s">
        <v>761</v>
      </c>
      <c r="E3974" s="42" t="s">
        <v>762</v>
      </c>
      <c r="F3974" s="45">
        <v>-483254329.9204183</v>
      </c>
      <c r="G3974" s="42" t="s">
        <v>763</v>
      </c>
      <c r="H3974" s="42" t="s">
        <v>80</v>
      </c>
      <c r="I3974" s="42" t="s">
        <v>893</v>
      </c>
    </row>
    <row r="3975" spans="1:9">
      <c r="A3975" s="42" t="s">
        <v>1088</v>
      </c>
      <c r="B3975" s="42" t="s">
        <v>197</v>
      </c>
      <c r="C3975" s="42" t="s">
        <v>1094</v>
      </c>
      <c r="D3975" s="42" t="s">
        <v>761</v>
      </c>
      <c r="E3975" s="42" t="s">
        <v>762</v>
      </c>
      <c r="F3975" s="45">
        <v>-213958379.3009991</v>
      </c>
      <c r="G3975" s="42" t="s">
        <v>763</v>
      </c>
      <c r="H3975" s="42" t="s">
        <v>80</v>
      </c>
      <c r="I3975" s="42" t="s">
        <v>893</v>
      </c>
    </row>
    <row r="3976" spans="1:9">
      <c r="A3976" s="42" t="s">
        <v>1088</v>
      </c>
      <c r="B3976" s="42" t="s">
        <v>1095</v>
      </c>
      <c r="C3976" s="42" t="s">
        <v>1096</v>
      </c>
      <c r="D3976" s="42" t="s">
        <v>761</v>
      </c>
      <c r="E3976" s="42" t="s">
        <v>762</v>
      </c>
      <c r="F3976" s="45">
        <v>-2369682297.278863</v>
      </c>
      <c r="G3976" s="42" t="s">
        <v>763</v>
      </c>
      <c r="H3976" s="42" t="s">
        <v>80</v>
      </c>
      <c r="I3976" s="42" t="s">
        <v>764</v>
      </c>
    </row>
    <row r="3977" spans="1:9">
      <c r="A3977" s="42" t="s">
        <v>1088</v>
      </c>
      <c r="B3977" s="42" t="s">
        <v>199</v>
      </c>
      <c r="C3977" s="42" t="s">
        <v>1097</v>
      </c>
      <c r="D3977" s="42" t="s">
        <v>761</v>
      </c>
      <c r="E3977" s="42" t="s">
        <v>762</v>
      </c>
      <c r="F3977" s="45">
        <v>230166319.9199972</v>
      </c>
      <c r="G3977" s="42" t="s">
        <v>763</v>
      </c>
      <c r="H3977" s="42" t="s">
        <v>80</v>
      </c>
      <c r="I3977" s="42" t="s">
        <v>893</v>
      </c>
    </row>
    <row r="3978" spans="1:9">
      <c r="A3978" s="42" t="s">
        <v>1088</v>
      </c>
      <c r="B3978" s="42" t="s">
        <v>200</v>
      </c>
      <c r="C3978" s="42" t="s">
        <v>1098</v>
      </c>
      <c r="D3978" s="42" t="s">
        <v>761</v>
      </c>
      <c r="E3978" s="42" t="s">
        <v>762</v>
      </c>
      <c r="F3978" s="45">
        <v>-1644258277.189231</v>
      </c>
      <c r="G3978" s="42" t="s">
        <v>763</v>
      </c>
      <c r="H3978" s="42" t="s">
        <v>80</v>
      </c>
      <c r="I3978" s="42" t="s">
        <v>893</v>
      </c>
    </row>
    <row r="3979" spans="1:9">
      <c r="A3979" s="42" t="s">
        <v>1088</v>
      </c>
      <c r="B3979" s="42" t="s">
        <v>201</v>
      </c>
      <c r="C3979" s="42" t="s">
        <v>1099</v>
      </c>
      <c r="D3979" s="42" t="s">
        <v>761</v>
      </c>
      <c r="E3979" s="42" t="s">
        <v>762</v>
      </c>
      <c r="F3979" s="45">
        <v>39875602.86180269</v>
      </c>
      <c r="G3979" s="42" t="s">
        <v>763</v>
      </c>
      <c r="H3979" s="42" t="s">
        <v>80</v>
      </c>
      <c r="I3979" s="42" t="s">
        <v>893</v>
      </c>
    </row>
    <row r="3980" spans="1:9">
      <c r="A3980" s="42" t="s">
        <v>1088</v>
      </c>
      <c r="B3980" s="42" t="s">
        <v>202</v>
      </c>
      <c r="C3980" s="42" t="s">
        <v>1100</v>
      </c>
      <c r="D3980" s="42" t="s">
        <v>761</v>
      </c>
      <c r="E3980" s="42" t="s">
        <v>762</v>
      </c>
      <c r="F3980" s="45">
        <v>1136522497.212502</v>
      </c>
      <c r="G3980" s="42" t="s">
        <v>763</v>
      </c>
      <c r="H3980" s="42" t="s">
        <v>80</v>
      </c>
      <c r="I3980" s="42" t="s">
        <v>893</v>
      </c>
    </row>
    <row r="3981" spans="1:9">
      <c r="A3981" s="42" t="s">
        <v>1088</v>
      </c>
      <c r="B3981" s="42" t="s">
        <v>225</v>
      </c>
      <c r="C3981" s="42" t="s">
        <v>1101</v>
      </c>
      <c r="D3981" s="42" t="s">
        <v>761</v>
      </c>
      <c r="E3981" s="42" t="s">
        <v>762</v>
      </c>
      <c r="F3981" s="45">
        <v>-1691593601.67484</v>
      </c>
      <c r="G3981" s="42" t="s">
        <v>763</v>
      </c>
      <c r="H3981" s="42" t="s">
        <v>80</v>
      </c>
      <c r="I3981" s="42" t="s">
        <v>864</v>
      </c>
    </row>
    <row r="3982" spans="1:9">
      <c r="A3982" s="42" t="s">
        <v>1088</v>
      </c>
      <c r="B3982" s="42" t="s">
        <v>204</v>
      </c>
      <c r="C3982" s="42" t="s">
        <v>1102</v>
      </c>
      <c r="D3982" s="42" t="s">
        <v>761</v>
      </c>
      <c r="E3982" s="42" t="s">
        <v>762</v>
      </c>
      <c r="F3982" s="45">
        <v>138276112.6449246</v>
      </c>
      <c r="G3982" s="42" t="s">
        <v>763</v>
      </c>
      <c r="H3982" s="42" t="s">
        <v>80</v>
      </c>
      <c r="I3982" s="42" t="s">
        <v>893</v>
      </c>
    </row>
    <row r="3983" spans="1:9">
      <c r="A3983" s="42" t="s">
        <v>1088</v>
      </c>
      <c r="B3983" s="42" t="s">
        <v>205</v>
      </c>
      <c r="C3983" s="42" t="s">
        <v>1103</v>
      </c>
      <c r="D3983" s="42" t="s">
        <v>761</v>
      </c>
      <c r="E3983" s="42" t="s">
        <v>762</v>
      </c>
      <c r="F3983" s="45">
        <v>-416794991.8174139</v>
      </c>
      <c r="G3983" s="42" t="s">
        <v>763</v>
      </c>
      <c r="H3983" s="42" t="s">
        <v>80</v>
      </c>
      <c r="I3983" s="42" t="s">
        <v>893</v>
      </c>
    </row>
    <row r="3984" spans="1:9">
      <c r="A3984" s="42" t="s">
        <v>1088</v>
      </c>
      <c r="B3984" s="42" t="s">
        <v>206</v>
      </c>
      <c r="C3984" s="42" t="s">
        <v>1104</v>
      </c>
      <c r="D3984" s="42" t="s">
        <v>761</v>
      </c>
      <c r="E3984" s="42" t="s">
        <v>762</v>
      </c>
      <c r="F3984" s="45">
        <v>-2021177666.144843</v>
      </c>
      <c r="G3984" s="42" t="s">
        <v>763</v>
      </c>
      <c r="H3984" s="42" t="s">
        <v>80</v>
      </c>
      <c r="I3984" s="42" t="s">
        <v>893</v>
      </c>
    </row>
    <row r="3985" spans="1:9">
      <c r="A3985" s="42" t="s">
        <v>1088</v>
      </c>
      <c r="B3985" s="42" t="s">
        <v>207</v>
      </c>
      <c r="C3985" s="42" t="s">
        <v>1105</v>
      </c>
      <c r="D3985" s="42" t="s">
        <v>761</v>
      </c>
      <c r="E3985" s="42" t="s">
        <v>762</v>
      </c>
      <c r="F3985" s="45">
        <v>96637302.85385856</v>
      </c>
      <c r="G3985" s="42" t="s">
        <v>763</v>
      </c>
      <c r="H3985" s="42" t="s">
        <v>80</v>
      </c>
      <c r="I3985" s="42" t="s">
        <v>893</v>
      </c>
    </row>
    <row r="3986" spans="1:9">
      <c r="A3986" s="42" t="s">
        <v>1088</v>
      </c>
      <c r="B3986" s="42" t="s">
        <v>208</v>
      </c>
      <c r="C3986" s="42" t="s">
        <v>1106</v>
      </c>
      <c r="D3986" s="42" t="s">
        <v>761</v>
      </c>
      <c r="E3986" s="42" t="s">
        <v>762</v>
      </c>
      <c r="F3986" s="45">
        <v>-1924540363.290984</v>
      </c>
      <c r="G3986" s="42" t="s">
        <v>763</v>
      </c>
      <c r="H3986" s="42" t="s">
        <v>80</v>
      </c>
      <c r="I3986" s="42" t="s">
        <v>893</v>
      </c>
    </row>
    <row r="3987" spans="1:9">
      <c r="A3987" s="42" t="s">
        <v>1088</v>
      </c>
      <c r="B3987" s="42" t="s">
        <v>227</v>
      </c>
      <c r="C3987" s="42" t="s">
        <v>1107</v>
      </c>
      <c r="D3987" s="42" t="s">
        <v>761</v>
      </c>
      <c r="E3987" s="42" t="s">
        <v>762</v>
      </c>
      <c r="F3987" s="45">
        <v>-63611080.75573286</v>
      </c>
      <c r="G3987" s="42" t="s">
        <v>763</v>
      </c>
      <c r="H3987" s="42" t="s">
        <v>80</v>
      </c>
      <c r="I3987" s="42" t="s">
        <v>864</v>
      </c>
    </row>
    <row r="3988" spans="1:9">
      <c r="A3988" s="42" t="s">
        <v>1088</v>
      </c>
      <c r="B3988" s="42" t="s">
        <v>211</v>
      </c>
      <c r="C3988" s="42" t="s">
        <v>1108</v>
      </c>
      <c r="D3988" s="42" t="s">
        <v>761</v>
      </c>
      <c r="E3988" s="42" t="s">
        <v>762</v>
      </c>
      <c r="F3988" s="45">
        <v>1859098259.954862</v>
      </c>
      <c r="G3988" s="42" t="s">
        <v>763</v>
      </c>
      <c r="H3988" s="42" t="s">
        <v>80</v>
      </c>
      <c r="I3988" s="42" t="s">
        <v>893</v>
      </c>
    </row>
    <row r="3989" spans="1:9">
      <c r="A3989" s="42" t="s">
        <v>1088</v>
      </c>
      <c r="B3989" s="42" t="s">
        <v>228</v>
      </c>
      <c r="C3989" s="42" t="s">
        <v>1109</v>
      </c>
      <c r="D3989" s="42" t="s">
        <v>761</v>
      </c>
      <c r="E3989" s="42" t="s">
        <v>762</v>
      </c>
      <c r="F3989" s="45">
        <v>1922709340.710595</v>
      </c>
      <c r="G3989" s="42" t="s">
        <v>763</v>
      </c>
      <c r="H3989" s="42" t="s">
        <v>80</v>
      </c>
      <c r="I3989" s="42" t="s">
        <v>884</v>
      </c>
    </row>
    <row r="3990" spans="1:9">
      <c r="A3990" s="42" t="s">
        <v>1088</v>
      </c>
      <c r="B3990" s="42" t="s">
        <v>212</v>
      </c>
      <c r="C3990" s="42" t="s">
        <v>1110</v>
      </c>
      <c r="D3990" s="42" t="s">
        <v>761</v>
      </c>
      <c r="E3990" s="42" t="s">
        <v>762</v>
      </c>
      <c r="F3990" s="45">
        <v>-65442103.33612176</v>
      </c>
      <c r="G3990" s="42" t="s">
        <v>763</v>
      </c>
      <c r="H3990" s="42" t="s">
        <v>80</v>
      </c>
      <c r="I3990" s="42" t="s">
        <v>893</v>
      </c>
    </row>
    <row r="3991" spans="1:9">
      <c r="A3991" s="42" t="s">
        <v>1088</v>
      </c>
      <c r="B3991" s="42" t="s">
        <v>1111</v>
      </c>
      <c r="C3991" s="42" t="s">
        <v>1112</v>
      </c>
      <c r="D3991" s="42" t="s">
        <v>761</v>
      </c>
      <c r="E3991" s="42" t="s">
        <v>762</v>
      </c>
      <c r="F3991" s="45">
        <v>-1914910540.831161</v>
      </c>
      <c r="G3991" s="42" t="s">
        <v>763</v>
      </c>
      <c r="H3991" s="42" t="s">
        <v>80</v>
      </c>
      <c r="I3991" s="42" t="s">
        <v>893</v>
      </c>
    </row>
    <row r="3992" spans="1:9">
      <c r="A3992" s="42" t="s">
        <v>1088</v>
      </c>
      <c r="B3992" s="42" t="s">
        <v>261</v>
      </c>
      <c r="C3992" s="42" t="s">
        <v>1113</v>
      </c>
      <c r="D3992" s="42" t="s">
        <v>761</v>
      </c>
      <c r="E3992" s="42" t="s">
        <v>762</v>
      </c>
      <c r="F3992" s="45">
        <v>-9629822.4598231</v>
      </c>
      <c r="G3992" s="42" t="s">
        <v>763</v>
      </c>
      <c r="H3992" s="42" t="s">
        <v>80</v>
      </c>
      <c r="I3992" s="42" t="s">
        <v>893</v>
      </c>
    </row>
    <row r="3993" spans="1:9">
      <c r="A3993" s="42" t="s">
        <v>1088</v>
      </c>
      <c r="B3993" s="42" t="s">
        <v>1111</v>
      </c>
      <c r="C3993" s="42" t="s">
        <v>1114</v>
      </c>
      <c r="D3993" s="42" t="s">
        <v>761</v>
      </c>
      <c r="E3993" s="42" t="s">
        <v>762</v>
      </c>
      <c r="F3993" s="45">
        <v>1859098259.954862</v>
      </c>
      <c r="G3993" s="42" t="s">
        <v>763</v>
      </c>
      <c r="H3993" s="42" t="s">
        <v>80</v>
      </c>
      <c r="I3993" s="42" t="s">
        <v>893</v>
      </c>
    </row>
    <row r="3994" spans="1:9">
      <c r="A3994" s="42" t="s">
        <v>1088</v>
      </c>
      <c r="B3994" s="42" t="s">
        <v>1111</v>
      </c>
      <c r="C3994" s="42" t="s">
        <v>1115</v>
      </c>
      <c r="D3994" s="42" t="s">
        <v>761</v>
      </c>
      <c r="E3994" s="42" t="s">
        <v>762</v>
      </c>
      <c r="F3994" s="45">
        <v>-55812280.87629867</v>
      </c>
      <c r="G3994" s="42" t="s">
        <v>763</v>
      </c>
      <c r="H3994" s="42" t="s">
        <v>80</v>
      </c>
      <c r="I3994" s="42" t="s">
        <v>893</v>
      </c>
    </row>
    <row r="3995" spans="1:9">
      <c r="A3995" s="42" t="s">
        <v>1088</v>
      </c>
      <c r="B3995" s="42" t="s">
        <v>261</v>
      </c>
      <c r="C3995" s="42" t="s">
        <v>1116</v>
      </c>
      <c r="D3995" s="42" t="s">
        <v>761</v>
      </c>
      <c r="E3995" s="42" t="s">
        <v>762</v>
      </c>
      <c r="F3995" s="45">
        <v>-9629822.4598231</v>
      </c>
      <c r="G3995" s="42" t="s">
        <v>763</v>
      </c>
      <c r="H3995" s="42" t="s">
        <v>80</v>
      </c>
      <c r="I3995" s="42" t="s">
        <v>893</v>
      </c>
    </row>
    <row r="3996" spans="1:9">
      <c r="A3996" s="42" t="s">
        <v>1088</v>
      </c>
      <c r="B3996" s="42" t="s">
        <v>219</v>
      </c>
      <c r="C3996" s="42" t="s">
        <v>1117</v>
      </c>
      <c r="D3996" s="42" t="s">
        <v>761</v>
      </c>
      <c r="E3996" s="42" t="s">
        <v>762</v>
      </c>
      <c r="F3996" s="45">
        <v>-4891542.915683381</v>
      </c>
      <c r="G3996" s="42" t="s">
        <v>763</v>
      </c>
      <c r="H3996" s="42" t="s">
        <v>80</v>
      </c>
      <c r="I3996" s="42" t="s">
        <v>893</v>
      </c>
    </row>
    <row r="3997" spans="1:9">
      <c r="A3997" s="42" t="s">
        <v>1088</v>
      </c>
      <c r="B3997" s="42" t="s">
        <v>192</v>
      </c>
      <c r="C3997" s="42" t="s">
        <v>1089</v>
      </c>
      <c r="D3997" s="42" t="s">
        <v>662</v>
      </c>
      <c r="E3997" s="42" t="s">
        <v>762</v>
      </c>
      <c r="F3997" s="45">
        <v>15291698208.45266</v>
      </c>
      <c r="G3997" s="42" t="s">
        <v>763</v>
      </c>
      <c r="H3997" s="42" t="s">
        <v>88</v>
      </c>
      <c r="I3997" s="42" t="s">
        <v>893</v>
      </c>
    </row>
    <row r="3998" spans="1:9">
      <c r="A3998" s="42" t="s">
        <v>1088</v>
      </c>
      <c r="B3998" s="42" t="s">
        <v>193</v>
      </c>
      <c r="C3998" s="42" t="s">
        <v>1090</v>
      </c>
      <c r="D3998" s="42" t="s">
        <v>662</v>
      </c>
      <c r="E3998" s="42" t="s">
        <v>762</v>
      </c>
      <c r="F3998" s="45">
        <v>-12811703436.64596</v>
      </c>
      <c r="G3998" s="42" t="s">
        <v>763</v>
      </c>
      <c r="H3998" s="42" t="s">
        <v>88</v>
      </c>
      <c r="I3998" s="42" t="s">
        <v>893</v>
      </c>
    </row>
    <row r="3999" spans="1:9">
      <c r="A3999" s="42" t="s">
        <v>1088</v>
      </c>
      <c r="B3999" s="42" t="s">
        <v>194</v>
      </c>
      <c r="C3999" s="42" t="s">
        <v>1091</v>
      </c>
      <c r="D3999" s="42" t="s">
        <v>662</v>
      </c>
      <c r="E3999" s="42" t="s">
        <v>762</v>
      </c>
      <c r="F3999" s="45">
        <v>2479994771.8067</v>
      </c>
      <c r="G3999" s="42" t="s">
        <v>763</v>
      </c>
      <c r="H3999" s="42" t="s">
        <v>88</v>
      </c>
      <c r="I3999" s="42" t="s">
        <v>893</v>
      </c>
    </row>
    <row r="4000" spans="1:9">
      <c r="A4000" s="42" t="s">
        <v>1088</v>
      </c>
      <c r="B4000" s="42" t="s">
        <v>195</v>
      </c>
      <c r="C4000" s="42" t="s">
        <v>1092</v>
      </c>
      <c r="D4000" s="42" t="s">
        <v>662</v>
      </c>
      <c r="E4000" s="42" t="s">
        <v>762</v>
      </c>
      <c r="F4000" s="45">
        <v>-1085969272.286469</v>
      </c>
      <c r="G4000" s="42" t="s">
        <v>763</v>
      </c>
      <c r="H4000" s="42" t="s">
        <v>88</v>
      </c>
      <c r="I4000" s="42" t="s">
        <v>893</v>
      </c>
    </row>
    <row r="4001" spans="1:9">
      <c r="A4001" s="42" t="s">
        <v>1088</v>
      </c>
      <c r="B4001" s="42" t="s">
        <v>196</v>
      </c>
      <c r="C4001" s="42" t="s">
        <v>1093</v>
      </c>
      <c r="D4001" s="42" t="s">
        <v>662</v>
      </c>
      <c r="E4001" s="42" t="s">
        <v>762</v>
      </c>
      <c r="F4001" s="45">
        <v>-528407461.4400462</v>
      </c>
      <c r="G4001" s="42" t="s">
        <v>763</v>
      </c>
      <c r="H4001" s="42" t="s">
        <v>88</v>
      </c>
      <c r="I4001" s="42" t="s">
        <v>893</v>
      </c>
    </row>
    <row r="4002" spans="1:9">
      <c r="A4002" s="42" t="s">
        <v>1088</v>
      </c>
      <c r="B4002" s="42" t="s">
        <v>197</v>
      </c>
      <c r="C4002" s="42" t="s">
        <v>1094</v>
      </c>
      <c r="D4002" s="42" t="s">
        <v>662</v>
      </c>
      <c r="E4002" s="42" t="s">
        <v>762</v>
      </c>
      <c r="F4002" s="45">
        <v>-148554112.3279251</v>
      </c>
      <c r="G4002" s="42" t="s">
        <v>763</v>
      </c>
      <c r="H4002" s="42" t="s">
        <v>88</v>
      </c>
      <c r="I4002" s="42" t="s">
        <v>893</v>
      </c>
    </row>
    <row r="4003" spans="1:9">
      <c r="A4003" s="42" t="s">
        <v>1088</v>
      </c>
      <c r="B4003" s="42" t="s">
        <v>221</v>
      </c>
      <c r="C4003" s="42" t="s">
        <v>1118</v>
      </c>
      <c r="D4003" s="42" t="s">
        <v>662</v>
      </c>
      <c r="E4003" s="42" t="s">
        <v>762</v>
      </c>
      <c r="F4003" s="45">
        <v>304366568.9064002</v>
      </c>
      <c r="G4003" s="42" t="s">
        <v>763</v>
      </c>
      <c r="H4003" s="42" t="s">
        <v>88</v>
      </c>
      <c r="I4003" s="42" t="s">
        <v>809</v>
      </c>
    </row>
    <row r="4004" spans="1:9">
      <c r="A4004" s="42" t="s">
        <v>1088</v>
      </c>
      <c r="B4004" s="42" t="s">
        <v>1095</v>
      </c>
      <c r="C4004" s="42" t="s">
        <v>1096</v>
      </c>
      <c r="D4004" s="42" t="s">
        <v>662</v>
      </c>
      <c r="E4004" s="42" t="s">
        <v>762</v>
      </c>
      <c r="F4004" s="45">
        <v>304366568.9064002</v>
      </c>
      <c r="G4004" s="42" t="s">
        <v>763</v>
      </c>
      <c r="H4004" s="42" t="s">
        <v>80</v>
      </c>
      <c r="I4004" s="42" t="s">
        <v>764</v>
      </c>
    </row>
    <row r="4005" spans="1:9">
      <c r="A4005" s="42" t="s">
        <v>1088</v>
      </c>
      <c r="B4005" s="42" t="s">
        <v>199</v>
      </c>
      <c r="C4005" s="42" t="s">
        <v>1097</v>
      </c>
      <c r="D4005" s="42" t="s">
        <v>662</v>
      </c>
      <c r="E4005" s="42" t="s">
        <v>762</v>
      </c>
      <c r="F4005" s="45">
        <v>-49235768.49956474</v>
      </c>
      <c r="G4005" s="42" t="s">
        <v>763</v>
      </c>
      <c r="H4005" s="42" t="s">
        <v>88</v>
      </c>
      <c r="I4005" s="42" t="s">
        <v>893</v>
      </c>
    </row>
    <row r="4006" spans="1:9">
      <c r="A4006" s="42" t="s">
        <v>1088</v>
      </c>
      <c r="B4006" s="42" t="s">
        <v>200</v>
      </c>
      <c r="C4006" s="42" t="s">
        <v>1098</v>
      </c>
      <c r="D4006" s="42" t="s">
        <v>662</v>
      </c>
      <c r="E4006" s="42" t="s">
        <v>762</v>
      </c>
      <c r="F4006" s="45">
        <v>972194726.1590959</v>
      </c>
      <c r="G4006" s="42" t="s">
        <v>763</v>
      </c>
      <c r="H4006" s="42" t="s">
        <v>88</v>
      </c>
      <c r="I4006" s="42" t="s">
        <v>893</v>
      </c>
    </row>
    <row r="4007" spans="1:9">
      <c r="A4007" s="42" t="s">
        <v>1088</v>
      </c>
      <c r="B4007" s="42" t="s">
        <v>201</v>
      </c>
      <c r="C4007" s="42" t="s">
        <v>1099</v>
      </c>
      <c r="D4007" s="42" t="s">
        <v>662</v>
      </c>
      <c r="E4007" s="42" t="s">
        <v>762</v>
      </c>
      <c r="F4007" s="45">
        <v>86374296.58154601</v>
      </c>
      <c r="G4007" s="42" t="s">
        <v>763</v>
      </c>
      <c r="H4007" s="42" t="s">
        <v>88</v>
      </c>
      <c r="I4007" s="42" t="s">
        <v>893</v>
      </c>
    </row>
    <row r="4008" spans="1:9">
      <c r="A4008" s="42" t="s">
        <v>1088</v>
      </c>
      <c r="B4008" s="42" t="s">
        <v>202</v>
      </c>
      <c r="C4008" s="42" t="s">
        <v>1100</v>
      </c>
      <c r="D4008" s="42" t="s">
        <v>662</v>
      </c>
      <c r="E4008" s="42" t="s">
        <v>762</v>
      </c>
      <c r="F4008" s="45">
        <v>1065948339.395368</v>
      </c>
      <c r="G4008" s="42" t="s">
        <v>763</v>
      </c>
      <c r="H4008" s="42" t="s">
        <v>88</v>
      </c>
      <c r="I4008" s="42" t="s">
        <v>893</v>
      </c>
    </row>
    <row r="4009" spans="1:9">
      <c r="A4009" s="42" t="s">
        <v>1088</v>
      </c>
      <c r="B4009" s="42" t="s">
        <v>225</v>
      </c>
      <c r="C4009" s="42" t="s">
        <v>1101</v>
      </c>
      <c r="D4009" s="42" t="s">
        <v>662</v>
      </c>
      <c r="E4009" s="42" t="s">
        <v>762</v>
      </c>
      <c r="F4009" s="45">
        <v>-1731659479.574986</v>
      </c>
      <c r="G4009" s="42" t="s">
        <v>763</v>
      </c>
      <c r="H4009" s="42" t="s">
        <v>88</v>
      </c>
      <c r="I4009" s="42" t="s">
        <v>864</v>
      </c>
    </row>
    <row r="4010" spans="1:9">
      <c r="A4010" s="42" t="s">
        <v>1088</v>
      </c>
      <c r="B4010" s="42" t="s">
        <v>204</v>
      </c>
      <c r="C4010" s="42" t="s">
        <v>1102</v>
      </c>
      <c r="D4010" s="42" t="s">
        <v>662</v>
      </c>
      <c r="E4010" s="42" t="s">
        <v>762</v>
      </c>
      <c r="F4010" s="45">
        <v>133553534.2101216</v>
      </c>
      <c r="G4010" s="42" t="s">
        <v>763</v>
      </c>
      <c r="H4010" s="42" t="s">
        <v>88</v>
      </c>
      <c r="I4010" s="42" t="s">
        <v>893</v>
      </c>
    </row>
    <row r="4011" spans="1:9">
      <c r="A4011" s="42" t="s">
        <v>1088</v>
      </c>
      <c r="B4011" s="42" t="s">
        <v>205</v>
      </c>
      <c r="C4011" s="42" t="s">
        <v>1103</v>
      </c>
      <c r="D4011" s="42" t="s">
        <v>662</v>
      </c>
      <c r="E4011" s="42" t="s">
        <v>762</v>
      </c>
      <c r="F4011" s="45">
        <v>-532157605.969497</v>
      </c>
      <c r="G4011" s="42" t="s">
        <v>763</v>
      </c>
      <c r="H4011" s="42" t="s">
        <v>88</v>
      </c>
      <c r="I4011" s="42" t="s">
        <v>893</v>
      </c>
    </row>
    <row r="4012" spans="1:9">
      <c r="A4012" s="42" t="s">
        <v>1088</v>
      </c>
      <c r="B4012" s="42" t="s">
        <v>206</v>
      </c>
      <c r="C4012" s="42" t="s">
        <v>1104</v>
      </c>
      <c r="D4012" s="42" t="s">
        <v>662</v>
      </c>
      <c r="E4012" s="42" t="s">
        <v>762</v>
      </c>
      <c r="F4012" s="45">
        <v>526411416.7711449</v>
      </c>
      <c r="G4012" s="42" t="s">
        <v>763</v>
      </c>
      <c r="H4012" s="42" t="s">
        <v>88</v>
      </c>
      <c r="I4012" s="42" t="s">
        <v>893</v>
      </c>
    </row>
    <row r="4013" spans="1:9">
      <c r="A4013" s="42" t="s">
        <v>1088</v>
      </c>
      <c r="B4013" s="42" t="s">
        <v>207</v>
      </c>
      <c r="C4013" s="42" t="s">
        <v>1105</v>
      </c>
      <c r="D4013" s="42" t="s">
        <v>662</v>
      </c>
      <c r="E4013" s="42" t="s">
        <v>762</v>
      </c>
      <c r="F4013" s="45">
        <v>240069736.0869441</v>
      </c>
      <c r="G4013" s="42" t="s">
        <v>763</v>
      </c>
      <c r="H4013" s="42" t="s">
        <v>88</v>
      </c>
      <c r="I4013" s="42" t="s">
        <v>893</v>
      </c>
    </row>
    <row r="4014" spans="1:9">
      <c r="A4014" s="42" t="s">
        <v>1088</v>
      </c>
      <c r="B4014" s="42" t="s">
        <v>208</v>
      </c>
      <c r="C4014" s="42" t="s">
        <v>1106</v>
      </c>
      <c r="D4014" s="42" t="s">
        <v>662</v>
      </c>
      <c r="E4014" s="42" t="s">
        <v>762</v>
      </c>
      <c r="F4014" s="45">
        <v>766481152.858089</v>
      </c>
      <c r="G4014" s="42" t="s">
        <v>763</v>
      </c>
      <c r="H4014" s="42" t="s">
        <v>88</v>
      </c>
      <c r="I4014" s="42" t="s">
        <v>893</v>
      </c>
    </row>
    <row r="4015" spans="1:9">
      <c r="A4015" s="42" t="s">
        <v>1088</v>
      </c>
      <c r="B4015" s="42" t="s">
        <v>1119</v>
      </c>
      <c r="C4015" s="42" t="s">
        <v>1120</v>
      </c>
      <c r="D4015" s="42" t="s">
        <v>662</v>
      </c>
      <c r="E4015" s="42" t="s">
        <v>762</v>
      </c>
      <c r="F4015" s="45">
        <v>-30182614.84187077</v>
      </c>
      <c r="G4015" s="42" t="s">
        <v>763</v>
      </c>
      <c r="H4015" s="42" t="s">
        <v>88</v>
      </c>
      <c r="I4015" s="42" t="s">
        <v>809</v>
      </c>
    </row>
    <row r="4016" spans="1:9">
      <c r="A4016" s="42" t="s">
        <v>1088</v>
      </c>
      <c r="B4016" s="42" t="s">
        <v>227</v>
      </c>
      <c r="C4016" s="42" t="s">
        <v>1107</v>
      </c>
      <c r="D4016" s="42" t="s">
        <v>662</v>
      </c>
      <c r="E4016" s="42" t="s">
        <v>762</v>
      </c>
      <c r="F4016" s="45">
        <v>-38771655.53835504</v>
      </c>
      <c r="G4016" s="42" t="s">
        <v>763</v>
      </c>
      <c r="H4016" s="42" t="s">
        <v>88</v>
      </c>
      <c r="I4016" s="42" t="s">
        <v>864</v>
      </c>
    </row>
    <row r="4017" spans="1:9">
      <c r="A4017" s="42" t="s">
        <v>1088</v>
      </c>
      <c r="B4017" s="42" t="s">
        <v>211</v>
      </c>
      <c r="C4017" s="42" t="s">
        <v>1108</v>
      </c>
      <c r="D4017" s="42" t="s">
        <v>662</v>
      </c>
      <c r="E4017" s="42" t="s">
        <v>762</v>
      </c>
      <c r="F4017" s="45">
        <v>1325676091.160885</v>
      </c>
      <c r="G4017" s="42" t="s">
        <v>763</v>
      </c>
      <c r="H4017" s="42" t="s">
        <v>88</v>
      </c>
      <c r="I4017" s="42" t="s">
        <v>893</v>
      </c>
    </row>
    <row r="4018" spans="1:9">
      <c r="A4018" s="42" t="s">
        <v>1088</v>
      </c>
      <c r="B4018" s="42" t="s">
        <v>228</v>
      </c>
      <c r="C4018" s="42" t="s">
        <v>1109</v>
      </c>
      <c r="D4018" s="42" t="s">
        <v>662</v>
      </c>
      <c r="E4018" s="42" t="s">
        <v>762</v>
      </c>
      <c r="F4018" s="45">
        <v>1394630361.541111</v>
      </c>
      <c r="G4018" s="42" t="s">
        <v>763</v>
      </c>
      <c r="H4018" s="42" t="s">
        <v>88</v>
      </c>
      <c r="I4018" s="42" t="s">
        <v>884</v>
      </c>
    </row>
    <row r="4019" spans="1:9">
      <c r="A4019" s="42" t="s">
        <v>1088</v>
      </c>
      <c r="B4019" s="42" t="s">
        <v>212</v>
      </c>
      <c r="C4019" s="42" t="s">
        <v>1110</v>
      </c>
      <c r="D4019" s="42" t="s">
        <v>662</v>
      </c>
      <c r="E4019" s="42" t="s">
        <v>762</v>
      </c>
      <c r="F4019" s="45">
        <v>2092157244.018974</v>
      </c>
      <c r="G4019" s="42" t="s">
        <v>763</v>
      </c>
      <c r="H4019" s="42" t="s">
        <v>88</v>
      </c>
      <c r="I4019" s="42" t="s">
        <v>893</v>
      </c>
    </row>
    <row r="4020" spans="1:9">
      <c r="A4020" s="42" t="s">
        <v>1088</v>
      </c>
      <c r="B4020" s="42" t="s">
        <v>1111</v>
      </c>
      <c r="C4020" s="42" t="s">
        <v>1112</v>
      </c>
      <c r="D4020" s="42" t="s">
        <v>662</v>
      </c>
      <c r="E4020" s="42" t="s">
        <v>762</v>
      </c>
      <c r="F4020" s="45">
        <v>746399733.7649003</v>
      </c>
      <c r="G4020" s="42" t="s">
        <v>763</v>
      </c>
      <c r="H4020" s="42" t="s">
        <v>88</v>
      </c>
      <c r="I4020" s="42" t="s">
        <v>893</v>
      </c>
    </row>
    <row r="4021" spans="1:9">
      <c r="A4021" s="42" t="s">
        <v>1088</v>
      </c>
      <c r="B4021" s="42" t="s">
        <v>261</v>
      </c>
      <c r="C4021" s="42" t="s">
        <v>1113</v>
      </c>
      <c r="D4021" s="42" t="s">
        <v>662</v>
      </c>
      <c r="E4021" s="42" t="s">
        <v>762</v>
      </c>
      <c r="F4021" s="45">
        <v>20081419.09318857</v>
      </c>
      <c r="G4021" s="42" t="s">
        <v>763</v>
      </c>
      <c r="H4021" s="42" t="s">
        <v>88</v>
      </c>
      <c r="I4021" s="42" t="s">
        <v>893</v>
      </c>
    </row>
    <row r="4022" spans="1:9">
      <c r="A4022" s="42" t="s">
        <v>1088</v>
      </c>
      <c r="B4022" s="42" t="s">
        <v>1111</v>
      </c>
      <c r="C4022" s="42" t="s">
        <v>1114</v>
      </c>
      <c r="D4022" s="42" t="s">
        <v>662</v>
      </c>
      <c r="E4022" s="42" t="s">
        <v>762</v>
      </c>
      <c r="F4022" s="45">
        <v>1325676091.160885</v>
      </c>
      <c r="G4022" s="42" t="s">
        <v>763</v>
      </c>
      <c r="H4022" s="42" t="s">
        <v>88</v>
      </c>
      <c r="I4022" s="42" t="s">
        <v>893</v>
      </c>
    </row>
    <row r="4023" spans="1:9">
      <c r="A4023" s="42" t="s">
        <v>1088</v>
      </c>
      <c r="B4023" s="42" t="s">
        <v>1111</v>
      </c>
      <c r="C4023" s="42" t="s">
        <v>1115</v>
      </c>
      <c r="D4023" s="42" t="s">
        <v>662</v>
      </c>
      <c r="E4023" s="42" t="s">
        <v>762</v>
      </c>
      <c r="F4023" s="45">
        <v>2072075824.925786</v>
      </c>
      <c r="G4023" s="42" t="s">
        <v>763</v>
      </c>
      <c r="H4023" s="42" t="s">
        <v>88</v>
      </c>
      <c r="I4023" s="42" t="s">
        <v>893</v>
      </c>
    </row>
    <row r="4024" spans="1:9">
      <c r="A4024" s="42" t="s">
        <v>1088</v>
      </c>
      <c r="B4024" s="42" t="s">
        <v>261</v>
      </c>
      <c r="C4024" s="42" t="s">
        <v>1116</v>
      </c>
      <c r="D4024" s="42" t="s">
        <v>662</v>
      </c>
      <c r="E4024" s="42" t="s">
        <v>762</v>
      </c>
      <c r="F4024" s="45">
        <v>20081419.09318857</v>
      </c>
      <c r="G4024" s="42" t="s">
        <v>763</v>
      </c>
      <c r="H4024" s="42" t="s">
        <v>88</v>
      </c>
      <c r="I4024" s="42" t="s">
        <v>893</v>
      </c>
    </row>
    <row r="4025" spans="1:9">
      <c r="A4025" s="42" t="s">
        <v>1088</v>
      </c>
      <c r="B4025" s="42" t="s">
        <v>219</v>
      </c>
      <c r="C4025" s="42" t="s">
        <v>1117</v>
      </c>
      <c r="D4025" s="42" t="s">
        <v>662</v>
      </c>
      <c r="E4025" s="42" t="s">
        <v>762</v>
      </c>
      <c r="F4025" s="45">
        <v>1901081.331623243</v>
      </c>
      <c r="G4025" s="42" t="s">
        <v>763</v>
      </c>
      <c r="H4025" s="42" t="s">
        <v>88</v>
      </c>
      <c r="I4025" s="42" t="s">
        <v>893</v>
      </c>
    </row>
    <row r="4026" spans="1:9">
      <c r="A4026" s="42" t="s">
        <v>1088</v>
      </c>
      <c r="B4026" s="42" t="s">
        <v>192</v>
      </c>
      <c r="C4026" s="42" t="s">
        <v>1089</v>
      </c>
      <c r="D4026" s="42" t="s">
        <v>816</v>
      </c>
      <c r="E4026" s="42" t="s">
        <v>762</v>
      </c>
      <c r="F4026" s="45">
        <v>15564154258.20067</v>
      </c>
      <c r="G4026" s="42" t="s">
        <v>763</v>
      </c>
      <c r="H4026" s="42" t="s">
        <v>98</v>
      </c>
      <c r="I4026" s="42" t="s">
        <v>893</v>
      </c>
    </row>
    <row r="4027" spans="1:9">
      <c r="A4027" s="42" t="s">
        <v>1088</v>
      </c>
      <c r="B4027" s="42" t="s">
        <v>193</v>
      </c>
      <c r="C4027" s="42" t="s">
        <v>1090</v>
      </c>
      <c r="D4027" s="42" t="s">
        <v>816</v>
      </c>
      <c r="E4027" s="42" t="s">
        <v>762</v>
      </c>
      <c r="F4027" s="45">
        <v>-12841087941.40062</v>
      </c>
      <c r="G4027" s="42" t="s">
        <v>763</v>
      </c>
      <c r="H4027" s="42" t="s">
        <v>98</v>
      </c>
      <c r="I4027" s="42" t="s">
        <v>893</v>
      </c>
    </row>
    <row r="4028" spans="1:9">
      <c r="A4028" s="42" t="s">
        <v>1088</v>
      </c>
      <c r="B4028" s="42" t="s">
        <v>194</v>
      </c>
      <c r="C4028" s="42" t="s">
        <v>1091</v>
      </c>
      <c r="D4028" s="42" t="s">
        <v>816</v>
      </c>
      <c r="E4028" s="42" t="s">
        <v>762</v>
      </c>
      <c r="F4028" s="45">
        <v>2723066316.800058</v>
      </c>
      <c r="G4028" s="42" t="s">
        <v>763</v>
      </c>
      <c r="H4028" s="42" t="s">
        <v>98</v>
      </c>
      <c r="I4028" s="42" t="s">
        <v>893</v>
      </c>
    </row>
    <row r="4029" spans="1:9">
      <c r="A4029" s="42" t="s">
        <v>1088</v>
      </c>
      <c r="B4029" s="42" t="s">
        <v>195</v>
      </c>
      <c r="C4029" s="42" t="s">
        <v>1092</v>
      </c>
      <c r="D4029" s="42" t="s">
        <v>816</v>
      </c>
      <c r="E4029" s="42" t="s">
        <v>762</v>
      </c>
      <c r="F4029" s="45">
        <v>-997338662.6790193</v>
      </c>
      <c r="G4029" s="42" t="s">
        <v>763</v>
      </c>
      <c r="H4029" s="42" t="s">
        <v>98</v>
      </c>
      <c r="I4029" s="42" t="s">
        <v>893</v>
      </c>
    </row>
    <row r="4030" spans="1:9">
      <c r="A4030" s="42" t="s">
        <v>1088</v>
      </c>
      <c r="B4030" s="42" t="s">
        <v>196</v>
      </c>
      <c r="C4030" s="42" t="s">
        <v>1093</v>
      </c>
      <c r="D4030" s="42" t="s">
        <v>816</v>
      </c>
      <c r="E4030" s="42" t="s">
        <v>762</v>
      </c>
      <c r="F4030" s="45">
        <v>-497187269.0162677</v>
      </c>
      <c r="G4030" s="42" t="s">
        <v>763</v>
      </c>
      <c r="H4030" s="42" t="s">
        <v>98</v>
      </c>
      <c r="I4030" s="42" t="s">
        <v>893</v>
      </c>
    </row>
    <row r="4031" spans="1:9">
      <c r="A4031" s="42" t="s">
        <v>1088</v>
      </c>
      <c r="B4031" s="42" t="s">
        <v>197</v>
      </c>
      <c r="C4031" s="42" t="s">
        <v>1094</v>
      </c>
      <c r="D4031" s="42" t="s">
        <v>816</v>
      </c>
      <c r="E4031" s="42" t="s">
        <v>762</v>
      </c>
      <c r="F4031" s="45">
        <v>-195203678.5262835</v>
      </c>
      <c r="G4031" s="42" t="s">
        <v>763</v>
      </c>
      <c r="H4031" s="42" t="s">
        <v>98</v>
      </c>
      <c r="I4031" s="42" t="s">
        <v>893</v>
      </c>
    </row>
    <row r="4032" spans="1:9">
      <c r="A4032" s="42" t="s">
        <v>1088</v>
      </c>
      <c r="B4032" s="42" t="s">
        <v>221</v>
      </c>
      <c r="C4032" s="42" t="s">
        <v>1118</v>
      </c>
      <c r="D4032" s="42" t="s">
        <v>816</v>
      </c>
      <c r="E4032" s="42" t="s">
        <v>762</v>
      </c>
      <c r="F4032" s="45">
        <v>103565800.9012481</v>
      </c>
      <c r="G4032" s="42" t="s">
        <v>763</v>
      </c>
      <c r="H4032" s="42" t="s">
        <v>88</v>
      </c>
      <c r="I4032" s="42" t="s">
        <v>809</v>
      </c>
    </row>
    <row r="4033" spans="1:9">
      <c r="A4033" s="42" t="s">
        <v>1088</v>
      </c>
      <c r="B4033" s="42" t="s">
        <v>1095</v>
      </c>
      <c r="C4033" s="42" t="s">
        <v>1096</v>
      </c>
      <c r="D4033" s="42" t="s">
        <v>816</v>
      </c>
      <c r="E4033" s="42" t="s">
        <v>762</v>
      </c>
      <c r="F4033" s="45">
        <v>103565800.9012481</v>
      </c>
      <c r="G4033" s="42" t="s">
        <v>763</v>
      </c>
      <c r="H4033" s="42" t="s">
        <v>80</v>
      </c>
      <c r="I4033" s="42" t="s">
        <v>764</v>
      </c>
    </row>
    <row r="4034" spans="1:9">
      <c r="A4034" s="42" t="s">
        <v>1088</v>
      </c>
      <c r="B4034" s="42" t="s">
        <v>222</v>
      </c>
      <c r="C4034" s="42" t="s">
        <v>1121</v>
      </c>
      <c r="D4034" s="42" t="s">
        <v>816</v>
      </c>
      <c r="E4034" s="42" t="s">
        <v>762</v>
      </c>
      <c r="F4034" s="45">
        <v>103565800.9012481</v>
      </c>
      <c r="G4034" s="42" t="s">
        <v>763</v>
      </c>
      <c r="H4034" s="42" t="s">
        <v>98</v>
      </c>
      <c r="I4034" s="42" t="s">
        <v>817</v>
      </c>
    </row>
    <row r="4035" spans="1:9">
      <c r="A4035" s="42" t="s">
        <v>1088</v>
      </c>
      <c r="B4035" s="42" t="s">
        <v>199</v>
      </c>
      <c r="C4035" s="42" t="s">
        <v>1097</v>
      </c>
      <c r="D4035" s="42" t="s">
        <v>816</v>
      </c>
      <c r="E4035" s="42" t="s">
        <v>762</v>
      </c>
      <c r="F4035" s="45">
        <v>426583962.6777271</v>
      </c>
      <c r="G4035" s="42" t="s">
        <v>763</v>
      </c>
      <c r="H4035" s="42" t="s">
        <v>98</v>
      </c>
      <c r="I4035" s="42" t="s">
        <v>893</v>
      </c>
    </row>
    <row r="4036" spans="1:9">
      <c r="A4036" s="42" t="s">
        <v>1088</v>
      </c>
      <c r="B4036" s="42" t="s">
        <v>200</v>
      </c>
      <c r="C4036" s="42" t="s">
        <v>1098</v>
      </c>
      <c r="D4036" s="42" t="s">
        <v>816</v>
      </c>
      <c r="E4036" s="42" t="s">
        <v>762</v>
      </c>
      <c r="F4036" s="45">
        <v>1563486470.157463</v>
      </c>
      <c r="G4036" s="42" t="s">
        <v>763</v>
      </c>
      <c r="H4036" s="42" t="s">
        <v>98</v>
      </c>
      <c r="I4036" s="42" t="s">
        <v>893</v>
      </c>
    </row>
    <row r="4037" spans="1:9">
      <c r="A4037" s="42" t="s">
        <v>1088</v>
      </c>
      <c r="B4037" s="42" t="s">
        <v>201</v>
      </c>
      <c r="C4037" s="42" t="s">
        <v>1099</v>
      </c>
      <c r="D4037" s="42" t="s">
        <v>816</v>
      </c>
      <c r="E4037" s="42" t="s">
        <v>762</v>
      </c>
      <c r="F4037" s="45">
        <v>172812038.1245309</v>
      </c>
      <c r="G4037" s="42" t="s">
        <v>763</v>
      </c>
      <c r="H4037" s="42" t="s">
        <v>98</v>
      </c>
      <c r="I4037" s="42" t="s">
        <v>893</v>
      </c>
    </row>
    <row r="4038" spans="1:9">
      <c r="A4038" s="42" t="s">
        <v>1088</v>
      </c>
      <c r="B4038" s="42" t="s">
        <v>202</v>
      </c>
      <c r="C4038" s="42" t="s">
        <v>1100</v>
      </c>
      <c r="D4038" s="42" t="s">
        <v>816</v>
      </c>
      <c r="E4038" s="42" t="s">
        <v>762</v>
      </c>
      <c r="F4038" s="45">
        <v>3574198638.482626</v>
      </c>
      <c r="G4038" s="42" t="s">
        <v>763</v>
      </c>
      <c r="H4038" s="42" t="s">
        <v>98</v>
      </c>
      <c r="I4038" s="42" t="s">
        <v>893</v>
      </c>
    </row>
    <row r="4039" spans="1:9">
      <c r="A4039" s="42" t="s">
        <v>1088</v>
      </c>
      <c r="B4039" s="42" t="s">
        <v>225</v>
      </c>
      <c r="C4039" s="42" t="s">
        <v>1101</v>
      </c>
      <c r="D4039" s="42" t="s">
        <v>816</v>
      </c>
      <c r="E4039" s="42" t="s">
        <v>762</v>
      </c>
      <c r="F4039" s="45">
        <v>-2274197850.755993</v>
      </c>
      <c r="G4039" s="42" t="s">
        <v>763</v>
      </c>
      <c r="H4039" s="42" t="s">
        <v>98</v>
      </c>
      <c r="I4039" s="42" t="s">
        <v>864</v>
      </c>
    </row>
    <row r="4040" spans="1:9">
      <c r="A4040" s="42" t="s">
        <v>1088</v>
      </c>
      <c r="B4040" s="42" t="s">
        <v>204</v>
      </c>
      <c r="C4040" s="42" t="s">
        <v>1102</v>
      </c>
      <c r="D4040" s="42" t="s">
        <v>816</v>
      </c>
      <c r="E4040" s="42" t="s">
        <v>762</v>
      </c>
      <c r="F4040" s="45">
        <v>182954344.1438256</v>
      </c>
      <c r="G4040" s="42" t="s">
        <v>763</v>
      </c>
      <c r="H4040" s="42" t="s">
        <v>98</v>
      </c>
      <c r="I4040" s="42" t="s">
        <v>893</v>
      </c>
    </row>
    <row r="4041" spans="1:9">
      <c r="A4041" s="42" t="s">
        <v>1088</v>
      </c>
      <c r="B4041" s="42" t="s">
        <v>205</v>
      </c>
      <c r="C4041" s="42" t="s">
        <v>1103</v>
      </c>
      <c r="D4041" s="42" t="s">
        <v>816</v>
      </c>
      <c r="E4041" s="42" t="s">
        <v>762</v>
      </c>
      <c r="F4041" s="45">
        <v>1482955131.870458</v>
      </c>
      <c r="G4041" s="42" t="s">
        <v>763</v>
      </c>
      <c r="H4041" s="42" t="s">
        <v>98</v>
      </c>
      <c r="I4041" s="42" t="s">
        <v>893</v>
      </c>
    </row>
    <row r="4042" spans="1:9">
      <c r="A4042" s="42" t="s">
        <v>1088</v>
      </c>
      <c r="B4042" s="42" t="s">
        <v>206</v>
      </c>
      <c r="C4042" s="42" t="s">
        <v>1104</v>
      </c>
      <c r="D4042" s="42" t="s">
        <v>816</v>
      </c>
      <c r="E4042" s="42" t="s">
        <v>762</v>
      </c>
      <c r="F4042" s="45">
        <v>3219253640.152452</v>
      </c>
      <c r="G4042" s="42" t="s">
        <v>763</v>
      </c>
      <c r="H4042" s="42" t="s">
        <v>98</v>
      </c>
      <c r="I4042" s="42" t="s">
        <v>893</v>
      </c>
    </row>
    <row r="4043" spans="1:9">
      <c r="A4043" s="42" t="s">
        <v>1088</v>
      </c>
      <c r="B4043" s="42" t="s">
        <v>207</v>
      </c>
      <c r="C4043" s="42" t="s">
        <v>1105</v>
      </c>
      <c r="D4043" s="42" t="s">
        <v>816</v>
      </c>
      <c r="E4043" s="42" t="s">
        <v>762</v>
      </c>
      <c r="F4043" s="45">
        <v>-1840542843.740871</v>
      </c>
      <c r="G4043" s="42" t="s">
        <v>763</v>
      </c>
      <c r="H4043" s="42" t="s">
        <v>98</v>
      </c>
      <c r="I4043" s="42" t="s">
        <v>893</v>
      </c>
    </row>
    <row r="4044" spans="1:9">
      <c r="A4044" s="42" t="s">
        <v>1088</v>
      </c>
      <c r="B4044" s="42" t="s">
        <v>208</v>
      </c>
      <c r="C4044" s="42" t="s">
        <v>1106</v>
      </c>
      <c r="D4044" s="42" t="s">
        <v>816</v>
      </c>
      <c r="E4044" s="42" t="s">
        <v>762</v>
      </c>
      <c r="F4044" s="45">
        <v>1378710796.411581</v>
      </c>
      <c r="G4044" s="42" t="s">
        <v>763</v>
      </c>
      <c r="H4044" s="42" t="s">
        <v>98</v>
      </c>
      <c r="I4044" s="42" t="s">
        <v>893</v>
      </c>
    </row>
    <row r="4045" spans="1:9">
      <c r="A4045" s="42" t="s">
        <v>1088</v>
      </c>
      <c r="B4045" s="42" t="s">
        <v>1122</v>
      </c>
      <c r="C4045" s="42" t="s">
        <v>1123</v>
      </c>
      <c r="D4045" s="42" t="s">
        <v>816</v>
      </c>
      <c r="E4045" s="42" t="s">
        <v>762</v>
      </c>
      <c r="F4045" s="45">
        <v>56139806.55750415</v>
      </c>
      <c r="G4045" s="42" t="s">
        <v>763</v>
      </c>
      <c r="H4045" s="42" t="s">
        <v>98</v>
      </c>
      <c r="I4045" s="42" t="s">
        <v>817</v>
      </c>
    </row>
    <row r="4046" spans="1:9">
      <c r="A4046" s="42" t="s">
        <v>1088</v>
      </c>
      <c r="B4046" s="42" t="s">
        <v>210</v>
      </c>
      <c r="C4046" s="42" t="s">
        <v>1124</v>
      </c>
      <c r="D4046" s="42" t="s">
        <v>816</v>
      </c>
      <c r="E4046" s="42" t="s">
        <v>762</v>
      </c>
      <c r="F4046" s="45">
        <v>500187106.00789</v>
      </c>
      <c r="G4046" s="42" t="s">
        <v>763</v>
      </c>
      <c r="H4046" s="42" t="s">
        <v>98</v>
      </c>
      <c r="I4046" s="42" t="s">
        <v>893</v>
      </c>
    </row>
    <row r="4047" spans="1:9">
      <c r="A4047" s="42" t="s">
        <v>1088</v>
      </c>
      <c r="B4047" s="42" t="s">
        <v>227</v>
      </c>
      <c r="C4047" s="42" t="s">
        <v>1107</v>
      </c>
      <c r="D4047" s="42" t="s">
        <v>816</v>
      </c>
      <c r="E4047" s="42" t="s">
        <v>762</v>
      </c>
      <c r="F4047" s="45">
        <v>-653785902.4479825</v>
      </c>
      <c r="G4047" s="42" t="s">
        <v>763</v>
      </c>
      <c r="H4047" s="42" t="s">
        <v>98</v>
      </c>
      <c r="I4047" s="42" t="s">
        <v>864</v>
      </c>
    </row>
    <row r="4048" spans="1:9">
      <c r="A4048" s="42" t="s">
        <v>1088</v>
      </c>
      <c r="B4048" s="42" t="s">
        <v>211</v>
      </c>
      <c r="C4048" s="42" t="s">
        <v>1108</v>
      </c>
      <c r="D4048" s="42" t="s">
        <v>816</v>
      </c>
      <c r="E4048" s="42" t="s">
        <v>762</v>
      </c>
      <c r="F4048" s="45">
        <v>6163950770.881181</v>
      </c>
      <c r="G4048" s="42" t="s">
        <v>763</v>
      </c>
      <c r="H4048" s="42" t="s">
        <v>98</v>
      </c>
      <c r="I4048" s="42" t="s">
        <v>893</v>
      </c>
    </row>
    <row r="4049" spans="1:9">
      <c r="A4049" s="42" t="s">
        <v>1088</v>
      </c>
      <c r="B4049" s="42" t="s">
        <v>228</v>
      </c>
      <c r="C4049" s="42" t="s">
        <v>1109</v>
      </c>
      <c r="D4049" s="42" t="s">
        <v>816</v>
      </c>
      <c r="E4049" s="42" t="s">
        <v>762</v>
      </c>
      <c r="F4049" s="45">
        <v>6261409760.763769</v>
      </c>
      <c r="G4049" s="42" t="s">
        <v>763</v>
      </c>
      <c r="H4049" s="42" t="s">
        <v>98</v>
      </c>
      <c r="I4049" s="42" t="s">
        <v>884</v>
      </c>
    </row>
    <row r="4050" spans="1:9">
      <c r="A4050" s="42" t="s">
        <v>1088</v>
      </c>
      <c r="B4050" s="42" t="s">
        <v>212</v>
      </c>
      <c r="C4050" s="42" t="s">
        <v>1110</v>
      </c>
      <c r="D4050" s="42" t="s">
        <v>816</v>
      </c>
      <c r="E4050" s="42" t="s">
        <v>762</v>
      </c>
      <c r="F4050" s="45">
        <v>7542661567.292762</v>
      </c>
      <c r="G4050" s="42" t="s">
        <v>763</v>
      </c>
      <c r="H4050" s="42" t="s">
        <v>98</v>
      </c>
      <c r="I4050" s="42" t="s">
        <v>893</v>
      </c>
    </row>
    <row r="4051" spans="1:9">
      <c r="A4051" s="42" t="s">
        <v>1088</v>
      </c>
      <c r="B4051" s="42" t="s">
        <v>1111</v>
      </c>
      <c r="C4051" s="42" t="s">
        <v>1112</v>
      </c>
      <c r="D4051" s="42" t="s">
        <v>816</v>
      </c>
      <c r="E4051" s="42" t="s">
        <v>762</v>
      </c>
      <c r="F4051" s="45">
        <v>1378960782.827549</v>
      </c>
      <c r="G4051" s="42" t="s">
        <v>763</v>
      </c>
      <c r="H4051" s="42" t="s">
        <v>98</v>
      </c>
      <c r="I4051" s="42" t="s">
        <v>893</v>
      </c>
    </row>
    <row r="4052" spans="1:9">
      <c r="A4052" s="42" t="s">
        <v>1088</v>
      </c>
      <c r="B4052" s="42" t="s">
        <v>261</v>
      </c>
      <c r="C4052" s="42" t="s">
        <v>1113</v>
      </c>
      <c r="D4052" s="42" t="s">
        <v>816</v>
      </c>
      <c r="E4052" s="42" t="s">
        <v>762</v>
      </c>
      <c r="F4052" s="45">
        <v>-249986.4159685299</v>
      </c>
      <c r="G4052" s="42" t="s">
        <v>763</v>
      </c>
      <c r="H4052" s="42" t="s">
        <v>98</v>
      </c>
      <c r="I4052" s="42" t="s">
        <v>893</v>
      </c>
    </row>
    <row r="4053" spans="1:9">
      <c r="A4053" s="42" t="s">
        <v>1088</v>
      </c>
      <c r="B4053" s="42" t="s">
        <v>1111</v>
      </c>
      <c r="C4053" s="42" t="s">
        <v>1114</v>
      </c>
      <c r="D4053" s="42" t="s">
        <v>816</v>
      </c>
      <c r="E4053" s="42" t="s">
        <v>762</v>
      </c>
      <c r="F4053" s="45">
        <v>6059456449.006336</v>
      </c>
      <c r="G4053" s="42" t="s">
        <v>763</v>
      </c>
      <c r="H4053" s="42" t="s">
        <v>98</v>
      </c>
      <c r="I4053" s="42" t="s">
        <v>893</v>
      </c>
    </row>
    <row r="4054" spans="1:9">
      <c r="A4054" s="42" t="s">
        <v>1088</v>
      </c>
      <c r="B4054" s="42" t="s">
        <v>261</v>
      </c>
      <c r="C4054" s="42" t="s">
        <v>1125</v>
      </c>
      <c r="D4054" s="42" t="s">
        <v>816</v>
      </c>
      <c r="E4054" s="42" t="s">
        <v>762</v>
      </c>
      <c r="F4054" s="45">
        <v>104494321.8748455</v>
      </c>
      <c r="G4054" s="42" t="s">
        <v>763</v>
      </c>
      <c r="H4054" s="42" t="s">
        <v>98</v>
      </c>
      <c r="I4054" s="42" t="s">
        <v>893</v>
      </c>
    </row>
    <row r="4055" spans="1:9">
      <c r="A4055" s="42" t="s">
        <v>1088</v>
      </c>
      <c r="B4055" s="42" t="s">
        <v>1111</v>
      </c>
      <c r="C4055" s="42" t="s">
        <v>1115</v>
      </c>
      <c r="D4055" s="42" t="s">
        <v>816</v>
      </c>
      <c r="E4055" s="42" t="s">
        <v>762</v>
      </c>
      <c r="F4055" s="45">
        <v>7438417231.833885</v>
      </c>
      <c r="G4055" s="42" t="s">
        <v>763</v>
      </c>
      <c r="H4055" s="42" t="s">
        <v>98</v>
      </c>
      <c r="I4055" s="42" t="s">
        <v>893</v>
      </c>
    </row>
    <row r="4056" spans="1:9">
      <c r="A4056" s="42" t="s">
        <v>1088</v>
      </c>
      <c r="B4056" s="42" t="s">
        <v>261</v>
      </c>
      <c r="C4056" s="42" t="s">
        <v>1116</v>
      </c>
      <c r="D4056" s="42" t="s">
        <v>816</v>
      </c>
      <c r="E4056" s="42" t="s">
        <v>762</v>
      </c>
      <c r="F4056" s="45">
        <v>104244335.458877</v>
      </c>
      <c r="G4056" s="42" t="s">
        <v>763</v>
      </c>
      <c r="H4056" s="42" t="s">
        <v>98</v>
      </c>
      <c r="I4056" s="42" t="s">
        <v>893</v>
      </c>
    </row>
    <row r="4057" spans="1:9">
      <c r="A4057" s="42" t="s">
        <v>1088</v>
      </c>
      <c r="B4057" s="42" t="s">
        <v>219</v>
      </c>
      <c r="C4057" s="42" t="s">
        <v>1117</v>
      </c>
      <c r="D4057" s="42" t="s">
        <v>816</v>
      </c>
      <c r="E4057" s="42" t="s">
        <v>762</v>
      </c>
      <c r="F4057" s="45">
        <v>3515166.131968915</v>
      </c>
      <c r="G4057" s="42" t="s">
        <v>763</v>
      </c>
      <c r="H4057" s="42" t="s">
        <v>98</v>
      </c>
      <c r="I4057" s="42" t="s">
        <v>893</v>
      </c>
    </row>
    <row r="4058" spans="1:9">
      <c r="A4058" s="42" t="s">
        <v>1088</v>
      </c>
      <c r="B4058" s="42" t="s">
        <v>192</v>
      </c>
      <c r="C4058" s="42" t="s">
        <v>1089</v>
      </c>
      <c r="D4058" s="42" t="s">
        <v>995</v>
      </c>
      <c r="E4058" s="42" t="s">
        <v>808</v>
      </c>
      <c r="F4058" s="45">
        <v>3858559039.048066</v>
      </c>
      <c r="G4058" s="42" t="s">
        <v>763</v>
      </c>
      <c r="H4058" s="42" t="s">
        <v>82</v>
      </c>
      <c r="I4058" s="42" t="s">
        <v>893</v>
      </c>
    </row>
    <row r="4059" spans="1:9">
      <c r="A4059" s="42" t="s">
        <v>1088</v>
      </c>
      <c r="B4059" s="42" t="s">
        <v>193</v>
      </c>
      <c r="C4059" s="42" t="s">
        <v>1090</v>
      </c>
      <c r="D4059" s="42" t="s">
        <v>995</v>
      </c>
      <c r="E4059" s="42" t="s">
        <v>808</v>
      </c>
      <c r="F4059" s="45">
        <v>-3228298383.32869</v>
      </c>
      <c r="G4059" s="42" t="s">
        <v>763</v>
      </c>
      <c r="H4059" s="42" t="s">
        <v>82</v>
      </c>
      <c r="I4059" s="42" t="s">
        <v>893</v>
      </c>
    </row>
    <row r="4060" spans="1:9">
      <c r="A4060" s="42" t="s">
        <v>1088</v>
      </c>
      <c r="B4060" s="42" t="s">
        <v>194</v>
      </c>
      <c r="C4060" s="42" t="s">
        <v>1091</v>
      </c>
      <c r="D4060" s="42" t="s">
        <v>995</v>
      </c>
      <c r="E4060" s="42" t="s">
        <v>808</v>
      </c>
      <c r="F4060" s="45">
        <v>630260655.7193767</v>
      </c>
      <c r="G4060" s="42" t="s">
        <v>763</v>
      </c>
      <c r="H4060" s="42" t="s">
        <v>82</v>
      </c>
      <c r="I4060" s="42" t="s">
        <v>893</v>
      </c>
    </row>
    <row r="4061" spans="1:9">
      <c r="A4061" s="42" t="s">
        <v>1088</v>
      </c>
      <c r="B4061" s="42" t="s">
        <v>195</v>
      </c>
      <c r="C4061" s="42" t="s">
        <v>1092</v>
      </c>
      <c r="D4061" s="42" t="s">
        <v>995</v>
      </c>
      <c r="E4061" s="42" t="s">
        <v>808</v>
      </c>
      <c r="F4061" s="45">
        <v>-263656072.449099</v>
      </c>
      <c r="G4061" s="42" t="s">
        <v>763</v>
      </c>
      <c r="H4061" s="42" t="s">
        <v>82</v>
      </c>
      <c r="I4061" s="42" t="s">
        <v>893</v>
      </c>
    </row>
    <row r="4062" spans="1:9">
      <c r="A4062" s="42" t="s">
        <v>1088</v>
      </c>
      <c r="B4062" s="42" t="s">
        <v>196</v>
      </c>
      <c r="C4062" s="42" t="s">
        <v>1093</v>
      </c>
      <c r="D4062" s="42" t="s">
        <v>995</v>
      </c>
      <c r="E4062" s="42" t="s">
        <v>808</v>
      </c>
      <c r="F4062" s="45">
        <v>-119792780.2634972</v>
      </c>
      <c r="G4062" s="42" t="s">
        <v>763</v>
      </c>
      <c r="H4062" s="42" t="s">
        <v>82</v>
      </c>
      <c r="I4062" s="42" t="s">
        <v>893</v>
      </c>
    </row>
    <row r="4063" spans="1:9">
      <c r="A4063" s="42" t="s">
        <v>1088</v>
      </c>
      <c r="B4063" s="42" t="s">
        <v>197</v>
      </c>
      <c r="C4063" s="42" t="s">
        <v>1094</v>
      </c>
      <c r="D4063" s="42" t="s">
        <v>995</v>
      </c>
      <c r="E4063" s="42" t="s">
        <v>808</v>
      </c>
      <c r="F4063" s="45">
        <v>-16437157.18993611</v>
      </c>
      <c r="G4063" s="42" t="s">
        <v>763</v>
      </c>
      <c r="H4063" s="42" t="s">
        <v>82</v>
      </c>
      <c r="I4063" s="42" t="s">
        <v>893</v>
      </c>
    </row>
    <row r="4064" spans="1:9">
      <c r="A4064" s="42" t="s">
        <v>1088</v>
      </c>
      <c r="B4064" s="42" t="s">
        <v>199</v>
      </c>
      <c r="C4064" s="42" t="s">
        <v>1097</v>
      </c>
      <c r="D4064" s="42" t="s">
        <v>995</v>
      </c>
      <c r="E4064" s="42" t="s">
        <v>808</v>
      </c>
      <c r="F4064" s="45">
        <v>652753607.6634998</v>
      </c>
      <c r="G4064" s="42" t="s">
        <v>763</v>
      </c>
      <c r="H4064" s="42" t="s">
        <v>82</v>
      </c>
      <c r="I4064" s="42" t="s">
        <v>893</v>
      </c>
    </row>
    <row r="4065" spans="1:9">
      <c r="A4065" s="42" t="s">
        <v>1088</v>
      </c>
      <c r="B4065" s="42" t="s">
        <v>200</v>
      </c>
      <c r="C4065" s="42" t="s">
        <v>1098</v>
      </c>
      <c r="D4065" s="42" t="s">
        <v>995</v>
      </c>
      <c r="E4065" s="42" t="s">
        <v>808</v>
      </c>
      <c r="F4065" s="45">
        <v>883128253.4803443</v>
      </c>
      <c r="G4065" s="42" t="s">
        <v>763</v>
      </c>
      <c r="H4065" s="42" t="s">
        <v>82</v>
      </c>
      <c r="I4065" s="42" t="s">
        <v>893</v>
      </c>
    </row>
    <row r="4066" spans="1:9">
      <c r="A4066" s="42" t="s">
        <v>1088</v>
      </c>
      <c r="B4066" s="42" t="s">
        <v>201</v>
      </c>
      <c r="C4066" s="42" t="s">
        <v>1099</v>
      </c>
      <c r="D4066" s="42" t="s">
        <v>995</v>
      </c>
      <c r="E4066" s="42" t="s">
        <v>808</v>
      </c>
      <c r="F4066" s="45">
        <v>10890252.75122702</v>
      </c>
      <c r="G4066" s="42" t="s">
        <v>763</v>
      </c>
      <c r="H4066" s="42" t="s">
        <v>82</v>
      </c>
      <c r="I4066" s="42" t="s">
        <v>893</v>
      </c>
    </row>
    <row r="4067" spans="1:9">
      <c r="A4067" s="42" t="s">
        <v>1088</v>
      </c>
      <c r="B4067" s="42" t="s">
        <v>202</v>
      </c>
      <c r="C4067" s="42" t="s">
        <v>1100</v>
      </c>
      <c r="D4067" s="42" t="s">
        <v>995</v>
      </c>
      <c r="E4067" s="42" t="s">
        <v>808</v>
      </c>
      <c r="F4067" s="45">
        <v>401972460.1959916</v>
      </c>
      <c r="G4067" s="42" t="s">
        <v>763</v>
      </c>
      <c r="H4067" s="42" t="s">
        <v>82</v>
      </c>
      <c r="I4067" s="42" t="s">
        <v>893</v>
      </c>
    </row>
    <row r="4068" spans="1:9">
      <c r="A4068" s="42" t="s">
        <v>1088</v>
      </c>
      <c r="B4068" s="42" t="s">
        <v>225</v>
      </c>
      <c r="C4068" s="42" t="s">
        <v>1101</v>
      </c>
      <c r="D4068" s="42" t="s">
        <v>995</v>
      </c>
      <c r="E4068" s="42" t="s">
        <v>808</v>
      </c>
      <c r="F4068" s="45">
        <v>-454082828.5009284</v>
      </c>
      <c r="G4068" s="42" t="s">
        <v>763</v>
      </c>
      <c r="H4068" s="42" t="s">
        <v>82</v>
      </c>
      <c r="I4068" s="42" t="s">
        <v>864</v>
      </c>
    </row>
    <row r="4069" spans="1:9">
      <c r="A4069" s="42" t="s">
        <v>1088</v>
      </c>
      <c r="B4069" s="42" t="s">
        <v>204</v>
      </c>
      <c r="C4069" s="42" t="s">
        <v>1102</v>
      </c>
      <c r="D4069" s="42" t="s">
        <v>995</v>
      </c>
      <c r="E4069" s="42" t="s">
        <v>808</v>
      </c>
      <c r="F4069" s="45">
        <v>58115274.02757595</v>
      </c>
      <c r="G4069" s="42" t="s">
        <v>763</v>
      </c>
      <c r="H4069" s="42" t="s">
        <v>82</v>
      </c>
      <c r="I4069" s="42" t="s">
        <v>893</v>
      </c>
    </row>
    <row r="4070" spans="1:9">
      <c r="A4070" s="42" t="s">
        <v>1088</v>
      </c>
      <c r="B4070" s="42" t="s">
        <v>205</v>
      </c>
      <c r="C4070" s="42" t="s">
        <v>1103</v>
      </c>
      <c r="D4070" s="42" t="s">
        <v>995</v>
      </c>
      <c r="E4070" s="42" t="s">
        <v>808</v>
      </c>
      <c r="F4070" s="45">
        <v>6004905.722639197</v>
      </c>
      <c r="G4070" s="42" t="s">
        <v>763</v>
      </c>
      <c r="H4070" s="42" t="s">
        <v>82</v>
      </c>
      <c r="I4070" s="42" t="s">
        <v>893</v>
      </c>
    </row>
    <row r="4071" spans="1:9">
      <c r="A4071" s="42" t="s">
        <v>1088</v>
      </c>
      <c r="B4071" s="42" t="s">
        <v>206</v>
      </c>
      <c r="C4071" s="42" t="s">
        <v>1104</v>
      </c>
      <c r="D4071" s="42" t="s">
        <v>995</v>
      </c>
      <c r="E4071" s="42" t="s">
        <v>808</v>
      </c>
      <c r="F4071" s="45">
        <v>900023411.9542105</v>
      </c>
      <c r="G4071" s="42" t="s">
        <v>763</v>
      </c>
      <c r="H4071" s="42" t="s">
        <v>82</v>
      </c>
      <c r="I4071" s="42" t="s">
        <v>893</v>
      </c>
    </row>
    <row r="4072" spans="1:9">
      <c r="A4072" s="42" t="s">
        <v>1088</v>
      </c>
      <c r="B4072" s="42" t="s">
        <v>207</v>
      </c>
      <c r="C4072" s="42" t="s">
        <v>1105</v>
      </c>
      <c r="D4072" s="42" t="s">
        <v>995</v>
      </c>
      <c r="E4072" s="42" t="s">
        <v>808</v>
      </c>
      <c r="F4072" s="45">
        <v>-595401669.1091408</v>
      </c>
      <c r="G4072" s="42" t="s">
        <v>763</v>
      </c>
      <c r="H4072" s="42" t="s">
        <v>82</v>
      </c>
      <c r="I4072" s="42" t="s">
        <v>893</v>
      </c>
    </row>
    <row r="4073" spans="1:9">
      <c r="A4073" s="42" t="s">
        <v>1088</v>
      </c>
      <c r="B4073" s="42" t="s">
        <v>208</v>
      </c>
      <c r="C4073" s="42" t="s">
        <v>1106</v>
      </c>
      <c r="D4073" s="42" t="s">
        <v>995</v>
      </c>
      <c r="E4073" s="42" t="s">
        <v>808</v>
      </c>
      <c r="F4073" s="45">
        <v>304621742.8450698</v>
      </c>
      <c r="G4073" s="42" t="s">
        <v>763</v>
      </c>
      <c r="H4073" s="42" t="s">
        <v>82</v>
      </c>
      <c r="I4073" s="42" t="s">
        <v>893</v>
      </c>
    </row>
    <row r="4074" spans="1:9">
      <c r="A4074" s="42" t="s">
        <v>1088</v>
      </c>
      <c r="B4074" s="42" t="s">
        <v>1122</v>
      </c>
      <c r="C4074" s="42" t="s">
        <v>1123</v>
      </c>
      <c r="D4074" s="42" t="s">
        <v>995</v>
      </c>
      <c r="E4074" s="42" t="s">
        <v>808</v>
      </c>
      <c r="F4074" s="45">
        <v>79997557.59312558</v>
      </c>
      <c r="G4074" s="42" t="s">
        <v>763</v>
      </c>
      <c r="H4074" s="42" t="s">
        <v>82</v>
      </c>
      <c r="I4074" s="42" t="s">
        <v>817</v>
      </c>
    </row>
    <row r="4075" spans="1:9">
      <c r="A4075" s="42" t="s">
        <v>1088</v>
      </c>
      <c r="B4075" s="42" t="s">
        <v>227</v>
      </c>
      <c r="C4075" s="42" t="s">
        <v>1107</v>
      </c>
      <c r="D4075" s="42" t="s">
        <v>995</v>
      </c>
      <c r="E4075" s="42" t="s">
        <v>808</v>
      </c>
      <c r="F4075" s="45">
        <v>-20253834.55602034</v>
      </c>
      <c r="G4075" s="42" t="s">
        <v>763</v>
      </c>
      <c r="H4075" s="42" t="s">
        <v>82</v>
      </c>
      <c r="I4075" s="42" t="s">
        <v>864</v>
      </c>
    </row>
    <row r="4076" spans="1:9">
      <c r="A4076" s="42" t="s">
        <v>1088</v>
      </c>
      <c r="B4076" s="42" t="s">
        <v>211</v>
      </c>
      <c r="C4076" s="42" t="s">
        <v>1108</v>
      </c>
      <c r="D4076" s="42" t="s">
        <v>995</v>
      </c>
      <c r="E4076" s="42" t="s">
        <v>808</v>
      </c>
      <c r="F4076" s="45">
        <v>687459927.1790924</v>
      </c>
      <c r="G4076" s="42" t="s">
        <v>763</v>
      </c>
      <c r="H4076" s="42" t="s">
        <v>82</v>
      </c>
      <c r="I4076" s="42" t="s">
        <v>893</v>
      </c>
    </row>
    <row r="4077" spans="1:9">
      <c r="A4077" s="42" t="s">
        <v>1088</v>
      </c>
      <c r="B4077" s="42" t="s">
        <v>228</v>
      </c>
      <c r="C4077" s="42" t="s">
        <v>1109</v>
      </c>
      <c r="D4077" s="42" t="s">
        <v>995</v>
      </c>
      <c r="E4077" s="42" t="s">
        <v>808</v>
      </c>
      <c r="F4077" s="45">
        <v>627716204.1419872</v>
      </c>
      <c r="G4077" s="42" t="s">
        <v>763</v>
      </c>
      <c r="H4077" s="42" t="s">
        <v>82</v>
      </c>
      <c r="I4077" s="42" t="s">
        <v>884</v>
      </c>
    </row>
    <row r="4078" spans="1:9">
      <c r="A4078" s="42" t="s">
        <v>1088</v>
      </c>
      <c r="B4078" s="42" t="s">
        <v>212</v>
      </c>
      <c r="C4078" s="42" t="s">
        <v>1110</v>
      </c>
      <c r="D4078" s="42" t="s">
        <v>995</v>
      </c>
      <c r="E4078" s="42" t="s">
        <v>808</v>
      </c>
      <c r="F4078" s="45">
        <v>992081670.0241623</v>
      </c>
      <c r="G4078" s="42" t="s">
        <v>763</v>
      </c>
      <c r="H4078" s="42" t="s">
        <v>82</v>
      </c>
      <c r="I4078" s="42" t="s">
        <v>893</v>
      </c>
    </row>
    <row r="4079" spans="1:9">
      <c r="A4079" s="42" t="s">
        <v>1088</v>
      </c>
      <c r="B4079" s="42" t="s">
        <v>1111</v>
      </c>
      <c r="C4079" s="42" t="s">
        <v>1112</v>
      </c>
      <c r="D4079" s="42" t="s">
        <v>995</v>
      </c>
      <c r="E4079" s="42" t="s">
        <v>808</v>
      </c>
      <c r="F4079" s="45">
        <v>308743754.4004408</v>
      </c>
      <c r="G4079" s="42" t="s">
        <v>763</v>
      </c>
      <c r="H4079" s="42" t="s">
        <v>82</v>
      </c>
      <c r="I4079" s="42" t="s">
        <v>893</v>
      </c>
    </row>
    <row r="4080" spans="1:9">
      <c r="A4080" s="42" t="s">
        <v>1088</v>
      </c>
      <c r="B4080" s="42" t="s">
        <v>261</v>
      </c>
      <c r="C4080" s="42" t="s">
        <v>1113</v>
      </c>
      <c r="D4080" s="42" t="s">
        <v>995</v>
      </c>
      <c r="E4080" s="42" t="s">
        <v>808</v>
      </c>
      <c r="F4080" s="45">
        <v>-4122011.555370974</v>
      </c>
      <c r="G4080" s="42" t="s">
        <v>763</v>
      </c>
      <c r="H4080" s="42" t="s">
        <v>82</v>
      </c>
      <c r="I4080" s="42" t="s">
        <v>893</v>
      </c>
    </row>
    <row r="4081" spans="1:9">
      <c r="A4081" s="42" t="s">
        <v>1088</v>
      </c>
      <c r="B4081" s="42" t="s">
        <v>1111</v>
      </c>
      <c r="C4081" s="42" t="s">
        <v>1114</v>
      </c>
      <c r="D4081" s="42" t="s">
        <v>995</v>
      </c>
      <c r="E4081" s="42" t="s">
        <v>808</v>
      </c>
      <c r="F4081" s="45">
        <v>687459927.1790924</v>
      </c>
      <c r="G4081" s="42" t="s">
        <v>763</v>
      </c>
      <c r="H4081" s="42" t="s">
        <v>82</v>
      </c>
      <c r="I4081" s="42" t="s">
        <v>893</v>
      </c>
    </row>
    <row r="4082" spans="1:9">
      <c r="A4082" s="42" t="s">
        <v>1088</v>
      </c>
      <c r="B4082" s="42" t="s">
        <v>1111</v>
      </c>
      <c r="C4082" s="42" t="s">
        <v>1115</v>
      </c>
      <c r="D4082" s="42" t="s">
        <v>995</v>
      </c>
      <c r="E4082" s="42" t="s">
        <v>808</v>
      </c>
      <c r="F4082" s="45">
        <v>996203681.5795332</v>
      </c>
      <c r="G4082" s="42" t="s">
        <v>763</v>
      </c>
      <c r="H4082" s="42" t="s">
        <v>82</v>
      </c>
      <c r="I4082" s="42" t="s">
        <v>893</v>
      </c>
    </row>
    <row r="4083" spans="1:9">
      <c r="A4083" s="42" t="s">
        <v>1088</v>
      </c>
      <c r="B4083" s="42" t="s">
        <v>261</v>
      </c>
      <c r="C4083" s="42" t="s">
        <v>1116</v>
      </c>
      <c r="D4083" s="42" t="s">
        <v>995</v>
      </c>
      <c r="E4083" s="42" t="s">
        <v>808</v>
      </c>
      <c r="F4083" s="45">
        <v>-4122011.555370974</v>
      </c>
      <c r="G4083" s="42" t="s">
        <v>763</v>
      </c>
      <c r="H4083" s="42" t="s">
        <v>82</v>
      </c>
      <c r="I4083" s="42" t="s">
        <v>893</v>
      </c>
    </row>
    <row r="4084" spans="1:9">
      <c r="A4084" s="42" t="s">
        <v>1088</v>
      </c>
      <c r="B4084" s="42" t="s">
        <v>219</v>
      </c>
      <c r="C4084" s="42" t="s">
        <v>1117</v>
      </c>
      <c r="D4084" s="42" t="s">
        <v>995</v>
      </c>
      <c r="E4084" s="42" t="s">
        <v>808</v>
      </c>
      <c r="F4084" s="45">
        <v>787253.3180443083</v>
      </c>
      <c r="G4084" s="42" t="s">
        <v>763</v>
      </c>
      <c r="H4084" s="42" t="s">
        <v>82</v>
      </c>
      <c r="I4084" s="42" t="s">
        <v>893</v>
      </c>
    </row>
    <row r="4085" spans="1:9">
      <c r="A4085" s="42" t="s">
        <v>1088</v>
      </c>
      <c r="B4085" s="42" t="s">
        <v>192</v>
      </c>
      <c r="C4085" s="42" t="s">
        <v>1089</v>
      </c>
      <c r="D4085" s="42" t="s">
        <v>1000</v>
      </c>
      <c r="E4085" s="42" t="s">
        <v>808</v>
      </c>
      <c r="F4085" s="45">
        <v>3983113310.833957</v>
      </c>
      <c r="G4085" s="42" t="s">
        <v>763</v>
      </c>
      <c r="H4085" s="42" t="s">
        <v>84</v>
      </c>
      <c r="I4085" s="42" t="s">
        <v>893</v>
      </c>
    </row>
    <row r="4086" spans="1:9">
      <c r="A4086" s="42" t="s">
        <v>1088</v>
      </c>
      <c r="B4086" s="42" t="s">
        <v>193</v>
      </c>
      <c r="C4086" s="42" t="s">
        <v>1090</v>
      </c>
      <c r="D4086" s="42" t="s">
        <v>1000</v>
      </c>
      <c r="E4086" s="42" t="s">
        <v>808</v>
      </c>
      <c r="F4086" s="45">
        <v>-3509253236.836168</v>
      </c>
      <c r="G4086" s="42" t="s">
        <v>763</v>
      </c>
      <c r="H4086" s="42" t="s">
        <v>84</v>
      </c>
      <c r="I4086" s="42" t="s">
        <v>893</v>
      </c>
    </row>
    <row r="4087" spans="1:9">
      <c r="A4087" s="42" t="s">
        <v>1088</v>
      </c>
      <c r="B4087" s="42" t="s">
        <v>194</v>
      </c>
      <c r="C4087" s="42" t="s">
        <v>1091</v>
      </c>
      <c r="D4087" s="42" t="s">
        <v>1000</v>
      </c>
      <c r="E4087" s="42" t="s">
        <v>808</v>
      </c>
      <c r="F4087" s="45">
        <v>473860073.9977883</v>
      </c>
      <c r="G4087" s="42" t="s">
        <v>763</v>
      </c>
      <c r="H4087" s="42" t="s">
        <v>84</v>
      </c>
      <c r="I4087" s="42" t="s">
        <v>893</v>
      </c>
    </row>
    <row r="4088" spans="1:9">
      <c r="A4088" s="42" t="s">
        <v>1088</v>
      </c>
      <c r="B4088" s="42" t="s">
        <v>195</v>
      </c>
      <c r="C4088" s="42" t="s">
        <v>1092</v>
      </c>
      <c r="D4088" s="42" t="s">
        <v>1000</v>
      </c>
      <c r="E4088" s="42" t="s">
        <v>808</v>
      </c>
      <c r="F4088" s="45">
        <v>-252171651.2330117</v>
      </c>
      <c r="G4088" s="42" t="s">
        <v>763</v>
      </c>
      <c r="H4088" s="42" t="s">
        <v>84</v>
      </c>
      <c r="I4088" s="42" t="s">
        <v>893</v>
      </c>
    </row>
    <row r="4089" spans="1:9">
      <c r="A4089" s="42" t="s">
        <v>1088</v>
      </c>
      <c r="B4089" s="42" t="s">
        <v>196</v>
      </c>
      <c r="C4089" s="42" t="s">
        <v>1093</v>
      </c>
      <c r="D4089" s="42" t="s">
        <v>1000</v>
      </c>
      <c r="E4089" s="42" t="s">
        <v>808</v>
      </c>
      <c r="F4089" s="45">
        <v>-126342706.7552831</v>
      </c>
      <c r="G4089" s="42" t="s">
        <v>763</v>
      </c>
      <c r="H4089" s="42" t="s">
        <v>84</v>
      </c>
      <c r="I4089" s="42" t="s">
        <v>893</v>
      </c>
    </row>
    <row r="4090" spans="1:9">
      <c r="A4090" s="42" t="s">
        <v>1088</v>
      </c>
      <c r="B4090" s="42" t="s">
        <v>197</v>
      </c>
      <c r="C4090" s="42" t="s">
        <v>1094</v>
      </c>
      <c r="D4090" s="42" t="s">
        <v>1000</v>
      </c>
      <c r="E4090" s="42" t="s">
        <v>808</v>
      </c>
      <c r="F4090" s="45">
        <v>-19865474.73210822</v>
      </c>
      <c r="G4090" s="42" t="s">
        <v>763</v>
      </c>
      <c r="H4090" s="42" t="s">
        <v>84</v>
      </c>
      <c r="I4090" s="42" t="s">
        <v>893</v>
      </c>
    </row>
    <row r="4091" spans="1:9">
      <c r="A4091" s="42" t="s">
        <v>1088</v>
      </c>
      <c r="B4091" s="42" t="s">
        <v>199</v>
      </c>
      <c r="C4091" s="42" t="s">
        <v>1097</v>
      </c>
      <c r="D4091" s="42" t="s">
        <v>1000</v>
      </c>
      <c r="E4091" s="42" t="s">
        <v>808</v>
      </c>
      <c r="F4091" s="45">
        <v>-727829.8932022408</v>
      </c>
      <c r="G4091" s="42" t="s">
        <v>763</v>
      </c>
      <c r="H4091" s="42" t="s">
        <v>84</v>
      </c>
      <c r="I4091" s="42" t="s">
        <v>893</v>
      </c>
    </row>
    <row r="4092" spans="1:9">
      <c r="A4092" s="42" t="s">
        <v>1088</v>
      </c>
      <c r="B4092" s="42" t="s">
        <v>200</v>
      </c>
      <c r="C4092" s="42" t="s">
        <v>1098</v>
      </c>
      <c r="D4092" s="42" t="s">
        <v>1000</v>
      </c>
      <c r="E4092" s="42" t="s">
        <v>808</v>
      </c>
      <c r="F4092" s="45">
        <v>74752411.38418308</v>
      </c>
      <c r="G4092" s="42" t="s">
        <v>763</v>
      </c>
      <c r="H4092" s="42" t="s">
        <v>84</v>
      </c>
      <c r="I4092" s="42" t="s">
        <v>893</v>
      </c>
    </row>
    <row r="4093" spans="1:9">
      <c r="A4093" s="42" t="s">
        <v>1088</v>
      </c>
      <c r="B4093" s="42" t="s">
        <v>201</v>
      </c>
      <c r="C4093" s="42" t="s">
        <v>1099</v>
      </c>
      <c r="D4093" s="42" t="s">
        <v>1000</v>
      </c>
      <c r="E4093" s="42" t="s">
        <v>808</v>
      </c>
      <c r="F4093" s="45">
        <v>-48764602.84455013</v>
      </c>
      <c r="G4093" s="42" t="s">
        <v>763</v>
      </c>
      <c r="H4093" s="42" t="s">
        <v>84</v>
      </c>
      <c r="I4093" s="42" t="s">
        <v>893</v>
      </c>
    </row>
    <row r="4094" spans="1:9">
      <c r="A4094" s="42" t="s">
        <v>1088</v>
      </c>
      <c r="B4094" s="42" t="s">
        <v>202</v>
      </c>
      <c r="C4094" s="42" t="s">
        <v>1100</v>
      </c>
      <c r="D4094" s="42" t="s">
        <v>1000</v>
      </c>
      <c r="E4094" s="42" t="s">
        <v>808</v>
      </c>
      <c r="F4094" s="45">
        <v>1974816567.873327</v>
      </c>
      <c r="G4094" s="42" t="s">
        <v>763</v>
      </c>
      <c r="H4094" s="42" t="s">
        <v>84</v>
      </c>
      <c r="I4094" s="42" t="s">
        <v>893</v>
      </c>
    </row>
    <row r="4095" spans="1:9">
      <c r="A4095" s="42" t="s">
        <v>1088</v>
      </c>
      <c r="B4095" s="42" t="s">
        <v>225</v>
      </c>
      <c r="C4095" s="42" t="s">
        <v>1101</v>
      </c>
      <c r="D4095" s="42" t="s">
        <v>1000</v>
      </c>
      <c r="E4095" s="42" t="s">
        <v>808</v>
      </c>
      <c r="F4095" s="45">
        <v>-1041481763.649277</v>
      </c>
      <c r="G4095" s="42" t="s">
        <v>763</v>
      </c>
      <c r="H4095" s="42" t="s">
        <v>84</v>
      </c>
      <c r="I4095" s="42" t="s">
        <v>864</v>
      </c>
    </row>
    <row r="4096" spans="1:9">
      <c r="A4096" s="42" t="s">
        <v>1088</v>
      </c>
      <c r="B4096" s="42" t="s">
        <v>204</v>
      </c>
      <c r="C4096" s="42" t="s">
        <v>1102</v>
      </c>
      <c r="D4096" s="42" t="s">
        <v>1000</v>
      </c>
      <c r="E4096" s="42" t="s">
        <v>808</v>
      </c>
      <c r="F4096" s="45">
        <v>43969488.25404125</v>
      </c>
      <c r="G4096" s="42" t="s">
        <v>763</v>
      </c>
      <c r="H4096" s="42" t="s">
        <v>84</v>
      </c>
      <c r="I4096" s="42" t="s">
        <v>893</v>
      </c>
    </row>
    <row r="4097" spans="1:9">
      <c r="A4097" s="42" t="s">
        <v>1088</v>
      </c>
      <c r="B4097" s="42" t="s">
        <v>205</v>
      </c>
      <c r="C4097" s="42" t="s">
        <v>1103</v>
      </c>
      <c r="D4097" s="42" t="s">
        <v>1000</v>
      </c>
      <c r="E4097" s="42" t="s">
        <v>808</v>
      </c>
      <c r="F4097" s="45">
        <v>977304292.4780911</v>
      </c>
      <c r="G4097" s="42" t="s">
        <v>763</v>
      </c>
      <c r="H4097" s="42" t="s">
        <v>84</v>
      </c>
      <c r="I4097" s="42" t="s">
        <v>893</v>
      </c>
    </row>
    <row r="4098" spans="1:9">
      <c r="A4098" s="42" t="s">
        <v>1088</v>
      </c>
      <c r="B4098" s="42" t="s">
        <v>206</v>
      </c>
      <c r="C4098" s="42" t="s">
        <v>1104</v>
      </c>
      <c r="D4098" s="42" t="s">
        <v>1000</v>
      </c>
      <c r="E4098" s="42" t="s">
        <v>808</v>
      </c>
      <c r="F4098" s="45">
        <v>1003292101.017724</v>
      </c>
      <c r="G4098" s="42" t="s">
        <v>763</v>
      </c>
      <c r="H4098" s="42" t="s">
        <v>84</v>
      </c>
      <c r="I4098" s="42" t="s">
        <v>893</v>
      </c>
    </row>
    <row r="4099" spans="1:9">
      <c r="A4099" s="42" t="s">
        <v>1088</v>
      </c>
      <c r="B4099" s="42" t="s">
        <v>207</v>
      </c>
      <c r="C4099" s="42" t="s">
        <v>1105</v>
      </c>
      <c r="D4099" s="42" t="s">
        <v>1000</v>
      </c>
      <c r="E4099" s="42" t="s">
        <v>808</v>
      </c>
      <c r="F4099" s="45">
        <v>-938729308.1383724</v>
      </c>
      <c r="G4099" s="42" t="s">
        <v>763</v>
      </c>
      <c r="H4099" s="42" t="s">
        <v>84</v>
      </c>
      <c r="I4099" s="42" t="s">
        <v>893</v>
      </c>
    </row>
    <row r="4100" spans="1:9">
      <c r="A4100" s="42" t="s">
        <v>1088</v>
      </c>
      <c r="B4100" s="42" t="s">
        <v>208</v>
      </c>
      <c r="C4100" s="42" t="s">
        <v>1106</v>
      </c>
      <c r="D4100" s="42" t="s">
        <v>1000</v>
      </c>
      <c r="E4100" s="42" t="s">
        <v>808</v>
      </c>
      <c r="F4100" s="45">
        <v>64562792.87935171</v>
      </c>
      <c r="G4100" s="42" t="s">
        <v>763</v>
      </c>
      <c r="H4100" s="42" t="s">
        <v>84</v>
      </c>
      <c r="I4100" s="42" t="s">
        <v>893</v>
      </c>
    </row>
    <row r="4101" spans="1:9">
      <c r="A4101" s="42" t="s">
        <v>1088</v>
      </c>
      <c r="B4101" s="42" t="s">
        <v>1122</v>
      </c>
      <c r="C4101" s="42" t="s">
        <v>1123</v>
      </c>
      <c r="D4101" s="42" t="s">
        <v>1000</v>
      </c>
      <c r="E4101" s="42" t="s">
        <v>808</v>
      </c>
      <c r="F4101" s="45">
        <v>0</v>
      </c>
      <c r="G4101" s="42" t="s">
        <v>1001</v>
      </c>
      <c r="H4101" s="42" t="s">
        <v>1002</v>
      </c>
      <c r="I4101" s="42" t="s">
        <v>817</v>
      </c>
    </row>
    <row r="4102" spans="1:9">
      <c r="A4102" s="42" t="s">
        <v>1088</v>
      </c>
      <c r="B4102" s="42" t="s">
        <v>227</v>
      </c>
      <c r="C4102" s="42" t="s">
        <v>1107</v>
      </c>
      <c r="D4102" s="42" t="s">
        <v>1000</v>
      </c>
      <c r="E4102" s="42" t="s">
        <v>808</v>
      </c>
      <c r="F4102" s="45">
        <v>-391187160.8346397</v>
      </c>
      <c r="G4102" s="42" t="s">
        <v>763</v>
      </c>
      <c r="H4102" s="42" t="s">
        <v>84</v>
      </c>
      <c r="I4102" s="42" t="s">
        <v>864</v>
      </c>
    </row>
    <row r="4103" spans="1:9">
      <c r="A4103" s="42" t="s">
        <v>1088</v>
      </c>
      <c r="B4103" s="42" t="s">
        <v>211</v>
      </c>
      <c r="C4103" s="42" t="s">
        <v>1108</v>
      </c>
      <c r="D4103" s="42" t="s">
        <v>1000</v>
      </c>
      <c r="E4103" s="42" t="s">
        <v>808</v>
      </c>
      <c r="F4103" s="45">
        <v>2966763085.261722</v>
      </c>
      <c r="G4103" s="42" t="s">
        <v>763</v>
      </c>
      <c r="H4103" s="42" t="s">
        <v>84</v>
      </c>
      <c r="I4103" s="42" t="s">
        <v>893</v>
      </c>
    </row>
    <row r="4104" spans="1:9">
      <c r="A4104" s="42" t="s">
        <v>1088</v>
      </c>
      <c r="B4104" s="42" t="s">
        <v>228</v>
      </c>
      <c r="C4104" s="42" t="s">
        <v>1109</v>
      </c>
      <c r="D4104" s="42" t="s">
        <v>1000</v>
      </c>
      <c r="E4104" s="42" t="s">
        <v>808</v>
      </c>
      <c r="F4104" s="45">
        <v>3357950246.096362</v>
      </c>
      <c r="G4104" s="42" t="s">
        <v>763</v>
      </c>
      <c r="H4104" s="42" t="s">
        <v>84</v>
      </c>
      <c r="I4104" s="42" t="s">
        <v>884</v>
      </c>
    </row>
    <row r="4105" spans="1:9">
      <c r="A4105" s="42" t="s">
        <v>1088</v>
      </c>
      <c r="B4105" s="42" t="s">
        <v>212</v>
      </c>
      <c r="C4105" s="42" t="s">
        <v>1110</v>
      </c>
      <c r="D4105" s="42" t="s">
        <v>1000</v>
      </c>
      <c r="E4105" s="42" t="s">
        <v>808</v>
      </c>
      <c r="F4105" s="45">
        <v>3031325878.141074</v>
      </c>
      <c r="G4105" s="42" t="s">
        <v>763</v>
      </c>
      <c r="H4105" s="42" t="s">
        <v>84</v>
      </c>
      <c r="I4105" s="42" t="s">
        <v>893</v>
      </c>
    </row>
    <row r="4106" spans="1:9">
      <c r="A4106" s="42" t="s">
        <v>1088</v>
      </c>
      <c r="B4106" s="42" t="s">
        <v>1111</v>
      </c>
      <c r="C4106" s="42" t="s">
        <v>1112</v>
      </c>
      <c r="D4106" s="42" t="s">
        <v>1000</v>
      </c>
      <c r="E4106" s="42" t="s">
        <v>808</v>
      </c>
      <c r="F4106" s="45">
        <v>85327351.59718034</v>
      </c>
      <c r="G4106" s="42" t="s">
        <v>763</v>
      </c>
      <c r="H4106" s="42" t="s">
        <v>84</v>
      </c>
      <c r="I4106" s="42" t="s">
        <v>893</v>
      </c>
    </row>
    <row r="4107" spans="1:9">
      <c r="A4107" s="42" t="s">
        <v>1088</v>
      </c>
      <c r="B4107" s="42" t="s">
        <v>261</v>
      </c>
      <c r="C4107" s="42" t="s">
        <v>1113</v>
      </c>
      <c r="D4107" s="42" t="s">
        <v>1000</v>
      </c>
      <c r="E4107" s="42" t="s">
        <v>808</v>
      </c>
      <c r="F4107" s="45">
        <v>-20764558.71782864</v>
      </c>
      <c r="G4107" s="42" t="s">
        <v>763</v>
      </c>
      <c r="H4107" s="42" t="s">
        <v>84</v>
      </c>
      <c r="I4107" s="42" t="s">
        <v>893</v>
      </c>
    </row>
    <row r="4108" spans="1:9">
      <c r="A4108" s="42" t="s">
        <v>1088</v>
      </c>
      <c r="B4108" s="42" t="s">
        <v>1111</v>
      </c>
      <c r="C4108" s="42" t="s">
        <v>1114</v>
      </c>
      <c r="D4108" s="42" t="s">
        <v>1000</v>
      </c>
      <c r="E4108" s="42" t="s">
        <v>808</v>
      </c>
      <c r="F4108" s="45">
        <v>2966763085.261722</v>
      </c>
      <c r="G4108" s="42" t="s">
        <v>763</v>
      </c>
      <c r="H4108" s="42" t="s">
        <v>84</v>
      </c>
      <c r="I4108" s="42" t="s">
        <v>893</v>
      </c>
    </row>
    <row r="4109" spans="1:9">
      <c r="A4109" s="42" t="s">
        <v>1088</v>
      </c>
      <c r="B4109" s="42" t="s">
        <v>1111</v>
      </c>
      <c r="C4109" s="42" t="s">
        <v>1115</v>
      </c>
      <c r="D4109" s="42" t="s">
        <v>1000</v>
      </c>
      <c r="E4109" s="42" t="s">
        <v>808</v>
      </c>
      <c r="F4109" s="45">
        <v>3052090436.858902</v>
      </c>
      <c r="G4109" s="42" t="s">
        <v>763</v>
      </c>
      <c r="H4109" s="42" t="s">
        <v>84</v>
      </c>
      <c r="I4109" s="42" t="s">
        <v>893</v>
      </c>
    </row>
    <row r="4110" spans="1:9">
      <c r="A4110" s="42" t="s">
        <v>1088</v>
      </c>
      <c r="B4110" s="42" t="s">
        <v>261</v>
      </c>
      <c r="C4110" s="42" t="s">
        <v>1116</v>
      </c>
      <c r="D4110" s="42" t="s">
        <v>1000</v>
      </c>
      <c r="E4110" s="42" t="s">
        <v>808</v>
      </c>
      <c r="F4110" s="45">
        <v>-20764558.71782864</v>
      </c>
      <c r="G4110" s="42" t="s">
        <v>763</v>
      </c>
      <c r="H4110" s="42" t="s">
        <v>84</v>
      </c>
      <c r="I4110" s="42" t="s">
        <v>893</v>
      </c>
    </row>
    <row r="4111" spans="1:9">
      <c r="A4111" s="42" t="s">
        <v>1088</v>
      </c>
      <c r="B4111" s="42" t="s">
        <v>219</v>
      </c>
      <c r="C4111" s="42" t="s">
        <v>1117</v>
      </c>
      <c r="D4111" s="42" t="s">
        <v>1000</v>
      </c>
      <c r="E4111" s="42" t="s">
        <v>808</v>
      </c>
      <c r="F4111" s="45">
        <v>217492.6974980814</v>
      </c>
      <c r="G4111" s="42" t="s">
        <v>763</v>
      </c>
      <c r="H4111" s="42" t="s">
        <v>84</v>
      </c>
      <c r="I4111" s="42" t="s">
        <v>893</v>
      </c>
    </row>
    <row r="4112" spans="1:9">
      <c r="A4112" s="42" t="s">
        <v>1088</v>
      </c>
      <c r="B4112" s="42" t="s">
        <v>192</v>
      </c>
      <c r="C4112" s="42" t="s">
        <v>1089</v>
      </c>
      <c r="D4112" s="42" t="s">
        <v>695</v>
      </c>
      <c r="E4112" s="42" t="s">
        <v>762</v>
      </c>
      <c r="F4112" s="45">
        <v>14097402354.11112</v>
      </c>
      <c r="G4112" s="42" t="s">
        <v>763</v>
      </c>
      <c r="H4112" s="42" t="s">
        <v>108</v>
      </c>
      <c r="I4112" s="42" t="s">
        <v>893</v>
      </c>
    </row>
    <row r="4113" spans="1:9">
      <c r="A4113" s="42" t="s">
        <v>1088</v>
      </c>
      <c r="B4113" s="42" t="s">
        <v>193</v>
      </c>
      <c r="C4113" s="42" t="s">
        <v>1090</v>
      </c>
      <c r="D4113" s="42" t="s">
        <v>695</v>
      </c>
      <c r="E4113" s="42" t="s">
        <v>762</v>
      </c>
      <c r="F4113" s="45">
        <v>-11957909466.24304</v>
      </c>
      <c r="G4113" s="42" t="s">
        <v>763</v>
      </c>
      <c r="H4113" s="42" t="s">
        <v>108</v>
      </c>
      <c r="I4113" s="42" t="s">
        <v>893</v>
      </c>
    </row>
    <row r="4114" spans="1:9">
      <c r="A4114" s="42" t="s">
        <v>1088</v>
      </c>
      <c r="B4114" s="42" t="s">
        <v>194</v>
      </c>
      <c r="C4114" s="42" t="s">
        <v>1091</v>
      </c>
      <c r="D4114" s="42" t="s">
        <v>695</v>
      </c>
      <c r="E4114" s="42" t="s">
        <v>762</v>
      </c>
      <c r="F4114" s="45">
        <v>2139492887.868083</v>
      </c>
      <c r="G4114" s="42" t="s">
        <v>763</v>
      </c>
      <c r="H4114" s="42" t="s">
        <v>108</v>
      </c>
      <c r="I4114" s="42" t="s">
        <v>893</v>
      </c>
    </row>
    <row r="4115" spans="1:9">
      <c r="A4115" s="42" t="s">
        <v>1088</v>
      </c>
      <c r="B4115" s="42" t="s">
        <v>195</v>
      </c>
      <c r="C4115" s="42" t="s">
        <v>1092</v>
      </c>
      <c r="D4115" s="42" t="s">
        <v>695</v>
      </c>
      <c r="E4115" s="42" t="s">
        <v>762</v>
      </c>
      <c r="F4115" s="45">
        <v>-1036600892.528587</v>
      </c>
      <c r="G4115" s="42" t="s">
        <v>763</v>
      </c>
      <c r="H4115" s="42" t="s">
        <v>108</v>
      </c>
      <c r="I4115" s="42" t="s">
        <v>893</v>
      </c>
    </row>
    <row r="4116" spans="1:9">
      <c r="A4116" s="42" t="s">
        <v>1088</v>
      </c>
      <c r="B4116" s="42" t="s">
        <v>196</v>
      </c>
      <c r="C4116" s="42" t="s">
        <v>1093</v>
      </c>
      <c r="D4116" s="42" t="s">
        <v>695</v>
      </c>
      <c r="E4116" s="42" t="s">
        <v>762</v>
      </c>
      <c r="F4116" s="45">
        <v>-513148395.654107</v>
      </c>
      <c r="G4116" s="42" t="s">
        <v>763</v>
      </c>
      <c r="H4116" s="42" t="s">
        <v>108</v>
      </c>
      <c r="I4116" s="42" t="s">
        <v>893</v>
      </c>
    </row>
    <row r="4117" spans="1:9">
      <c r="A4117" s="42" t="s">
        <v>1088</v>
      </c>
      <c r="B4117" s="42" t="s">
        <v>197</v>
      </c>
      <c r="C4117" s="42" t="s">
        <v>1094</v>
      </c>
      <c r="D4117" s="42" t="s">
        <v>695</v>
      </c>
      <c r="E4117" s="42" t="s">
        <v>762</v>
      </c>
      <c r="F4117" s="45">
        <v>-142117654.1301869</v>
      </c>
      <c r="G4117" s="42" t="s">
        <v>763</v>
      </c>
      <c r="H4117" s="42" t="s">
        <v>108</v>
      </c>
      <c r="I4117" s="42" t="s">
        <v>893</v>
      </c>
    </row>
    <row r="4118" spans="1:9">
      <c r="A4118" s="42" t="s">
        <v>1088</v>
      </c>
      <c r="B4118" s="42" t="s">
        <v>221</v>
      </c>
      <c r="C4118" s="42" t="s">
        <v>1118</v>
      </c>
      <c r="D4118" s="42" t="s">
        <v>695</v>
      </c>
      <c r="E4118" s="42" t="s">
        <v>762</v>
      </c>
      <c r="F4118" s="45">
        <v>-860662519.0702401</v>
      </c>
      <c r="G4118" s="42" t="s">
        <v>763</v>
      </c>
      <c r="H4118" s="42" t="s">
        <v>88</v>
      </c>
      <c r="I4118" s="42" t="s">
        <v>809</v>
      </c>
    </row>
    <row r="4119" spans="1:9">
      <c r="A4119" s="42" t="s">
        <v>1088</v>
      </c>
      <c r="B4119" s="42" t="s">
        <v>222</v>
      </c>
      <c r="C4119" s="42" t="s">
        <v>1121</v>
      </c>
      <c r="D4119" s="42" t="s">
        <v>695</v>
      </c>
      <c r="E4119" s="42" t="s">
        <v>762</v>
      </c>
      <c r="F4119" s="45">
        <v>-860662519.0702401</v>
      </c>
      <c r="G4119" s="42" t="s">
        <v>763</v>
      </c>
      <c r="H4119" s="42" t="s">
        <v>98</v>
      </c>
      <c r="I4119" s="42" t="s">
        <v>817</v>
      </c>
    </row>
    <row r="4120" spans="1:9">
      <c r="A4120" s="42" t="s">
        <v>1088</v>
      </c>
      <c r="B4120" s="42" t="s">
        <v>224</v>
      </c>
      <c r="C4120" s="42" t="s">
        <v>1126</v>
      </c>
      <c r="D4120" s="42" t="s">
        <v>695</v>
      </c>
      <c r="E4120" s="42" t="s">
        <v>762</v>
      </c>
      <c r="F4120" s="45">
        <v>-860662519.0702401</v>
      </c>
      <c r="G4120" s="42" t="s">
        <v>763</v>
      </c>
      <c r="H4120" s="42" t="s">
        <v>108</v>
      </c>
      <c r="I4120" s="42" t="s">
        <v>854</v>
      </c>
    </row>
    <row r="4121" spans="1:9">
      <c r="A4121" s="42" t="s">
        <v>1088</v>
      </c>
      <c r="B4121" s="42" t="s">
        <v>199</v>
      </c>
      <c r="C4121" s="42" t="s">
        <v>1097</v>
      </c>
      <c r="D4121" s="42" t="s">
        <v>695</v>
      </c>
      <c r="E4121" s="42" t="s">
        <v>762</v>
      </c>
      <c r="F4121" s="45">
        <v>-23475069.31254366</v>
      </c>
      <c r="G4121" s="42" t="s">
        <v>763</v>
      </c>
      <c r="H4121" s="42" t="s">
        <v>108</v>
      </c>
      <c r="I4121" s="42" t="s">
        <v>893</v>
      </c>
    </row>
    <row r="4122" spans="1:9">
      <c r="A4122" s="42" t="s">
        <v>1088</v>
      </c>
      <c r="B4122" s="42" t="s">
        <v>200</v>
      </c>
      <c r="C4122" s="42" t="s">
        <v>1098</v>
      </c>
      <c r="D4122" s="42" t="s">
        <v>695</v>
      </c>
      <c r="E4122" s="42" t="s">
        <v>762</v>
      </c>
      <c r="F4122" s="45">
        <v>-436511642.8275818</v>
      </c>
      <c r="G4122" s="42" t="s">
        <v>763</v>
      </c>
      <c r="H4122" s="42" t="s">
        <v>108</v>
      </c>
      <c r="I4122" s="42" t="s">
        <v>893</v>
      </c>
    </row>
    <row r="4123" spans="1:9">
      <c r="A4123" s="42" t="s">
        <v>1088</v>
      </c>
      <c r="B4123" s="42" t="s">
        <v>201</v>
      </c>
      <c r="C4123" s="42" t="s">
        <v>1099</v>
      </c>
      <c r="D4123" s="42" t="s">
        <v>695</v>
      </c>
      <c r="E4123" s="42" t="s">
        <v>762</v>
      </c>
      <c r="F4123" s="45">
        <v>165530400.2498654</v>
      </c>
      <c r="G4123" s="42" t="s">
        <v>763</v>
      </c>
      <c r="H4123" s="42" t="s">
        <v>108</v>
      </c>
      <c r="I4123" s="42" t="s">
        <v>893</v>
      </c>
    </row>
    <row r="4124" spans="1:9">
      <c r="A4124" s="42" t="s">
        <v>1088</v>
      </c>
      <c r="B4124" s="42" t="s">
        <v>202</v>
      </c>
      <c r="C4124" s="42" t="s">
        <v>1100</v>
      </c>
      <c r="D4124" s="42" t="s">
        <v>695</v>
      </c>
      <c r="E4124" s="42" t="s">
        <v>762</v>
      </c>
      <c r="F4124" s="45">
        <v>1940432609.856762</v>
      </c>
      <c r="G4124" s="42" t="s">
        <v>763</v>
      </c>
      <c r="H4124" s="42" t="s">
        <v>108</v>
      </c>
      <c r="I4124" s="42" t="s">
        <v>893</v>
      </c>
    </row>
    <row r="4125" spans="1:9">
      <c r="A4125" s="42" t="s">
        <v>1088</v>
      </c>
      <c r="B4125" s="42" t="s">
        <v>225</v>
      </c>
      <c r="C4125" s="42" t="s">
        <v>1101</v>
      </c>
      <c r="D4125" s="42" t="s">
        <v>695</v>
      </c>
      <c r="E4125" s="42" t="s">
        <v>762</v>
      </c>
      <c r="F4125" s="45">
        <v>-1901542937.508902</v>
      </c>
      <c r="G4125" s="42" t="s">
        <v>763</v>
      </c>
      <c r="H4125" s="42" t="s">
        <v>108</v>
      </c>
      <c r="I4125" s="42" t="s">
        <v>864</v>
      </c>
    </row>
    <row r="4126" spans="1:9">
      <c r="A4126" s="42" t="s">
        <v>1088</v>
      </c>
      <c r="B4126" s="42" t="s">
        <v>204</v>
      </c>
      <c r="C4126" s="42" t="s">
        <v>1102</v>
      </c>
      <c r="D4126" s="42" t="s">
        <v>695</v>
      </c>
      <c r="E4126" s="42" t="s">
        <v>762</v>
      </c>
      <c r="F4126" s="45">
        <v>86463042.90159887</v>
      </c>
      <c r="G4126" s="42" t="s">
        <v>763</v>
      </c>
      <c r="H4126" s="42" t="s">
        <v>108</v>
      </c>
      <c r="I4126" s="42" t="s">
        <v>893</v>
      </c>
    </row>
    <row r="4127" spans="1:9">
      <c r="A4127" s="42" t="s">
        <v>1088</v>
      </c>
      <c r="B4127" s="42" t="s">
        <v>205</v>
      </c>
      <c r="C4127" s="42" t="s">
        <v>1103</v>
      </c>
      <c r="D4127" s="42" t="s">
        <v>695</v>
      </c>
      <c r="E4127" s="42" t="s">
        <v>762</v>
      </c>
      <c r="F4127" s="45">
        <v>125352715.2494588</v>
      </c>
      <c r="G4127" s="42" t="s">
        <v>763</v>
      </c>
      <c r="H4127" s="42" t="s">
        <v>108</v>
      </c>
      <c r="I4127" s="42" t="s">
        <v>893</v>
      </c>
    </row>
    <row r="4128" spans="1:9">
      <c r="A4128" s="42" t="s">
        <v>1088</v>
      </c>
      <c r="B4128" s="42" t="s">
        <v>206</v>
      </c>
      <c r="C4128" s="42" t="s">
        <v>1104</v>
      </c>
      <c r="D4128" s="42" t="s">
        <v>695</v>
      </c>
      <c r="E4128" s="42" t="s">
        <v>762</v>
      </c>
      <c r="F4128" s="45">
        <v>-145628527.3282576</v>
      </c>
      <c r="G4128" s="42" t="s">
        <v>763</v>
      </c>
      <c r="H4128" s="42" t="s">
        <v>108</v>
      </c>
      <c r="I4128" s="42" t="s">
        <v>893</v>
      </c>
    </row>
    <row r="4129" spans="1:9">
      <c r="A4129" s="42" t="s">
        <v>1088</v>
      </c>
      <c r="B4129" s="42" t="s">
        <v>207</v>
      </c>
      <c r="C4129" s="42" t="s">
        <v>1105</v>
      </c>
      <c r="D4129" s="42" t="s">
        <v>695</v>
      </c>
      <c r="E4129" s="42" t="s">
        <v>762</v>
      </c>
      <c r="F4129" s="45">
        <v>-547800090.8871361</v>
      </c>
      <c r="G4129" s="42" t="s">
        <v>763</v>
      </c>
      <c r="H4129" s="42" t="s">
        <v>108</v>
      </c>
      <c r="I4129" s="42" t="s">
        <v>893</v>
      </c>
    </row>
    <row r="4130" spans="1:9">
      <c r="A4130" s="42" t="s">
        <v>1088</v>
      </c>
      <c r="B4130" s="42" t="s">
        <v>226</v>
      </c>
      <c r="C4130" s="42" t="s">
        <v>1127</v>
      </c>
      <c r="D4130" s="42" t="s">
        <v>695</v>
      </c>
      <c r="E4130" s="42" t="s">
        <v>762</v>
      </c>
      <c r="F4130" s="45">
        <v>-693428618.2153938</v>
      </c>
      <c r="G4130" s="42" t="s">
        <v>763</v>
      </c>
      <c r="H4130" s="42" t="s">
        <v>108</v>
      </c>
      <c r="I4130" s="42" t="s">
        <v>822</v>
      </c>
    </row>
    <row r="4131" spans="1:9">
      <c r="A4131" s="42" t="s">
        <v>1088</v>
      </c>
      <c r="B4131" s="42" t="s">
        <v>208</v>
      </c>
      <c r="C4131" s="42" t="s">
        <v>1106</v>
      </c>
      <c r="D4131" s="42" t="s">
        <v>695</v>
      </c>
      <c r="E4131" s="42" t="s">
        <v>762</v>
      </c>
      <c r="F4131" s="45">
        <v>-693428618.2153938</v>
      </c>
      <c r="G4131" s="42" t="s">
        <v>763</v>
      </c>
      <c r="H4131" s="42" t="s">
        <v>98</v>
      </c>
      <c r="I4131" s="42" t="s">
        <v>893</v>
      </c>
    </row>
    <row r="4132" spans="1:9">
      <c r="A4132" s="42" t="s">
        <v>1088</v>
      </c>
      <c r="B4132" s="42" t="s">
        <v>210</v>
      </c>
      <c r="C4132" s="42" t="s">
        <v>1124</v>
      </c>
      <c r="D4132" s="42" t="s">
        <v>695</v>
      </c>
      <c r="E4132" s="42" t="s">
        <v>762</v>
      </c>
      <c r="F4132" s="45">
        <v>185993181.9072597</v>
      </c>
      <c r="G4132" s="42" t="s">
        <v>763</v>
      </c>
      <c r="H4132" s="42" t="s">
        <v>108</v>
      </c>
      <c r="I4132" s="42" t="s">
        <v>893</v>
      </c>
    </row>
    <row r="4133" spans="1:9">
      <c r="A4133" s="42" t="s">
        <v>1088</v>
      </c>
      <c r="B4133" s="42" t="s">
        <v>227</v>
      </c>
      <c r="C4133" s="42" t="s">
        <v>1107</v>
      </c>
      <c r="D4133" s="42" t="s">
        <v>695</v>
      </c>
      <c r="E4133" s="42" t="s">
        <v>762</v>
      </c>
      <c r="F4133" s="45">
        <v>-166423699.3475994</v>
      </c>
      <c r="G4133" s="42" t="s">
        <v>763</v>
      </c>
      <c r="H4133" s="42" t="s">
        <v>108</v>
      </c>
      <c r="I4133" s="42" t="s">
        <v>864</v>
      </c>
    </row>
    <row r="4134" spans="1:9">
      <c r="A4134" s="42" t="s">
        <v>1088</v>
      </c>
      <c r="B4134" s="42" t="s">
        <v>211</v>
      </c>
      <c r="C4134" s="42" t="s">
        <v>1108</v>
      </c>
      <c r="D4134" s="42" t="s">
        <v>695</v>
      </c>
      <c r="E4134" s="42" t="s">
        <v>762</v>
      </c>
      <c r="F4134" s="45">
        <v>4598766078.327303</v>
      </c>
      <c r="G4134" s="42" t="s">
        <v>763</v>
      </c>
      <c r="H4134" s="42" t="s">
        <v>108</v>
      </c>
      <c r="I4134" s="42" t="s">
        <v>893</v>
      </c>
    </row>
    <row r="4135" spans="1:9">
      <c r="A4135" s="42" t="s">
        <v>1088</v>
      </c>
      <c r="B4135" s="42" t="s">
        <v>228</v>
      </c>
      <c r="C4135" s="42" t="s">
        <v>1109</v>
      </c>
      <c r="D4135" s="42" t="s">
        <v>695</v>
      </c>
      <c r="E4135" s="42" t="s">
        <v>762</v>
      </c>
      <c r="F4135" s="45">
        <v>4579196595.767643</v>
      </c>
      <c r="G4135" s="42" t="s">
        <v>763</v>
      </c>
      <c r="H4135" s="42" t="s">
        <v>108</v>
      </c>
      <c r="I4135" s="42" t="s">
        <v>884</v>
      </c>
    </row>
    <row r="4136" spans="1:9">
      <c r="A4136" s="42" t="s">
        <v>1088</v>
      </c>
      <c r="B4136" s="42" t="s">
        <v>212</v>
      </c>
      <c r="C4136" s="42" t="s">
        <v>1110</v>
      </c>
      <c r="D4136" s="42" t="s">
        <v>695</v>
      </c>
      <c r="E4136" s="42" t="s">
        <v>762</v>
      </c>
      <c r="F4136" s="45">
        <v>3905337460.11191</v>
      </c>
      <c r="G4136" s="42" t="s">
        <v>763</v>
      </c>
      <c r="H4136" s="42" t="s">
        <v>108</v>
      </c>
      <c r="I4136" s="42" t="s">
        <v>893</v>
      </c>
    </row>
    <row r="4137" spans="1:9">
      <c r="A4137" s="42" t="s">
        <v>1088</v>
      </c>
      <c r="B4137" s="42" t="s">
        <v>1111</v>
      </c>
      <c r="C4137" s="42" t="s">
        <v>1112</v>
      </c>
      <c r="D4137" s="42" t="s">
        <v>695</v>
      </c>
      <c r="E4137" s="42" t="s">
        <v>762</v>
      </c>
      <c r="F4137" s="45">
        <v>-707804501.3696239</v>
      </c>
      <c r="G4137" s="42" t="s">
        <v>763</v>
      </c>
      <c r="H4137" s="42" t="s">
        <v>108</v>
      </c>
      <c r="I4137" s="42" t="s">
        <v>893</v>
      </c>
    </row>
    <row r="4138" spans="1:9">
      <c r="A4138" s="42" t="s">
        <v>1088</v>
      </c>
      <c r="B4138" s="42" t="s">
        <v>261</v>
      </c>
      <c r="C4138" s="42" t="s">
        <v>1113</v>
      </c>
      <c r="D4138" s="42" t="s">
        <v>695</v>
      </c>
      <c r="E4138" s="42" t="s">
        <v>762</v>
      </c>
      <c r="F4138" s="45">
        <v>14375883.15423028</v>
      </c>
      <c r="G4138" s="42" t="s">
        <v>763</v>
      </c>
      <c r="H4138" s="42" t="s">
        <v>108</v>
      </c>
      <c r="I4138" s="42" t="s">
        <v>893</v>
      </c>
    </row>
    <row r="4139" spans="1:9">
      <c r="A4139" s="42" t="s">
        <v>1088</v>
      </c>
      <c r="B4139" s="42" t="s">
        <v>1111</v>
      </c>
      <c r="C4139" s="42" t="s">
        <v>1114</v>
      </c>
      <c r="D4139" s="42" t="s">
        <v>695</v>
      </c>
      <c r="E4139" s="42" t="s">
        <v>762</v>
      </c>
      <c r="F4139" s="45">
        <v>4563428827.972758</v>
      </c>
      <c r="G4139" s="42" t="s">
        <v>763</v>
      </c>
      <c r="H4139" s="42" t="s">
        <v>108</v>
      </c>
      <c r="I4139" s="42" t="s">
        <v>893</v>
      </c>
    </row>
    <row r="4140" spans="1:9">
      <c r="A4140" s="42" t="s">
        <v>1088</v>
      </c>
      <c r="B4140" s="42" t="s">
        <v>261</v>
      </c>
      <c r="C4140" s="42" t="s">
        <v>1125</v>
      </c>
      <c r="D4140" s="42" t="s">
        <v>695</v>
      </c>
      <c r="E4140" s="42" t="s">
        <v>762</v>
      </c>
      <c r="F4140" s="45">
        <v>35337250.35454582</v>
      </c>
      <c r="G4140" s="42" t="s">
        <v>763</v>
      </c>
      <c r="H4140" s="42" t="s">
        <v>108</v>
      </c>
      <c r="I4140" s="42" t="s">
        <v>893</v>
      </c>
    </row>
    <row r="4141" spans="1:9">
      <c r="A4141" s="42" t="s">
        <v>1088</v>
      </c>
      <c r="B4141" s="42" t="s">
        <v>1111</v>
      </c>
      <c r="C4141" s="42" t="s">
        <v>1115</v>
      </c>
      <c r="D4141" s="42" t="s">
        <v>695</v>
      </c>
      <c r="E4141" s="42" t="s">
        <v>762</v>
      </c>
      <c r="F4141" s="45">
        <v>3855624326.603134</v>
      </c>
      <c r="G4141" s="42" t="s">
        <v>763</v>
      </c>
      <c r="H4141" s="42" t="s">
        <v>108</v>
      </c>
      <c r="I4141" s="42" t="s">
        <v>893</v>
      </c>
    </row>
    <row r="4142" spans="1:9">
      <c r="A4142" s="42" t="s">
        <v>1088</v>
      </c>
      <c r="B4142" s="42" t="s">
        <v>261</v>
      </c>
      <c r="C4142" s="42" t="s">
        <v>1116</v>
      </c>
      <c r="D4142" s="42" t="s">
        <v>695</v>
      </c>
      <c r="E4142" s="42" t="s">
        <v>762</v>
      </c>
      <c r="F4142" s="45">
        <v>49713133.50877609</v>
      </c>
      <c r="G4142" s="42" t="s">
        <v>763</v>
      </c>
      <c r="H4142" s="42" t="s">
        <v>108</v>
      </c>
      <c r="I4142" s="42" t="s">
        <v>893</v>
      </c>
    </row>
    <row r="4143" spans="1:9">
      <c r="A4143" s="42" t="s">
        <v>1088</v>
      </c>
      <c r="B4143" s="42" t="s">
        <v>219</v>
      </c>
      <c r="C4143" s="42" t="s">
        <v>1117</v>
      </c>
      <c r="D4143" s="42" t="s">
        <v>695</v>
      </c>
      <c r="E4143" s="42" t="s">
        <v>762</v>
      </c>
      <c r="F4143" s="45">
        <v>-1804256.433446387</v>
      </c>
      <c r="G4143" s="42" t="s">
        <v>763</v>
      </c>
      <c r="H4143" s="42" t="s">
        <v>108</v>
      </c>
      <c r="I4143" s="42" t="s">
        <v>893</v>
      </c>
    </row>
    <row r="4144" spans="1:9">
      <c r="A4144" s="42" t="s">
        <v>1088</v>
      </c>
      <c r="B4144" s="42" t="s">
        <v>192</v>
      </c>
      <c r="C4144" s="42" t="s">
        <v>1089</v>
      </c>
      <c r="D4144" s="42" t="s">
        <v>844</v>
      </c>
      <c r="E4144" s="42" t="s">
        <v>808</v>
      </c>
      <c r="F4144" s="45">
        <v>3358978672.875296</v>
      </c>
      <c r="G4144" s="42" t="s">
        <v>763</v>
      </c>
      <c r="H4144" s="42" t="s">
        <v>90</v>
      </c>
      <c r="I4144" s="42" t="s">
        <v>893</v>
      </c>
    </row>
    <row r="4145" spans="1:9">
      <c r="A4145" s="42" t="s">
        <v>1088</v>
      </c>
      <c r="B4145" s="42" t="s">
        <v>193</v>
      </c>
      <c r="C4145" s="42" t="s">
        <v>1090</v>
      </c>
      <c r="D4145" s="42" t="s">
        <v>844</v>
      </c>
      <c r="E4145" s="42" t="s">
        <v>808</v>
      </c>
      <c r="F4145" s="45">
        <v>-2687911661.701656</v>
      </c>
      <c r="G4145" s="42" t="s">
        <v>763</v>
      </c>
      <c r="H4145" s="42" t="s">
        <v>90</v>
      </c>
      <c r="I4145" s="42" t="s">
        <v>893</v>
      </c>
    </row>
    <row r="4146" spans="1:9">
      <c r="A4146" s="42" t="s">
        <v>1088</v>
      </c>
      <c r="B4146" s="42" t="s">
        <v>194</v>
      </c>
      <c r="C4146" s="42" t="s">
        <v>1091</v>
      </c>
      <c r="D4146" s="42" t="s">
        <v>844</v>
      </c>
      <c r="E4146" s="42" t="s">
        <v>808</v>
      </c>
      <c r="F4146" s="45">
        <v>671067011.1736393</v>
      </c>
      <c r="G4146" s="42" t="s">
        <v>763</v>
      </c>
      <c r="H4146" s="42" t="s">
        <v>90</v>
      </c>
      <c r="I4146" s="42" t="s">
        <v>893</v>
      </c>
    </row>
    <row r="4147" spans="1:9">
      <c r="A4147" s="42" t="s">
        <v>1088</v>
      </c>
      <c r="B4147" s="42" t="s">
        <v>195</v>
      </c>
      <c r="C4147" s="42" t="s">
        <v>1092</v>
      </c>
      <c r="D4147" s="42" t="s">
        <v>844</v>
      </c>
      <c r="E4147" s="42" t="s">
        <v>808</v>
      </c>
      <c r="F4147" s="45">
        <v>-251974077.5331755</v>
      </c>
      <c r="G4147" s="42" t="s">
        <v>763</v>
      </c>
      <c r="H4147" s="42" t="s">
        <v>90</v>
      </c>
      <c r="I4147" s="42" t="s">
        <v>893</v>
      </c>
    </row>
    <row r="4148" spans="1:9">
      <c r="A4148" s="42" t="s">
        <v>1088</v>
      </c>
      <c r="B4148" s="42" t="s">
        <v>196</v>
      </c>
      <c r="C4148" s="42" t="s">
        <v>1093</v>
      </c>
      <c r="D4148" s="42" t="s">
        <v>844</v>
      </c>
      <c r="E4148" s="42" t="s">
        <v>808</v>
      </c>
      <c r="F4148" s="45">
        <v>-122343421.7594889</v>
      </c>
      <c r="G4148" s="42" t="s">
        <v>763</v>
      </c>
      <c r="H4148" s="42" t="s">
        <v>90</v>
      </c>
      <c r="I4148" s="42" t="s">
        <v>893</v>
      </c>
    </row>
    <row r="4149" spans="1:9">
      <c r="A4149" s="42" t="s">
        <v>1088</v>
      </c>
      <c r="B4149" s="42" t="s">
        <v>197</v>
      </c>
      <c r="C4149" s="42" t="s">
        <v>1094</v>
      </c>
      <c r="D4149" s="42" t="s">
        <v>844</v>
      </c>
      <c r="E4149" s="42" t="s">
        <v>808</v>
      </c>
      <c r="F4149" s="45">
        <v>-39027756.81547453</v>
      </c>
      <c r="G4149" s="42" t="s">
        <v>763</v>
      </c>
      <c r="H4149" s="42" t="s">
        <v>90</v>
      </c>
      <c r="I4149" s="42" t="s">
        <v>893</v>
      </c>
    </row>
    <row r="4150" spans="1:9">
      <c r="A4150" s="42" t="s">
        <v>1088</v>
      </c>
      <c r="B4150" s="42" t="s">
        <v>199</v>
      </c>
      <c r="C4150" s="42" t="s">
        <v>1097</v>
      </c>
      <c r="D4150" s="42" t="s">
        <v>844</v>
      </c>
      <c r="E4150" s="42" t="s">
        <v>808</v>
      </c>
      <c r="F4150" s="45">
        <v>15061994.24765519</v>
      </c>
      <c r="G4150" s="42" t="s">
        <v>763</v>
      </c>
      <c r="H4150" s="42" t="s">
        <v>90</v>
      </c>
      <c r="I4150" s="42" t="s">
        <v>893</v>
      </c>
    </row>
    <row r="4151" spans="1:9">
      <c r="A4151" s="42" t="s">
        <v>1088</v>
      </c>
      <c r="B4151" s="42" t="s">
        <v>200</v>
      </c>
      <c r="C4151" s="42" t="s">
        <v>1098</v>
      </c>
      <c r="D4151" s="42" t="s">
        <v>844</v>
      </c>
      <c r="E4151" s="42" t="s">
        <v>808</v>
      </c>
      <c r="F4151" s="45">
        <v>272783749.3131557</v>
      </c>
      <c r="G4151" s="42" t="s">
        <v>763</v>
      </c>
      <c r="H4151" s="42" t="s">
        <v>90</v>
      </c>
      <c r="I4151" s="42" t="s">
        <v>893</v>
      </c>
    </row>
    <row r="4152" spans="1:9">
      <c r="A4152" s="42" t="s">
        <v>1088</v>
      </c>
      <c r="B4152" s="42" t="s">
        <v>201</v>
      </c>
      <c r="C4152" s="42" t="s">
        <v>1099</v>
      </c>
      <c r="D4152" s="42" t="s">
        <v>844</v>
      </c>
      <c r="E4152" s="42" t="s">
        <v>808</v>
      </c>
      <c r="F4152" s="45">
        <v>40002809.25399395</v>
      </c>
      <c r="G4152" s="42" t="s">
        <v>763</v>
      </c>
      <c r="H4152" s="42" t="s">
        <v>90</v>
      </c>
      <c r="I4152" s="42" t="s">
        <v>893</v>
      </c>
    </row>
    <row r="4153" spans="1:9">
      <c r="A4153" s="42" t="s">
        <v>1088</v>
      </c>
      <c r="B4153" s="42" t="s">
        <v>202</v>
      </c>
      <c r="C4153" s="42" t="s">
        <v>1100</v>
      </c>
      <c r="D4153" s="42" t="s">
        <v>844</v>
      </c>
      <c r="E4153" s="42" t="s">
        <v>808</v>
      </c>
      <c r="F4153" s="45">
        <v>650282998.6683571</v>
      </c>
      <c r="G4153" s="42" t="s">
        <v>763</v>
      </c>
      <c r="H4153" s="42" t="s">
        <v>90</v>
      </c>
      <c r="I4153" s="42" t="s">
        <v>893</v>
      </c>
    </row>
    <row r="4154" spans="1:9">
      <c r="A4154" s="42" t="s">
        <v>1088</v>
      </c>
      <c r="B4154" s="42" t="s">
        <v>225</v>
      </c>
      <c r="C4154" s="42" t="s">
        <v>1101</v>
      </c>
      <c r="D4154" s="42" t="s">
        <v>844</v>
      </c>
      <c r="E4154" s="42" t="s">
        <v>808</v>
      </c>
      <c r="F4154" s="45">
        <v>-513108516.133494</v>
      </c>
      <c r="G4154" s="42" t="s">
        <v>763</v>
      </c>
      <c r="H4154" s="42" t="s">
        <v>90</v>
      </c>
      <c r="I4154" s="42" t="s">
        <v>864</v>
      </c>
    </row>
    <row r="4155" spans="1:9">
      <c r="A4155" s="42" t="s">
        <v>1088</v>
      </c>
      <c r="B4155" s="42" t="s">
        <v>204</v>
      </c>
      <c r="C4155" s="42" t="s">
        <v>1102</v>
      </c>
      <c r="D4155" s="42" t="s">
        <v>844</v>
      </c>
      <c r="E4155" s="42" t="s">
        <v>808</v>
      </c>
      <c r="F4155" s="45">
        <v>68689878.3662231</v>
      </c>
      <c r="G4155" s="42" t="s">
        <v>763</v>
      </c>
      <c r="H4155" s="42" t="s">
        <v>90</v>
      </c>
      <c r="I4155" s="42" t="s">
        <v>893</v>
      </c>
    </row>
    <row r="4156" spans="1:9">
      <c r="A4156" s="42" t="s">
        <v>1088</v>
      </c>
      <c r="B4156" s="42" t="s">
        <v>205</v>
      </c>
      <c r="C4156" s="42" t="s">
        <v>1103</v>
      </c>
      <c r="D4156" s="42" t="s">
        <v>844</v>
      </c>
      <c r="E4156" s="42" t="s">
        <v>808</v>
      </c>
      <c r="F4156" s="45">
        <v>205864360.9010862</v>
      </c>
      <c r="G4156" s="42" t="s">
        <v>763</v>
      </c>
      <c r="H4156" s="42" t="s">
        <v>90</v>
      </c>
      <c r="I4156" s="42" t="s">
        <v>893</v>
      </c>
    </row>
    <row r="4157" spans="1:9">
      <c r="A4157" s="42" t="s">
        <v>1088</v>
      </c>
      <c r="B4157" s="42" t="s">
        <v>206</v>
      </c>
      <c r="C4157" s="42" t="s">
        <v>1104</v>
      </c>
      <c r="D4157" s="42" t="s">
        <v>844</v>
      </c>
      <c r="E4157" s="42" t="s">
        <v>808</v>
      </c>
      <c r="F4157" s="45">
        <v>518650919.4682359</v>
      </c>
      <c r="G4157" s="42" t="s">
        <v>763</v>
      </c>
      <c r="H4157" s="42" t="s">
        <v>90</v>
      </c>
      <c r="I4157" s="42" t="s">
        <v>893</v>
      </c>
    </row>
    <row r="4158" spans="1:9">
      <c r="A4158" s="42" t="s">
        <v>1088</v>
      </c>
      <c r="B4158" s="42" t="s">
        <v>207</v>
      </c>
      <c r="C4158" s="42" t="s">
        <v>1105</v>
      </c>
      <c r="D4158" s="42" t="s">
        <v>844</v>
      </c>
      <c r="E4158" s="42" t="s">
        <v>808</v>
      </c>
      <c r="F4158" s="45">
        <v>-727850986.0800464</v>
      </c>
      <c r="G4158" s="42" t="s">
        <v>763</v>
      </c>
      <c r="H4158" s="42" t="s">
        <v>90</v>
      </c>
      <c r="I4158" s="42" t="s">
        <v>893</v>
      </c>
    </row>
    <row r="4159" spans="1:9">
      <c r="A4159" s="42" t="s">
        <v>1088</v>
      </c>
      <c r="B4159" s="42" t="s">
        <v>208</v>
      </c>
      <c r="C4159" s="42" t="s">
        <v>1106</v>
      </c>
      <c r="D4159" s="42" t="s">
        <v>844</v>
      </c>
      <c r="E4159" s="42" t="s">
        <v>808</v>
      </c>
      <c r="F4159" s="45">
        <v>-209200066.6118106</v>
      </c>
      <c r="G4159" s="42" t="s">
        <v>763</v>
      </c>
      <c r="H4159" s="42" t="s">
        <v>90</v>
      </c>
      <c r="I4159" s="42" t="s">
        <v>893</v>
      </c>
    </row>
    <row r="4160" spans="1:9">
      <c r="A4160" s="42" t="s">
        <v>1088</v>
      </c>
      <c r="B4160" s="42" t="s">
        <v>210</v>
      </c>
      <c r="C4160" s="42" t="s">
        <v>1124</v>
      </c>
      <c r="D4160" s="42" t="s">
        <v>844</v>
      </c>
      <c r="E4160" s="42" t="s">
        <v>808</v>
      </c>
      <c r="F4160" s="45">
        <v>60068362.06773562</v>
      </c>
      <c r="G4160" s="42" t="s">
        <v>763</v>
      </c>
      <c r="H4160" s="42" t="s">
        <v>90</v>
      </c>
      <c r="I4160" s="42" t="s">
        <v>893</v>
      </c>
    </row>
    <row r="4161" spans="1:9">
      <c r="A4161" s="42" t="s">
        <v>1088</v>
      </c>
      <c r="B4161" s="42" t="s">
        <v>227</v>
      </c>
      <c r="C4161" s="42" t="s">
        <v>1107</v>
      </c>
      <c r="D4161" s="42" t="s">
        <v>844</v>
      </c>
      <c r="E4161" s="42" t="s">
        <v>808</v>
      </c>
      <c r="F4161" s="45">
        <v>-51087615.92347784</v>
      </c>
      <c r="G4161" s="42" t="s">
        <v>763</v>
      </c>
      <c r="H4161" s="42" t="s">
        <v>90</v>
      </c>
      <c r="I4161" s="42" t="s">
        <v>864</v>
      </c>
    </row>
    <row r="4162" spans="1:9">
      <c r="A4162" s="42" t="s">
        <v>1088</v>
      </c>
      <c r="B4162" s="42" t="s">
        <v>211</v>
      </c>
      <c r="C4162" s="42" t="s">
        <v>1108</v>
      </c>
      <c r="D4162" s="42" t="s">
        <v>844</v>
      </c>
      <c r="E4162" s="42" t="s">
        <v>808</v>
      </c>
      <c r="F4162" s="45">
        <v>1445566558.654431</v>
      </c>
      <c r="G4162" s="42" t="s">
        <v>763</v>
      </c>
      <c r="H4162" s="42" t="s">
        <v>90</v>
      </c>
      <c r="I4162" s="42" t="s">
        <v>893</v>
      </c>
    </row>
    <row r="4163" spans="1:9">
      <c r="A4163" s="42" t="s">
        <v>1088</v>
      </c>
      <c r="B4163" s="42" t="s">
        <v>228</v>
      </c>
      <c r="C4163" s="42" t="s">
        <v>1109</v>
      </c>
      <c r="D4163" s="42" t="s">
        <v>844</v>
      </c>
      <c r="E4163" s="42" t="s">
        <v>808</v>
      </c>
      <c r="F4163" s="45">
        <v>1436585812.510173</v>
      </c>
      <c r="G4163" s="42" t="s">
        <v>763</v>
      </c>
      <c r="H4163" s="42" t="s">
        <v>90</v>
      </c>
      <c r="I4163" s="42" t="s">
        <v>884</v>
      </c>
    </row>
    <row r="4164" spans="1:9">
      <c r="A4164" s="42" t="s">
        <v>1088</v>
      </c>
      <c r="B4164" s="42" t="s">
        <v>212</v>
      </c>
      <c r="C4164" s="42" t="s">
        <v>1110</v>
      </c>
      <c r="D4164" s="42" t="s">
        <v>844</v>
      </c>
      <c r="E4164" s="42" t="s">
        <v>808</v>
      </c>
      <c r="F4164" s="45">
        <v>1236366492.04262</v>
      </c>
      <c r="G4164" s="42" t="s">
        <v>763</v>
      </c>
      <c r="H4164" s="42" t="s">
        <v>90</v>
      </c>
      <c r="I4164" s="42" t="s">
        <v>893</v>
      </c>
    </row>
    <row r="4165" spans="1:9">
      <c r="A4165" s="42" t="s">
        <v>1088</v>
      </c>
      <c r="B4165" s="42" t="s">
        <v>1111</v>
      </c>
      <c r="C4165" s="42" t="s">
        <v>1112</v>
      </c>
      <c r="D4165" s="42" t="s">
        <v>844</v>
      </c>
      <c r="E4165" s="42" t="s">
        <v>808</v>
      </c>
      <c r="F4165" s="45">
        <v>-210021163.4021427</v>
      </c>
      <c r="G4165" s="42" t="s">
        <v>763</v>
      </c>
      <c r="H4165" s="42" t="s">
        <v>90</v>
      </c>
      <c r="I4165" s="42" t="s">
        <v>893</v>
      </c>
    </row>
    <row r="4166" spans="1:9">
      <c r="A4166" s="42" t="s">
        <v>1088</v>
      </c>
      <c r="B4166" s="42" t="s">
        <v>261</v>
      </c>
      <c r="C4166" s="42" t="s">
        <v>1113</v>
      </c>
      <c r="D4166" s="42" t="s">
        <v>844</v>
      </c>
      <c r="E4166" s="42" t="s">
        <v>808</v>
      </c>
      <c r="F4166" s="45">
        <v>821096.7903321402</v>
      </c>
      <c r="G4166" s="42" t="s">
        <v>763</v>
      </c>
      <c r="H4166" s="42" t="s">
        <v>90</v>
      </c>
      <c r="I4166" s="42" t="s">
        <v>893</v>
      </c>
    </row>
    <row r="4167" spans="1:9">
      <c r="A4167" s="42" t="s">
        <v>1088</v>
      </c>
      <c r="B4167" s="42" t="s">
        <v>1111</v>
      </c>
      <c r="C4167" s="42" t="s">
        <v>1114</v>
      </c>
      <c r="D4167" s="42" t="s">
        <v>844</v>
      </c>
      <c r="E4167" s="42" t="s">
        <v>808</v>
      </c>
      <c r="F4167" s="45">
        <v>1433378403.172938</v>
      </c>
      <c r="G4167" s="42" t="s">
        <v>763</v>
      </c>
      <c r="H4167" s="42" t="s">
        <v>90</v>
      </c>
      <c r="I4167" s="42" t="s">
        <v>893</v>
      </c>
    </row>
    <row r="4168" spans="1:9">
      <c r="A4168" s="42" t="s">
        <v>1088</v>
      </c>
      <c r="B4168" s="42" t="s">
        <v>261</v>
      </c>
      <c r="C4168" s="42" t="s">
        <v>1125</v>
      </c>
      <c r="D4168" s="42" t="s">
        <v>844</v>
      </c>
      <c r="E4168" s="42" t="s">
        <v>808</v>
      </c>
      <c r="F4168" s="45">
        <v>12188155.4814927</v>
      </c>
      <c r="G4168" s="42" t="s">
        <v>763</v>
      </c>
      <c r="H4168" s="42" t="s">
        <v>90</v>
      </c>
      <c r="I4168" s="42" t="s">
        <v>893</v>
      </c>
    </row>
    <row r="4169" spans="1:9">
      <c r="A4169" s="42" t="s">
        <v>1088</v>
      </c>
      <c r="B4169" s="42" t="s">
        <v>1111</v>
      </c>
      <c r="C4169" s="42" t="s">
        <v>1115</v>
      </c>
      <c r="D4169" s="42" t="s">
        <v>844</v>
      </c>
      <c r="E4169" s="42" t="s">
        <v>808</v>
      </c>
      <c r="F4169" s="45">
        <v>1223357239.770795</v>
      </c>
      <c r="G4169" s="42" t="s">
        <v>763</v>
      </c>
      <c r="H4169" s="42" t="s">
        <v>90</v>
      </c>
      <c r="I4169" s="42" t="s">
        <v>893</v>
      </c>
    </row>
    <row r="4170" spans="1:9">
      <c r="A4170" s="42" t="s">
        <v>1088</v>
      </c>
      <c r="B4170" s="42" t="s">
        <v>261</v>
      </c>
      <c r="C4170" s="42" t="s">
        <v>1116</v>
      </c>
      <c r="D4170" s="42" t="s">
        <v>844</v>
      </c>
      <c r="E4170" s="42" t="s">
        <v>808</v>
      </c>
      <c r="F4170" s="45">
        <v>13009252.27182484</v>
      </c>
      <c r="G4170" s="42" t="s">
        <v>763</v>
      </c>
      <c r="H4170" s="42" t="s">
        <v>90</v>
      </c>
      <c r="I4170" s="42" t="s">
        <v>893</v>
      </c>
    </row>
    <row r="4171" spans="1:9">
      <c r="A4171" s="42" t="s">
        <v>1088</v>
      </c>
      <c r="B4171" s="42" t="s">
        <v>219</v>
      </c>
      <c r="C4171" s="42" t="s">
        <v>1117</v>
      </c>
      <c r="D4171" s="42" t="s">
        <v>844</v>
      </c>
      <c r="E4171" s="42" t="s">
        <v>808</v>
      </c>
      <c r="F4171" s="45">
        <v>-535252.4701977638</v>
      </c>
      <c r="G4171" s="42" t="s">
        <v>763</v>
      </c>
      <c r="H4171" s="42" t="s">
        <v>90</v>
      </c>
      <c r="I4171" s="42" t="s">
        <v>893</v>
      </c>
    </row>
    <row r="4172" spans="1:9">
      <c r="A4172" s="42" t="s">
        <v>1088</v>
      </c>
      <c r="B4172" s="42" t="s">
        <v>192</v>
      </c>
      <c r="C4172" s="42" t="s">
        <v>1089</v>
      </c>
      <c r="D4172" s="42" t="s">
        <v>847</v>
      </c>
      <c r="E4172" s="42" t="s">
        <v>808</v>
      </c>
      <c r="F4172" s="45">
        <v>3656509814.18594</v>
      </c>
      <c r="G4172" s="42" t="s">
        <v>763</v>
      </c>
      <c r="H4172" s="42" t="s">
        <v>92</v>
      </c>
      <c r="I4172" s="42" t="s">
        <v>893</v>
      </c>
    </row>
    <row r="4173" spans="1:9">
      <c r="A4173" s="42" t="s">
        <v>1088</v>
      </c>
      <c r="B4173" s="42" t="s">
        <v>193</v>
      </c>
      <c r="C4173" s="42" t="s">
        <v>1090</v>
      </c>
      <c r="D4173" s="42" t="s">
        <v>847</v>
      </c>
      <c r="E4173" s="42" t="s">
        <v>808</v>
      </c>
      <c r="F4173" s="45">
        <v>-3060855108.381572</v>
      </c>
      <c r="G4173" s="42" t="s">
        <v>763</v>
      </c>
      <c r="H4173" s="42" t="s">
        <v>92</v>
      </c>
      <c r="I4173" s="42" t="s">
        <v>893</v>
      </c>
    </row>
    <row r="4174" spans="1:9">
      <c r="A4174" s="42" t="s">
        <v>1088</v>
      </c>
      <c r="B4174" s="42" t="s">
        <v>194</v>
      </c>
      <c r="C4174" s="42" t="s">
        <v>1091</v>
      </c>
      <c r="D4174" s="42" t="s">
        <v>847</v>
      </c>
      <c r="E4174" s="42" t="s">
        <v>808</v>
      </c>
      <c r="F4174" s="45">
        <v>595654705.8043671</v>
      </c>
      <c r="G4174" s="42" t="s">
        <v>763</v>
      </c>
      <c r="H4174" s="42" t="s">
        <v>92</v>
      </c>
      <c r="I4174" s="42" t="s">
        <v>893</v>
      </c>
    </row>
    <row r="4175" spans="1:9">
      <c r="A4175" s="42" t="s">
        <v>1088</v>
      </c>
      <c r="B4175" s="42" t="s">
        <v>195</v>
      </c>
      <c r="C4175" s="42" t="s">
        <v>1092</v>
      </c>
      <c r="D4175" s="42" t="s">
        <v>847</v>
      </c>
      <c r="E4175" s="42" t="s">
        <v>808</v>
      </c>
      <c r="F4175" s="45">
        <v>-255818165.0588707</v>
      </c>
      <c r="G4175" s="42" t="s">
        <v>763</v>
      </c>
      <c r="H4175" s="42" t="s">
        <v>92</v>
      </c>
      <c r="I4175" s="42" t="s">
        <v>893</v>
      </c>
    </row>
    <row r="4176" spans="1:9">
      <c r="A4176" s="42" t="s">
        <v>1088</v>
      </c>
      <c r="B4176" s="42" t="s">
        <v>196</v>
      </c>
      <c r="C4176" s="42" t="s">
        <v>1093</v>
      </c>
      <c r="D4176" s="42" t="s">
        <v>847</v>
      </c>
      <c r="E4176" s="42" t="s">
        <v>808</v>
      </c>
      <c r="F4176" s="45">
        <v>-131273010.4376268</v>
      </c>
      <c r="G4176" s="42" t="s">
        <v>763</v>
      </c>
      <c r="H4176" s="42" t="s">
        <v>92</v>
      </c>
      <c r="I4176" s="42" t="s">
        <v>893</v>
      </c>
    </row>
    <row r="4177" spans="1:9">
      <c r="A4177" s="42" t="s">
        <v>1088</v>
      </c>
      <c r="B4177" s="42" t="s">
        <v>197</v>
      </c>
      <c r="C4177" s="42" t="s">
        <v>1094</v>
      </c>
      <c r="D4177" s="42" t="s">
        <v>847</v>
      </c>
      <c r="E4177" s="42" t="s">
        <v>808</v>
      </c>
      <c r="F4177" s="45">
        <v>-24083443.19356044</v>
      </c>
      <c r="G4177" s="42" t="s">
        <v>763</v>
      </c>
      <c r="H4177" s="42" t="s">
        <v>92</v>
      </c>
      <c r="I4177" s="42" t="s">
        <v>893</v>
      </c>
    </row>
    <row r="4178" spans="1:9">
      <c r="A4178" s="42" t="s">
        <v>1088</v>
      </c>
      <c r="B4178" s="42" t="s">
        <v>199</v>
      </c>
      <c r="C4178" s="42" t="s">
        <v>1097</v>
      </c>
      <c r="D4178" s="42" t="s">
        <v>847</v>
      </c>
      <c r="E4178" s="42" t="s">
        <v>808</v>
      </c>
      <c r="F4178" s="45">
        <v>-21004593.92165641</v>
      </c>
      <c r="G4178" s="42" t="s">
        <v>763</v>
      </c>
      <c r="H4178" s="42" t="s">
        <v>92</v>
      </c>
      <c r="I4178" s="42" t="s">
        <v>893</v>
      </c>
    </row>
    <row r="4179" spans="1:9">
      <c r="A4179" s="42" t="s">
        <v>1088</v>
      </c>
      <c r="B4179" s="42" t="s">
        <v>200</v>
      </c>
      <c r="C4179" s="42" t="s">
        <v>1098</v>
      </c>
      <c r="D4179" s="42" t="s">
        <v>847</v>
      </c>
      <c r="E4179" s="42" t="s">
        <v>808</v>
      </c>
      <c r="F4179" s="45">
        <v>163475493.1926527</v>
      </c>
      <c r="G4179" s="42" t="s">
        <v>763</v>
      </c>
      <c r="H4179" s="42" t="s">
        <v>92</v>
      </c>
      <c r="I4179" s="42" t="s">
        <v>893</v>
      </c>
    </row>
    <row r="4180" spans="1:9">
      <c r="A4180" s="42" t="s">
        <v>1088</v>
      </c>
      <c r="B4180" s="42" t="s">
        <v>201</v>
      </c>
      <c r="C4180" s="42" t="s">
        <v>1099</v>
      </c>
      <c r="D4180" s="42" t="s">
        <v>847</v>
      </c>
      <c r="E4180" s="42" t="s">
        <v>808</v>
      </c>
      <c r="F4180" s="45">
        <v>44586298.71535101</v>
      </c>
      <c r="G4180" s="42" t="s">
        <v>763</v>
      </c>
      <c r="H4180" s="42" t="s">
        <v>92</v>
      </c>
      <c r="I4180" s="42" t="s">
        <v>893</v>
      </c>
    </row>
    <row r="4181" spans="1:9">
      <c r="A4181" s="42" t="s">
        <v>1088</v>
      </c>
      <c r="B4181" s="42" t="s">
        <v>202</v>
      </c>
      <c r="C4181" s="42" t="s">
        <v>1100</v>
      </c>
      <c r="D4181" s="42" t="s">
        <v>847</v>
      </c>
      <c r="E4181" s="42" t="s">
        <v>808</v>
      </c>
      <c r="F4181" s="45">
        <v>-126369657.8934834</v>
      </c>
      <c r="G4181" s="42" t="s">
        <v>763</v>
      </c>
      <c r="H4181" s="42" t="s">
        <v>92</v>
      </c>
      <c r="I4181" s="42" t="s">
        <v>893</v>
      </c>
    </row>
    <row r="4182" spans="1:9">
      <c r="A4182" s="42" t="s">
        <v>1088</v>
      </c>
      <c r="B4182" s="42" t="s">
        <v>225</v>
      </c>
      <c r="C4182" s="42" t="s">
        <v>1101</v>
      </c>
      <c r="D4182" s="42" t="s">
        <v>847</v>
      </c>
      <c r="E4182" s="42" t="s">
        <v>808</v>
      </c>
      <c r="F4182" s="45">
        <v>-243251898.7713217</v>
      </c>
      <c r="G4182" s="42" t="s">
        <v>763</v>
      </c>
      <c r="H4182" s="42" t="s">
        <v>92</v>
      </c>
      <c r="I4182" s="42" t="s">
        <v>864</v>
      </c>
    </row>
    <row r="4183" spans="1:9">
      <c r="A4183" s="42" t="s">
        <v>1088</v>
      </c>
      <c r="B4183" s="42" t="s">
        <v>204</v>
      </c>
      <c r="C4183" s="42" t="s">
        <v>1102</v>
      </c>
      <c r="D4183" s="42" t="s">
        <v>847</v>
      </c>
      <c r="E4183" s="42" t="s">
        <v>808</v>
      </c>
      <c r="F4183" s="45">
        <v>40253103.44378237</v>
      </c>
      <c r="G4183" s="42" t="s">
        <v>763</v>
      </c>
      <c r="H4183" s="42" t="s">
        <v>92</v>
      </c>
      <c r="I4183" s="42" t="s">
        <v>893</v>
      </c>
    </row>
    <row r="4184" spans="1:9">
      <c r="A4184" s="42" t="s">
        <v>1088</v>
      </c>
      <c r="B4184" s="42" t="s">
        <v>205</v>
      </c>
      <c r="C4184" s="42" t="s">
        <v>1103</v>
      </c>
      <c r="D4184" s="42" t="s">
        <v>847</v>
      </c>
      <c r="E4184" s="42" t="s">
        <v>808</v>
      </c>
      <c r="F4184" s="45">
        <v>-329368453.2210227</v>
      </c>
      <c r="G4184" s="42" t="s">
        <v>763</v>
      </c>
      <c r="H4184" s="42" t="s">
        <v>92</v>
      </c>
      <c r="I4184" s="42" t="s">
        <v>893</v>
      </c>
    </row>
    <row r="4185" spans="1:9">
      <c r="A4185" s="42" t="s">
        <v>1088</v>
      </c>
      <c r="B4185" s="42" t="s">
        <v>206</v>
      </c>
      <c r="C4185" s="42" t="s">
        <v>1104</v>
      </c>
      <c r="D4185" s="42" t="s">
        <v>847</v>
      </c>
      <c r="E4185" s="42" t="s">
        <v>808</v>
      </c>
      <c r="F4185" s="45">
        <v>-121306661.3130189</v>
      </c>
      <c r="G4185" s="42" t="s">
        <v>763</v>
      </c>
      <c r="H4185" s="42" t="s">
        <v>92</v>
      </c>
      <c r="I4185" s="42" t="s">
        <v>893</v>
      </c>
    </row>
    <row r="4186" spans="1:9">
      <c r="A4186" s="42" t="s">
        <v>1088</v>
      </c>
      <c r="B4186" s="42" t="s">
        <v>207</v>
      </c>
      <c r="C4186" s="42" t="s">
        <v>1105</v>
      </c>
      <c r="D4186" s="42" t="s">
        <v>847</v>
      </c>
      <c r="E4186" s="42" t="s">
        <v>808</v>
      </c>
      <c r="F4186" s="45">
        <v>68236422.38175459</v>
      </c>
      <c r="G4186" s="42" t="s">
        <v>763</v>
      </c>
      <c r="H4186" s="42" t="s">
        <v>92</v>
      </c>
      <c r="I4186" s="42" t="s">
        <v>893</v>
      </c>
    </row>
    <row r="4187" spans="1:9">
      <c r="A4187" s="42" t="s">
        <v>1088</v>
      </c>
      <c r="B4187" s="42" t="s">
        <v>226</v>
      </c>
      <c r="C4187" s="42" t="s">
        <v>1127</v>
      </c>
      <c r="D4187" s="42" t="s">
        <v>847</v>
      </c>
      <c r="E4187" s="42" t="s">
        <v>808</v>
      </c>
      <c r="F4187" s="45">
        <v>-53070238.93126435</v>
      </c>
      <c r="G4187" s="42" t="s">
        <v>763</v>
      </c>
      <c r="H4187" s="42" t="s">
        <v>92</v>
      </c>
      <c r="I4187" s="42" t="s">
        <v>822</v>
      </c>
    </row>
    <row r="4188" spans="1:9">
      <c r="A4188" s="42" t="s">
        <v>1088</v>
      </c>
      <c r="B4188" s="42" t="s">
        <v>208</v>
      </c>
      <c r="C4188" s="42" t="s">
        <v>1106</v>
      </c>
      <c r="D4188" s="42" t="s">
        <v>847</v>
      </c>
      <c r="E4188" s="42" t="s">
        <v>808</v>
      </c>
      <c r="F4188" s="45">
        <v>-53070238.93126435</v>
      </c>
      <c r="G4188" s="42" t="s">
        <v>763</v>
      </c>
      <c r="H4188" s="42" t="s">
        <v>84</v>
      </c>
      <c r="I4188" s="42" t="s">
        <v>893</v>
      </c>
    </row>
    <row r="4189" spans="1:9">
      <c r="A4189" s="42" t="s">
        <v>1088</v>
      </c>
      <c r="B4189" s="42" t="s">
        <v>210</v>
      </c>
      <c r="C4189" s="42" t="s">
        <v>1124</v>
      </c>
      <c r="D4189" s="42" t="s">
        <v>847</v>
      </c>
      <c r="E4189" s="42" t="s">
        <v>808</v>
      </c>
      <c r="F4189" s="45">
        <v>45658194.38779167</v>
      </c>
      <c r="G4189" s="42" t="s">
        <v>763</v>
      </c>
      <c r="H4189" s="42" t="s">
        <v>92</v>
      </c>
      <c r="I4189" s="42" t="s">
        <v>893</v>
      </c>
    </row>
    <row r="4190" spans="1:9">
      <c r="A4190" s="42" t="s">
        <v>1088</v>
      </c>
      <c r="B4190" s="42" t="s">
        <v>227</v>
      </c>
      <c r="C4190" s="42" t="s">
        <v>1107</v>
      </c>
      <c r="D4190" s="42" t="s">
        <v>847</v>
      </c>
      <c r="E4190" s="42" t="s">
        <v>808</v>
      </c>
      <c r="F4190" s="45">
        <v>9829511.379189916</v>
      </c>
      <c r="G4190" s="42" t="s">
        <v>763</v>
      </c>
      <c r="H4190" s="42" t="s">
        <v>92</v>
      </c>
      <c r="I4190" s="42" t="s">
        <v>864</v>
      </c>
    </row>
    <row r="4191" spans="1:9">
      <c r="A4191" s="42" t="s">
        <v>1088</v>
      </c>
      <c r="B4191" s="42" t="s">
        <v>211</v>
      </c>
      <c r="C4191" s="42" t="s">
        <v>1108</v>
      </c>
      <c r="D4191" s="42" t="s">
        <v>847</v>
      </c>
      <c r="E4191" s="42" t="s">
        <v>808</v>
      </c>
      <c r="F4191" s="45">
        <v>-123769740.7305422</v>
      </c>
      <c r="G4191" s="42" t="s">
        <v>763</v>
      </c>
      <c r="H4191" s="42" t="s">
        <v>92</v>
      </c>
      <c r="I4191" s="42" t="s">
        <v>893</v>
      </c>
    </row>
    <row r="4192" spans="1:9">
      <c r="A4192" s="42" t="s">
        <v>1088</v>
      </c>
      <c r="B4192" s="42" t="s">
        <v>228</v>
      </c>
      <c r="C4192" s="42" t="s">
        <v>1109</v>
      </c>
      <c r="D4192" s="42" t="s">
        <v>847</v>
      </c>
      <c r="E4192" s="42" t="s">
        <v>808</v>
      </c>
      <c r="F4192" s="45">
        <v>-179257446.4975238</v>
      </c>
      <c r="G4192" s="42" t="s">
        <v>763</v>
      </c>
      <c r="H4192" s="42" t="s">
        <v>92</v>
      </c>
      <c r="I4192" s="42" t="s">
        <v>884</v>
      </c>
    </row>
    <row r="4193" spans="1:9">
      <c r="A4193" s="42" t="s">
        <v>1088</v>
      </c>
      <c r="B4193" s="42" t="s">
        <v>212</v>
      </c>
      <c r="C4193" s="42" t="s">
        <v>1110</v>
      </c>
      <c r="D4193" s="42" t="s">
        <v>847</v>
      </c>
      <c r="E4193" s="42" t="s">
        <v>808</v>
      </c>
      <c r="F4193" s="45">
        <v>-176839979.6618065</v>
      </c>
      <c r="G4193" s="42" t="s">
        <v>763</v>
      </c>
      <c r="H4193" s="42" t="s">
        <v>92</v>
      </c>
      <c r="I4193" s="42" t="s">
        <v>893</v>
      </c>
    </row>
    <row r="4194" spans="1:9">
      <c r="A4194" s="42" t="s">
        <v>1088</v>
      </c>
      <c r="B4194" s="42" t="s">
        <v>1111</v>
      </c>
      <c r="C4194" s="42" t="s">
        <v>1112</v>
      </c>
      <c r="D4194" s="42" t="s">
        <v>847</v>
      </c>
      <c r="E4194" s="42" t="s">
        <v>808</v>
      </c>
      <c r="F4194" s="45">
        <v>-61212084.78363279</v>
      </c>
      <c r="G4194" s="42" t="s">
        <v>763</v>
      </c>
      <c r="H4194" s="42" t="s">
        <v>92</v>
      </c>
      <c r="I4194" s="42" t="s">
        <v>893</v>
      </c>
    </row>
    <row r="4195" spans="1:9">
      <c r="A4195" s="42" t="s">
        <v>1088</v>
      </c>
      <c r="B4195" s="42" t="s">
        <v>261</v>
      </c>
      <c r="C4195" s="42" t="s">
        <v>1113</v>
      </c>
      <c r="D4195" s="42" t="s">
        <v>847</v>
      </c>
      <c r="E4195" s="42" t="s">
        <v>808</v>
      </c>
      <c r="F4195" s="45">
        <v>8141845.852368446</v>
      </c>
      <c r="G4195" s="42" t="s">
        <v>763</v>
      </c>
      <c r="H4195" s="42" t="s">
        <v>92</v>
      </c>
      <c r="I4195" s="42" t="s">
        <v>893</v>
      </c>
    </row>
    <row r="4196" spans="1:9">
      <c r="A4196" s="42" t="s">
        <v>1088</v>
      </c>
      <c r="B4196" s="42" t="s">
        <v>1111</v>
      </c>
      <c r="C4196" s="42" t="s">
        <v>1114</v>
      </c>
      <c r="D4196" s="42" t="s">
        <v>847</v>
      </c>
      <c r="E4196" s="42" t="s">
        <v>808</v>
      </c>
      <c r="F4196" s="45">
        <v>-132162455.7828435</v>
      </c>
      <c r="G4196" s="42" t="s">
        <v>763</v>
      </c>
      <c r="H4196" s="42" t="s">
        <v>92</v>
      </c>
      <c r="I4196" s="42" t="s">
        <v>893</v>
      </c>
    </row>
    <row r="4197" spans="1:9">
      <c r="A4197" s="42" t="s">
        <v>1088</v>
      </c>
      <c r="B4197" s="42" t="s">
        <v>261</v>
      </c>
      <c r="C4197" s="42" t="s">
        <v>1125</v>
      </c>
      <c r="D4197" s="42" t="s">
        <v>847</v>
      </c>
      <c r="E4197" s="42" t="s">
        <v>808</v>
      </c>
      <c r="F4197" s="45">
        <v>8392715.052301366</v>
      </c>
      <c r="G4197" s="42" t="s">
        <v>763</v>
      </c>
      <c r="H4197" s="42" t="s">
        <v>92</v>
      </c>
      <c r="I4197" s="42" t="s">
        <v>893</v>
      </c>
    </row>
    <row r="4198" spans="1:9">
      <c r="A4198" s="42" t="s">
        <v>1088</v>
      </c>
      <c r="B4198" s="42" t="s">
        <v>1111</v>
      </c>
      <c r="C4198" s="42" t="s">
        <v>1115</v>
      </c>
      <c r="D4198" s="42" t="s">
        <v>847</v>
      </c>
      <c r="E4198" s="42" t="s">
        <v>808</v>
      </c>
      <c r="F4198" s="45">
        <v>-193374540.5664763</v>
      </c>
      <c r="G4198" s="42" t="s">
        <v>763</v>
      </c>
      <c r="H4198" s="42" t="s">
        <v>92</v>
      </c>
      <c r="I4198" s="42" t="s">
        <v>893</v>
      </c>
    </row>
    <row r="4199" spans="1:9">
      <c r="A4199" s="42" t="s">
        <v>1088</v>
      </c>
      <c r="B4199" s="42" t="s">
        <v>261</v>
      </c>
      <c r="C4199" s="42" t="s">
        <v>1116</v>
      </c>
      <c r="D4199" s="42" t="s">
        <v>847</v>
      </c>
      <c r="E4199" s="42" t="s">
        <v>808</v>
      </c>
      <c r="F4199" s="45">
        <v>16534560.90466981</v>
      </c>
      <c r="G4199" s="42" t="s">
        <v>763</v>
      </c>
      <c r="H4199" s="42" t="s">
        <v>92</v>
      </c>
      <c r="I4199" s="42" t="s">
        <v>893</v>
      </c>
    </row>
    <row r="4200" spans="1:9">
      <c r="A4200" s="42" t="s">
        <v>1088</v>
      </c>
      <c r="B4200" s="42" t="s">
        <v>219</v>
      </c>
      <c r="C4200" s="42" t="s">
        <v>1117</v>
      </c>
      <c r="D4200" s="42" t="s">
        <v>847</v>
      </c>
      <c r="E4200" s="42" t="s">
        <v>808</v>
      </c>
      <c r="F4200" s="45">
        <v>-156223.092685501</v>
      </c>
      <c r="G4200" s="42" t="s">
        <v>763</v>
      </c>
      <c r="H4200" s="42" t="s">
        <v>92</v>
      </c>
      <c r="I4200" s="42" t="s">
        <v>893</v>
      </c>
    </row>
    <row r="4201" spans="1:9">
      <c r="A4201" s="42" t="s">
        <v>1088</v>
      </c>
      <c r="B4201" s="42" t="s">
        <v>192</v>
      </c>
      <c r="C4201" s="42" t="s">
        <v>1089</v>
      </c>
      <c r="D4201" s="42" t="s">
        <v>1021</v>
      </c>
      <c r="E4201" s="42" t="s">
        <v>808</v>
      </c>
      <c r="F4201" s="45">
        <v>3583497553.158939</v>
      </c>
      <c r="G4201" s="42" t="s">
        <v>763</v>
      </c>
      <c r="H4201" s="42" t="s">
        <v>94</v>
      </c>
      <c r="I4201" s="42" t="s">
        <v>893</v>
      </c>
    </row>
    <row r="4202" spans="1:9">
      <c r="A4202" s="42" t="s">
        <v>1088</v>
      </c>
      <c r="B4202" s="42" t="s">
        <v>193</v>
      </c>
      <c r="C4202" s="42" t="s">
        <v>1090</v>
      </c>
      <c r="D4202" s="42" t="s">
        <v>1021</v>
      </c>
      <c r="E4202" s="42" t="s">
        <v>808</v>
      </c>
      <c r="F4202" s="45">
        <v>-2970854094.259454</v>
      </c>
      <c r="G4202" s="42" t="s">
        <v>763</v>
      </c>
      <c r="H4202" s="42" t="s">
        <v>94</v>
      </c>
      <c r="I4202" s="42" t="s">
        <v>893</v>
      </c>
    </row>
    <row r="4203" spans="1:9">
      <c r="A4203" s="42" t="s">
        <v>1088</v>
      </c>
      <c r="B4203" s="42" t="s">
        <v>194</v>
      </c>
      <c r="C4203" s="42" t="s">
        <v>1091</v>
      </c>
      <c r="D4203" s="42" t="s">
        <v>1021</v>
      </c>
      <c r="E4203" s="42" t="s">
        <v>808</v>
      </c>
      <c r="F4203" s="45">
        <v>612643458.8994856</v>
      </c>
      <c r="G4203" s="42" t="s">
        <v>763</v>
      </c>
      <c r="H4203" s="42" t="s">
        <v>94</v>
      </c>
      <c r="I4203" s="42" t="s">
        <v>893</v>
      </c>
    </row>
    <row r="4204" spans="1:9">
      <c r="A4204" s="42" t="s">
        <v>1088</v>
      </c>
      <c r="B4204" s="42" t="s">
        <v>195</v>
      </c>
      <c r="C4204" s="42" t="s">
        <v>1092</v>
      </c>
      <c r="D4204" s="42" t="s">
        <v>1021</v>
      </c>
      <c r="E4204" s="42" t="s">
        <v>808</v>
      </c>
      <c r="F4204" s="45">
        <v>-236279801.4258049</v>
      </c>
      <c r="G4204" s="42" t="s">
        <v>763</v>
      </c>
      <c r="H4204" s="42" t="s">
        <v>94</v>
      </c>
      <c r="I4204" s="42" t="s">
        <v>893</v>
      </c>
    </row>
    <row r="4205" spans="1:9">
      <c r="A4205" s="42" t="s">
        <v>1088</v>
      </c>
      <c r="B4205" s="42" t="s">
        <v>196</v>
      </c>
      <c r="C4205" s="42" t="s">
        <v>1093</v>
      </c>
      <c r="D4205" s="42" t="s">
        <v>1021</v>
      </c>
      <c r="E4205" s="42" t="s">
        <v>808</v>
      </c>
      <c r="F4205" s="45">
        <v>-120205214.156194</v>
      </c>
      <c r="G4205" s="42" t="s">
        <v>763</v>
      </c>
      <c r="H4205" s="42" t="s">
        <v>94</v>
      </c>
      <c r="I4205" s="42" t="s">
        <v>893</v>
      </c>
    </row>
    <row r="4206" spans="1:9">
      <c r="A4206" s="42" t="s">
        <v>1088</v>
      </c>
      <c r="B4206" s="42" t="s">
        <v>197</v>
      </c>
      <c r="C4206" s="42" t="s">
        <v>1094</v>
      </c>
      <c r="D4206" s="42" t="s">
        <v>1021</v>
      </c>
      <c r="E4206" s="42" t="s">
        <v>808</v>
      </c>
      <c r="F4206" s="45">
        <v>-38049428.43602639</v>
      </c>
      <c r="G4206" s="42" t="s">
        <v>763</v>
      </c>
      <c r="H4206" s="42" t="s">
        <v>94</v>
      </c>
      <c r="I4206" s="42" t="s">
        <v>893</v>
      </c>
    </row>
    <row r="4207" spans="1:9">
      <c r="A4207" s="42" t="s">
        <v>1088</v>
      </c>
      <c r="B4207" s="42" t="s">
        <v>223</v>
      </c>
      <c r="C4207" s="42" t="s">
        <v>1128</v>
      </c>
      <c r="D4207" s="42" t="s">
        <v>1021</v>
      </c>
      <c r="E4207" s="42" t="s">
        <v>808</v>
      </c>
      <c r="F4207" s="45">
        <v>-822729525.4050823</v>
      </c>
      <c r="G4207" s="42" t="s">
        <v>763</v>
      </c>
      <c r="H4207" s="42" t="s">
        <v>94</v>
      </c>
      <c r="I4207" s="42" t="s">
        <v>861</v>
      </c>
    </row>
    <row r="4208" spans="1:9">
      <c r="A4208" s="42" t="s">
        <v>1088</v>
      </c>
      <c r="B4208" s="42" t="s">
        <v>199</v>
      </c>
      <c r="C4208" s="42" t="s">
        <v>1097</v>
      </c>
      <c r="D4208" s="42" t="s">
        <v>1021</v>
      </c>
      <c r="E4208" s="42" t="s">
        <v>808</v>
      </c>
      <c r="F4208" s="45">
        <v>-3554722.176434617</v>
      </c>
      <c r="G4208" s="42" t="s">
        <v>763</v>
      </c>
      <c r="H4208" s="42" t="s">
        <v>94</v>
      </c>
      <c r="I4208" s="42" t="s">
        <v>893</v>
      </c>
    </row>
    <row r="4209" spans="1:9">
      <c r="A4209" s="42" t="s">
        <v>1088</v>
      </c>
      <c r="B4209" s="42" t="s">
        <v>200</v>
      </c>
      <c r="C4209" s="42" t="s">
        <v>1098</v>
      </c>
      <c r="D4209" s="42" t="s">
        <v>1021</v>
      </c>
      <c r="E4209" s="42" t="s">
        <v>808</v>
      </c>
      <c r="F4209" s="45">
        <v>-608175232.7000567</v>
      </c>
      <c r="G4209" s="42" t="s">
        <v>763</v>
      </c>
      <c r="H4209" s="42" t="s">
        <v>94</v>
      </c>
      <c r="I4209" s="42" t="s">
        <v>893</v>
      </c>
    </row>
    <row r="4210" spans="1:9">
      <c r="A4210" s="42" t="s">
        <v>1088</v>
      </c>
      <c r="B4210" s="42" t="s">
        <v>201</v>
      </c>
      <c r="C4210" s="42" t="s">
        <v>1099</v>
      </c>
      <c r="D4210" s="42" t="s">
        <v>1021</v>
      </c>
      <c r="E4210" s="42" t="s">
        <v>808</v>
      </c>
      <c r="F4210" s="45">
        <v>-5878199.80013769</v>
      </c>
      <c r="G4210" s="42" t="s">
        <v>763</v>
      </c>
      <c r="H4210" s="42" t="s">
        <v>94</v>
      </c>
      <c r="I4210" s="42" t="s">
        <v>893</v>
      </c>
    </row>
    <row r="4211" spans="1:9">
      <c r="A4211" s="42" t="s">
        <v>1088</v>
      </c>
      <c r="B4211" s="42" t="s">
        <v>202</v>
      </c>
      <c r="C4211" s="42" t="s">
        <v>1100</v>
      </c>
      <c r="D4211" s="42" t="s">
        <v>1021</v>
      </c>
      <c r="E4211" s="42" t="s">
        <v>808</v>
      </c>
      <c r="F4211" s="45">
        <v>1313062739.138865</v>
      </c>
      <c r="G4211" s="42" t="s">
        <v>763</v>
      </c>
      <c r="H4211" s="42" t="s">
        <v>94</v>
      </c>
      <c r="I4211" s="42" t="s">
        <v>893</v>
      </c>
    </row>
    <row r="4212" spans="1:9">
      <c r="A4212" s="42" t="s">
        <v>1088</v>
      </c>
      <c r="B4212" s="42" t="s">
        <v>225</v>
      </c>
      <c r="C4212" s="42" t="s">
        <v>1101</v>
      </c>
      <c r="D4212" s="42" t="s">
        <v>1021</v>
      </c>
      <c r="E4212" s="42" t="s">
        <v>808</v>
      </c>
      <c r="F4212" s="45">
        <v>-674543285.8489084</v>
      </c>
      <c r="G4212" s="42" t="s">
        <v>763</v>
      </c>
      <c r="H4212" s="42" t="s">
        <v>94</v>
      </c>
      <c r="I4212" s="42" t="s">
        <v>864</v>
      </c>
    </row>
    <row r="4213" spans="1:9">
      <c r="A4213" s="42" t="s">
        <v>1088</v>
      </c>
      <c r="B4213" s="42" t="s">
        <v>204</v>
      </c>
      <c r="C4213" s="42" t="s">
        <v>1102</v>
      </c>
      <c r="D4213" s="42" t="s">
        <v>1021</v>
      </c>
      <c r="E4213" s="42" t="s">
        <v>808</v>
      </c>
      <c r="F4213" s="45">
        <v>-93852608.9711173</v>
      </c>
      <c r="G4213" s="42" t="s">
        <v>763</v>
      </c>
      <c r="H4213" s="42" t="s">
        <v>94</v>
      </c>
      <c r="I4213" s="42" t="s">
        <v>893</v>
      </c>
    </row>
    <row r="4214" spans="1:9">
      <c r="A4214" s="42" t="s">
        <v>1088</v>
      </c>
      <c r="B4214" s="42" t="s">
        <v>205</v>
      </c>
      <c r="C4214" s="42" t="s">
        <v>1103</v>
      </c>
      <c r="D4214" s="42" t="s">
        <v>1021</v>
      </c>
      <c r="E4214" s="42" t="s">
        <v>808</v>
      </c>
      <c r="F4214" s="45">
        <v>544666844.3188393</v>
      </c>
      <c r="G4214" s="42" t="s">
        <v>763</v>
      </c>
      <c r="H4214" s="42" t="s">
        <v>94</v>
      </c>
      <c r="I4214" s="42" t="s">
        <v>893</v>
      </c>
    </row>
    <row r="4215" spans="1:9">
      <c r="A4215" s="42" t="s">
        <v>1088</v>
      </c>
      <c r="B4215" s="42" t="s">
        <v>206</v>
      </c>
      <c r="C4215" s="42" t="s">
        <v>1104</v>
      </c>
      <c r="D4215" s="42" t="s">
        <v>1021</v>
      </c>
      <c r="E4215" s="42" t="s">
        <v>808</v>
      </c>
      <c r="F4215" s="45">
        <v>-69386588.18135503</v>
      </c>
      <c r="G4215" s="42" t="s">
        <v>763</v>
      </c>
      <c r="H4215" s="42" t="s">
        <v>94</v>
      </c>
      <c r="I4215" s="42" t="s">
        <v>893</v>
      </c>
    </row>
    <row r="4216" spans="1:9">
      <c r="A4216" s="42" t="s">
        <v>1088</v>
      </c>
      <c r="B4216" s="42" t="s">
        <v>207</v>
      </c>
      <c r="C4216" s="42" t="s">
        <v>1105</v>
      </c>
      <c r="D4216" s="42" t="s">
        <v>1021</v>
      </c>
      <c r="E4216" s="42" t="s">
        <v>808</v>
      </c>
      <c r="F4216" s="45">
        <v>-179702128.3494796</v>
      </c>
      <c r="G4216" s="42" t="s">
        <v>763</v>
      </c>
      <c r="H4216" s="42" t="s">
        <v>94</v>
      </c>
      <c r="I4216" s="42" t="s">
        <v>893</v>
      </c>
    </row>
    <row r="4217" spans="1:9">
      <c r="A4217" s="42" t="s">
        <v>1088</v>
      </c>
      <c r="B4217" s="42" t="s">
        <v>226</v>
      </c>
      <c r="C4217" s="42" t="s">
        <v>1127</v>
      </c>
      <c r="D4217" s="42" t="s">
        <v>1021</v>
      </c>
      <c r="E4217" s="42" t="s">
        <v>808</v>
      </c>
      <c r="F4217" s="45">
        <v>-249088716.5308346</v>
      </c>
      <c r="G4217" s="42" t="s">
        <v>763</v>
      </c>
      <c r="H4217" s="42" t="s">
        <v>94</v>
      </c>
      <c r="I4217" s="42" t="s">
        <v>822</v>
      </c>
    </row>
    <row r="4218" spans="1:9">
      <c r="A4218" s="42" t="s">
        <v>1088</v>
      </c>
      <c r="B4218" s="42" t="s">
        <v>210</v>
      </c>
      <c r="C4218" s="42" t="s">
        <v>1124</v>
      </c>
      <c r="D4218" s="42" t="s">
        <v>1021</v>
      </c>
      <c r="E4218" s="42" t="s">
        <v>808</v>
      </c>
      <c r="F4218" s="45">
        <v>25558253.86073381</v>
      </c>
      <c r="G4218" s="42" t="s">
        <v>763</v>
      </c>
      <c r="H4218" s="42" t="s">
        <v>94</v>
      </c>
      <c r="I4218" s="42" t="s">
        <v>893</v>
      </c>
    </row>
    <row r="4219" spans="1:9">
      <c r="A4219" s="42" t="s">
        <v>1088</v>
      </c>
      <c r="B4219" s="42" t="s">
        <v>227</v>
      </c>
      <c r="C4219" s="42" t="s">
        <v>1107</v>
      </c>
      <c r="D4219" s="42" t="s">
        <v>1021</v>
      </c>
      <c r="E4219" s="42" t="s">
        <v>808</v>
      </c>
      <c r="F4219" s="45">
        <v>-114207861.6574049</v>
      </c>
      <c r="G4219" s="42" t="s">
        <v>763</v>
      </c>
      <c r="H4219" s="42" t="s">
        <v>94</v>
      </c>
      <c r="I4219" s="42" t="s">
        <v>864</v>
      </c>
    </row>
    <row r="4220" spans="1:9">
      <c r="A4220" s="42" t="s">
        <v>1088</v>
      </c>
      <c r="B4220" s="42" t="s">
        <v>211</v>
      </c>
      <c r="C4220" s="42" t="s">
        <v>1108</v>
      </c>
      <c r="D4220" s="42" t="s">
        <v>1021</v>
      </c>
      <c r="E4220" s="42" t="s">
        <v>808</v>
      </c>
      <c r="F4220" s="45">
        <v>2784360262.086842</v>
      </c>
      <c r="G4220" s="42" t="s">
        <v>763</v>
      </c>
      <c r="H4220" s="42" t="s">
        <v>94</v>
      </c>
      <c r="I4220" s="42" t="s">
        <v>893</v>
      </c>
    </row>
    <row r="4221" spans="1:9">
      <c r="A4221" s="42" t="s">
        <v>1088</v>
      </c>
      <c r="B4221" s="42" t="s">
        <v>228</v>
      </c>
      <c r="C4221" s="42" t="s">
        <v>1109</v>
      </c>
      <c r="D4221" s="42" t="s">
        <v>1021</v>
      </c>
      <c r="E4221" s="42" t="s">
        <v>808</v>
      </c>
      <c r="F4221" s="45">
        <v>2873009869.883513</v>
      </c>
      <c r="G4221" s="42" t="s">
        <v>763</v>
      </c>
      <c r="H4221" s="42" t="s">
        <v>94</v>
      </c>
      <c r="I4221" s="42" t="s">
        <v>884</v>
      </c>
    </row>
    <row r="4222" spans="1:9">
      <c r="A4222" s="42" t="s">
        <v>1088</v>
      </c>
      <c r="B4222" s="42" t="s">
        <v>212</v>
      </c>
      <c r="C4222" s="42" t="s">
        <v>1110</v>
      </c>
      <c r="D4222" s="42" t="s">
        <v>1021</v>
      </c>
      <c r="E4222" s="42" t="s">
        <v>808</v>
      </c>
      <c r="F4222" s="45">
        <v>2535271545.556007</v>
      </c>
      <c r="G4222" s="42" t="s">
        <v>763</v>
      </c>
      <c r="H4222" s="42" t="s">
        <v>94</v>
      </c>
      <c r="I4222" s="42" t="s">
        <v>893</v>
      </c>
    </row>
    <row r="4223" spans="1:9">
      <c r="A4223" s="42" t="s">
        <v>1088</v>
      </c>
      <c r="B4223" s="42" t="s">
        <v>1111</v>
      </c>
      <c r="C4223" s="42" t="s">
        <v>1112</v>
      </c>
      <c r="D4223" s="42" t="s">
        <v>1021</v>
      </c>
      <c r="E4223" s="42" t="s">
        <v>808</v>
      </c>
      <c r="F4223" s="45">
        <v>-252722873.8397035</v>
      </c>
      <c r="G4223" s="42" t="s">
        <v>763</v>
      </c>
      <c r="H4223" s="42" t="s">
        <v>94</v>
      </c>
      <c r="I4223" s="42" t="s">
        <v>893</v>
      </c>
    </row>
    <row r="4224" spans="1:9">
      <c r="A4224" s="42" t="s">
        <v>1088</v>
      </c>
      <c r="B4224" s="42" t="s">
        <v>261</v>
      </c>
      <c r="C4224" s="42" t="s">
        <v>1113</v>
      </c>
      <c r="D4224" s="42" t="s">
        <v>1021</v>
      </c>
      <c r="E4224" s="42" t="s">
        <v>808</v>
      </c>
      <c r="F4224" s="45">
        <v>3634157.30886891</v>
      </c>
      <c r="G4224" s="42" t="s">
        <v>763</v>
      </c>
      <c r="H4224" s="42" t="s">
        <v>94</v>
      </c>
      <c r="I4224" s="42" t="s">
        <v>893</v>
      </c>
    </row>
    <row r="4225" spans="1:9">
      <c r="A4225" s="42" t="s">
        <v>1088</v>
      </c>
      <c r="B4225" s="42" t="s">
        <v>1111</v>
      </c>
      <c r="C4225" s="42" t="s">
        <v>1114</v>
      </c>
      <c r="D4225" s="42" t="s">
        <v>1021</v>
      </c>
      <c r="E4225" s="42" t="s">
        <v>808</v>
      </c>
      <c r="F4225" s="45">
        <v>2777767146.094796</v>
      </c>
      <c r="G4225" s="42" t="s">
        <v>763</v>
      </c>
      <c r="H4225" s="42" t="s">
        <v>94</v>
      </c>
      <c r="I4225" s="42" t="s">
        <v>893</v>
      </c>
    </row>
    <row r="4226" spans="1:9">
      <c r="A4226" s="42" t="s">
        <v>1088</v>
      </c>
      <c r="B4226" s="42" t="s">
        <v>261</v>
      </c>
      <c r="C4226" s="42" t="s">
        <v>1125</v>
      </c>
      <c r="D4226" s="42" t="s">
        <v>1021</v>
      </c>
      <c r="E4226" s="42" t="s">
        <v>808</v>
      </c>
      <c r="F4226" s="45">
        <v>6593115.992046328</v>
      </c>
      <c r="G4226" s="42" t="s">
        <v>763</v>
      </c>
      <c r="H4226" s="42" t="s">
        <v>94</v>
      </c>
      <c r="I4226" s="42" t="s">
        <v>893</v>
      </c>
    </row>
    <row r="4227" spans="1:9">
      <c r="A4227" s="42" t="s">
        <v>1088</v>
      </c>
      <c r="B4227" s="42" t="s">
        <v>1111</v>
      </c>
      <c r="C4227" s="42" t="s">
        <v>1115</v>
      </c>
      <c r="D4227" s="42" t="s">
        <v>1021</v>
      </c>
      <c r="E4227" s="42" t="s">
        <v>808</v>
      </c>
      <c r="F4227" s="45">
        <v>2525044272.255092</v>
      </c>
      <c r="G4227" s="42" t="s">
        <v>763</v>
      </c>
      <c r="H4227" s="42" t="s">
        <v>94</v>
      </c>
      <c r="I4227" s="42" t="s">
        <v>893</v>
      </c>
    </row>
    <row r="4228" spans="1:9">
      <c r="A4228" s="42" t="s">
        <v>1088</v>
      </c>
      <c r="B4228" s="42" t="s">
        <v>261</v>
      </c>
      <c r="C4228" s="42" t="s">
        <v>1116</v>
      </c>
      <c r="D4228" s="42" t="s">
        <v>1021</v>
      </c>
      <c r="E4228" s="42" t="s">
        <v>808</v>
      </c>
      <c r="F4228" s="45">
        <v>10227273.30091524</v>
      </c>
      <c r="G4228" s="42" t="s">
        <v>763</v>
      </c>
      <c r="H4228" s="42" t="s">
        <v>94</v>
      </c>
      <c r="I4228" s="42" t="s">
        <v>893</v>
      </c>
    </row>
    <row r="4229" spans="1:9">
      <c r="A4229" s="42" t="s">
        <v>1088</v>
      </c>
      <c r="B4229" s="42" t="s">
        <v>219</v>
      </c>
      <c r="C4229" s="42" t="s">
        <v>1117</v>
      </c>
      <c r="D4229" s="42" t="s">
        <v>1021</v>
      </c>
      <c r="E4229" s="42" t="s">
        <v>808</v>
      </c>
      <c r="F4229" s="45">
        <v>-644218.9240421171</v>
      </c>
      <c r="G4229" s="42" t="s">
        <v>763</v>
      </c>
      <c r="H4229" s="42" t="s">
        <v>94</v>
      </c>
      <c r="I4229" s="42" t="s">
        <v>893</v>
      </c>
    </row>
    <row r="4230" spans="1:9">
      <c r="A4230" s="42" t="s">
        <v>1088</v>
      </c>
      <c r="B4230" s="42" t="s">
        <v>192</v>
      </c>
      <c r="C4230" s="42" t="s">
        <v>1089</v>
      </c>
      <c r="D4230" s="42" t="s">
        <v>851</v>
      </c>
      <c r="E4230" s="42" t="s">
        <v>808</v>
      </c>
      <c r="F4230" s="45">
        <v>3491455075.484234</v>
      </c>
      <c r="G4230" s="42" t="s">
        <v>1025</v>
      </c>
      <c r="H4230" s="42" t="s">
        <v>1027</v>
      </c>
      <c r="I4230" s="42" t="s">
        <v>893</v>
      </c>
    </row>
    <row r="4231" spans="1:9">
      <c r="A4231" s="42" t="s">
        <v>1088</v>
      </c>
      <c r="B4231" s="42" t="s">
        <v>193</v>
      </c>
      <c r="C4231" s="42" t="s">
        <v>1090</v>
      </c>
      <c r="D4231" s="42" t="s">
        <v>851</v>
      </c>
      <c r="E4231" s="42" t="s">
        <v>808</v>
      </c>
      <c r="F4231" s="45">
        <v>-3156230840.16661</v>
      </c>
      <c r="G4231" s="42" t="s">
        <v>1025</v>
      </c>
      <c r="H4231" s="42" t="s">
        <v>1027</v>
      </c>
      <c r="I4231" s="42" t="s">
        <v>893</v>
      </c>
    </row>
    <row r="4232" spans="1:9">
      <c r="A4232" s="42" t="s">
        <v>1088</v>
      </c>
      <c r="B4232" s="42" t="s">
        <v>194</v>
      </c>
      <c r="C4232" s="42" t="s">
        <v>1091</v>
      </c>
      <c r="D4232" s="42" t="s">
        <v>851</v>
      </c>
      <c r="E4232" s="42" t="s">
        <v>808</v>
      </c>
      <c r="F4232" s="45">
        <v>335224235.317625</v>
      </c>
      <c r="G4232" s="42" t="s">
        <v>1025</v>
      </c>
      <c r="H4232" s="42" t="s">
        <v>1027</v>
      </c>
      <c r="I4232" s="42" t="s">
        <v>893</v>
      </c>
    </row>
    <row r="4233" spans="1:9">
      <c r="A4233" s="42" t="s">
        <v>1088</v>
      </c>
      <c r="B4233" s="42" t="s">
        <v>195</v>
      </c>
      <c r="C4233" s="42" t="s">
        <v>1092</v>
      </c>
      <c r="D4233" s="42" t="s">
        <v>851</v>
      </c>
      <c r="E4233" s="42" t="s">
        <v>808</v>
      </c>
      <c r="F4233" s="45">
        <v>-286238231.3345854</v>
      </c>
      <c r="G4233" s="42" t="s">
        <v>1025</v>
      </c>
      <c r="H4233" s="42" t="s">
        <v>1027</v>
      </c>
      <c r="I4233" s="42" t="s">
        <v>893</v>
      </c>
    </row>
    <row r="4234" spans="1:9">
      <c r="A4234" s="42" t="s">
        <v>1088</v>
      </c>
      <c r="B4234" s="42" t="s">
        <v>196</v>
      </c>
      <c r="C4234" s="42" t="s">
        <v>1093</v>
      </c>
      <c r="D4234" s="42" t="s">
        <v>851</v>
      </c>
      <c r="E4234" s="42" t="s">
        <v>808</v>
      </c>
      <c r="F4234" s="45">
        <v>-137086564.3672801</v>
      </c>
      <c r="G4234" s="42" t="s">
        <v>1025</v>
      </c>
      <c r="H4234" s="42" t="s">
        <v>1027</v>
      </c>
      <c r="I4234" s="42" t="s">
        <v>893</v>
      </c>
    </row>
    <row r="4235" spans="1:9">
      <c r="A4235" s="42" t="s">
        <v>1088</v>
      </c>
      <c r="B4235" s="42" t="s">
        <v>197</v>
      </c>
      <c r="C4235" s="42" t="s">
        <v>1094</v>
      </c>
      <c r="D4235" s="42" t="s">
        <v>851</v>
      </c>
      <c r="E4235" s="42" t="s">
        <v>808</v>
      </c>
      <c r="F4235" s="45">
        <v>-39620784.48232073</v>
      </c>
      <c r="G4235" s="42" t="s">
        <v>1025</v>
      </c>
      <c r="H4235" s="42" t="s">
        <v>1027</v>
      </c>
      <c r="I4235" s="42" t="s">
        <v>893</v>
      </c>
    </row>
    <row r="4236" spans="1:9">
      <c r="A4236" s="42" t="s">
        <v>1088</v>
      </c>
      <c r="B4236" s="42" t="s">
        <v>199</v>
      </c>
      <c r="C4236" s="42" t="s">
        <v>1097</v>
      </c>
      <c r="D4236" s="42" t="s">
        <v>851</v>
      </c>
      <c r="E4236" s="42" t="s">
        <v>808</v>
      </c>
      <c r="F4236" s="45">
        <v>-10411424.20170012</v>
      </c>
      <c r="G4236" s="42" t="s">
        <v>1025</v>
      </c>
      <c r="H4236" s="42" t="s">
        <v>1027</v>
      </c>
      <c r="I4236" s="42" t="s">
        <v>893</v>
      </c>
    </row>
    <row r="4237" spans="1:9">
      <c r="A4237" s="42" t="s">
        <v>1088</v>
      </c>
      <c r="B4237" s="42" t="s">
        <v>200</v>
      </c>
      <c r="C4237" s="42" t="s">
        <v>1098</v>
      </c>
      <c r="D4237" s="42" t="s">
        <v>851</v>
      </c>
      <c r="E4237" s="42" t="s">
        <v>808</v>
      </c>
      <c r="F4237" s="45">
        <v>-138132769.0682613</v>
      </c>
      <c r="G4237" s="42" t="s">
        <v>1025</v>
      </c>
      <c r="H4237" s="42" t="s">
        <v>1027</v>
      </c>
      <c r="I4237" s="42" t="s">
        <v>893</v>
      </c>
    </row>
    <row r="4238" spans="1:9">
      <c r="A4238" s="42" t="s">
        <v>1088</v>
      </c>
      <c r="B4238" s="42" t="s">
        <v>201</v>
      </c>
      <c r="C4238" s="42" t="s">
        <v>1099</v>
      </c>
      <c r="D4238" s="42" t="s">
        <v>851</v>
      </c>
      <c r="E4238" s="42" t="s">
        <v>808</v>
      </c>
      <c r="F4238" s="45">
        <v>80152779.51065736</v>
      </c>
      <c r="G4238" s="42" t="s">
        <v>1025</v>
      </c>
      <c r="H4238" s="42" t="s">
        <v>1027</v>
      </c>
      <c r="I4238" s="42" t="s">
        <v>893</v>
      </c>
    </row>
    <row r="4239" spans="1:9">
      <c r="A4239" s="42" t="s">
        <v>1088</v>
      </c>
      <c r="B4239" s="42" t="s">
        <v>202</v>
      </c>
      <c r="C4239" s="42" t="s">
        <v>1100</v>
      </c>
      <c r="D4239" s="42" t="s">
        <v>851</v>
      </c>
      <c r="E4239" s="42" t="s">
        <v>808</v>
      </c>
      <c r="F4239" s="45">
        <v>126270157.700684</v>
      </c>
      <c r="G4239" s="42" t="s">
        <v>1025</v>
      </c>
      <c r="H4239" s="42" t="s">
        <v>1027</v>
      </c>
      <c r="I4239" s="42" t="s">
        <v>893</v>
      </c>
    </row>
    <row r="4240" spans="1:9">
      <c r="A4240" s="42" t="s">
        <v>1088</v>
      </c>
      <c r="B4240" s="42" t="s">
        <v>225</v>
      </c>
      <c r="C4240" s="42" t="s">
        <v>1101</v>
      </c>
      <c r="D4240" s="42" t="s">
        <v>851</v>
      </c>
      <c r="E4240" s="42" t="s">
        <v>808</v>
      </c>
      <c r="F4240" s="45">
        <v>-453968468.8789926</v>
      </c>
      <c r="G4240" s="42" t="s">
        <v>1025</v>
      </c>
      <c r="H4240" s="42" t="s">
        <v>1027</v>
      </c>
      <c r="I4240" s="42" t="s">
        <v>864</v>
      </c>
    </row>
    <row r="4241" spans="1:9">
      <c r="A4241" s="42" t="s">
        <v>1088</v>
      </c>
      <c r="B4241" s="42" t="s">
        <v>204</v>
      </c>
      <c r="C4241" s="42" t="s">
        <v>1102</v>
      </c>
      <c r="D4241" s="42" t="s">
        <v>851</v>
      </c>
      <c r="E4241" s="42" t="s">
        <v>808</v>
      </c>
      <c r="F4241" s="45">
        <v>75023001.62197529</v>
      </c>
      <c r="G4241" s="42" t="s">
        <v>1025</v>
      </c>
      <c r="H4241" s="42" t="s">
        <v>1027</v>
      </c>
      <c r="I4241" s="42" t="s">
        <v>893</v>
      </c>
    </row>
    <row r="4242" spans="1:9">
      <c r="A4242" s="42" t="s">
        <v>1088</v>
      </c>
      <c r="B4242" s="42" t="s">
        <v>205</v>
      </c>
      <c r="C4242" s="42" t="s">
        <v>1103</v>
      </c>
      <c r="D4242" s="42" t="s">
        <v>851</v>
      </c>
      <c r="E4242" s="42" t="s">
        <v>808</v>
      </c>
      <c r="F4242" s="45">
        <v>-252675309.5563333</v>
      </c>
      <c r="G4242" s="42" t="s">
        <v>1025</v>
      </c>
      <c r="H4242" s="42" t="s">
        <v>1027</v>
      </c>
      <c r="I4242" s="42" t="s">
        <v>893</v>
      </c>
    </row>
    <row r="4243" spans="1:9">
      <c r="A4243" s="42" t="s">
        <v>1088</v>
      </c>
      <c r="B4243" s="42" t="s">
        <v>206</v>
      </c>
      <c r="C4243" s="42" t="s">
        <v>1104</v>
      </c>
      <c r="D4243" s="42" t="s">
        <v>851</v>
      </c>
      <c r="E4243" s="42" t="s">
        <v>808</v>
      </c>
      <c r="F4243" s="45">
        <v>-310655299.1139373</v>
      </c>
      <c r="G4243" s="42" t="s">
        <v>1025</v>
      </c>
      <c r="H4243" s="42" t="s">
        <v>1027</v>
      </c>
      <c r="I4243" s="42" t="s">
        <v>893</v>
      </c>
    </row>
    <row r="4244" spans="1:9">
      <c r="A4244" s="42" t="s">
        <v>1088</v>
      </c>
      <c r="B4244" s="42" t="s">
        <v>207</v>
      </c>
      <c r="C4244" s="42" t="s">
        <v>1105</v>
      </c>
      <c r="D4244" s="42" t="s">
        <v>851</v>
      </c>
      <c r="E4244" s="42" t="s">
        <v>808</v>
      </c>
      <c r="F4244" s="45">
        <v>135905365.5113336</v>
      </c>
      <c r="G4244" s="42" t="s">
        <v>1025</v>
      </c>
      <c r="H4244" s="42" t="s">
        <v>1027</v>
      </c>
      <c r="I4244" s="42" t="s">
        <v>893</v>
      </c>
    </row>
    <row r="4245" spans="1:9">
      <c r="A4245" s="42" t="s">
        <v>1088</v>
      </c>
      <c r="B4245" s="42" t="s">
        <v>226</v>
      </c>
      <c r="C4245" s="42" t="s">
        <v>1127</v>
      </c>
      <c r="D4245" s="42" t="s">
        <v>851</v>
      </c>
      <c r="E4245" s="42" t="s">
        <v>808</v>
      </c>
      <c r="F4245" s="45">
        <v>-174749933.6026037</v>
      </c>
      <c r="G4245" s="42" t="s">
        <v>1025</v>
      </c>
      <c r="H4245" s="42" t="s">
        <v>1026</v>
      </c>
      <c r="I4245" s="42" t="s">
        <v>822</v>
      </c>
    </row>
    <row r="4246" spans="1:9">
      <c r="A4246" s="42" t="s">
        <v>1088</v>
      </c>
      <c r="B4246" s="42" t="s">
        <v>210</v>
      </c>
      <c r="C4246" s="42" t="s">
        <v>1124</v>
      </c>
      <c r="D4246" s="42" t="s">
        <v>851</v>
      </c>
      <c r="E4246" s="42" t="s">
        <v>808</v>
      </c>
      <c r="F4246" s="45">
        <v>56073197.11871883</v>
      </c>
      <c r="G4246" s="42" t="s">
        <v>1025</v>
      </c>
      <c r="H4246" s="42" t="s">
        <v>1027</v>
      </c>
      <c r="I4246" s="42" t="s">
        <v>893</v>
      </c>
    </row>
    <row r="4247" spans="1:9">
      <c r="A4247" s="42" t="s">
        <v>1088</v>
      </c>
      <c r="B4247" s="42" t="s">
        <v>227</v>
      </c>
      <c r="C4247" s="42" t="s">
        <v>1107</v>
      </c>
      <c r="D4247" s="42" t="s">
        <v>851</v>
      </c>
      <c r="E4247" s="42" t="s">
        <v>808</v>
      </c>
      <c r="F4247" s="45">
        <v>-11811988.55946529</v>
      </c>
      <c r="G4247" s="42" t="s">
        <v>1025</v>
      </c>
      <c r="H4247" s="42" t="s">
        <v>1027</v>
      </c>
      <c r="I4247" s="42" t="s">
        <v>864</v>
      </c>
    </row>
    <row r="4248" spans="1:9">
      <c r="A4248" s="42" t="s">
        <v>1088</v>
      </c>
      <c r="B4248" s="42" t="s">
        <v>211</v>
      </c>
      <c r="C4248" s="42" t="s">
        <v>1108</v>
      </c>
      <c r="D4248" s="42" t="s">
        <v>851</v>
      </c>
      <c r="E4248" s="42" t="s">
        <v>808</v>
      </c>
      <c r="F4248" s="45">
        <v>510429774.1932367</v>
      </c>
      <c r="G4248" s="42" t="s">
        <v>1025</v>
      </c>
      <c r="H4248" s="42" t="s">
        <v>1027</v>
      </c>
      <c r="I4248" s="42" t="s">
        <v>893</v>
      </c>
    </row>
    <row r="4249" spans="1:9">
      <c r="A4249" s="42" t="s">
        <v>1088</v>
      </c>
      <c r="B4249" s="42" t="s">
        <v>228</v>
      </c>
      <c r="C4249" s="42" t="s">
        <v>1109</v>
      </c>
      <c r="D4249" s="42" t="s">
        <v>851</v>
      </c>
      <c r="E4249" s="42" t="s">
        <v>808</v>
      </c>
      <c r="F4249" s="45">
        <v>466168565.6339832</v>
      </c>
      <c r="G4249" s="42" t="s">
        <v>1025</v>
      </c>
      <c r="H4249" s="42" t="s">
        <v>1027</v>
      </c>
      <c r="I4249" s="42" t="s">
        <v>884</v>
      </c>
    </row>
    <row r="4250" spans="1:9">
      <c r="A4250" s="42" t="s">
        <v>1088</v>
      </c>
      <c r="B4250" s="42" t="s">
        <v>212</v>
      </c>
      <c r="C4250" s="42" t="s">
        <v>1110</v>
      </c>
      <c r="D4250" s="42" t="s">
        <v>851</v>
      </c>
      <c r="E4250" s="42" t="s">
        <v>808</v>
      </c>
      <c r="F4250" s="45">
        <v>335679840.590633</v>
      </c>
      <c r="G4250" s="42" t="s">
        <v>1025</v>
      </c>
      <c r="H4250" s="42" t="s">
        <v>1027</v>
      </c>
      <c r="I4250" s="42" t="s">
        <v>893</v>
      </c>
    </row>
    <row r="4251" spans="1:9">
      <c r="A4251" s="42" t="s">
        <v>1088</v>
      </c>
      <c r="B4251" s="42" t="s">
        <v>1111</v>
      </c>
      <c r="C4251" s="42" t="s">
        <v>1112</v>
      </c>
      <c r="D4251" s="42" t="s">
        <v>851</v>
      </c>
      <c r="E4251" s="42" t="s">
        <v>808</v>
      </c>
      <c r="F4251" s="45">
        <v>-176774845.9270835</v>
      </c>
      <c r="G4251" s="42" t="s">
        <v>1025</v>
      </c>
      <c r="H4251" s="42" t="s">
        <v>1027</v>
      </c>
      <c r="I4251" s="42" t="s">
        <v>893</v>
      </c>
    </row>
    <row r="4252" spans="1:9">
      <c r="A4252" s="42" t="s">
        <v>1088</v>
      </c>
      <c r="B4252" s="42" t="s">
        <v>261</v>
      </c>
      <c r="C4252" s="42" t="s">
        <v>1113</v>
      </c>
      <c r="D4252" s="42" t="s">
        <v>851</v>
      </c>
      <c r="E4252" s="42" t="s">
        <v>808</v>
      </c>
      <c r="F4252" s="45">
        <v>2024912.324479765</v>
      </c>
      <c r="G4252" s="42" t="s">
        <v>1025</v>
      </c>
      <c r="H4252" s="42" t="s">
        <v>1027</v>
      </c>
      <c r="I4252" s="42" t="s">
        <v>893</v>
      </c>
    </row>
    <row r="4253" spans="1:9">
      <c r="A4253" s="42" t="s">
        <v>1088</v>
      </c>
      <c r="B4253" s="42" t="s">
        <v>1111</v>
      </c>
      <c r="C4253" s="42" t="s">
        <v>1114</v>
      </c>
      <c r="D4253" s="42" t="s">
        <v>851</v>
      </c>
      <c r="E4253" s="42" t="s">
        <v>808</v>
      </c>
      <c r="F4253" s="45">
        <v>501553908.5042671</v>
      </c>
      <c r="G4253" s="42" t="s">
        <v>1025</v>
      </c>
      <c r="H4253" s="42" t="s">
        <v>1027</v>
      </c>
      <c r="I4253" s="42" t="s">
        <v>893</v>
      </c>
    </row>
    <row r="4254" spans="1:9">
      <c r="A4254" s="42" t="s">
        <v>1088</v>
      </c>
      <c r="B4254" s="42" t="s">
        <v>261</v>
      </c>
      <c r="C4254" s="42" t="s">
        <v>1125</v>
      </c>
      <c r="D4254" s="42" t="s">
        <v>851</v>
      </c>
      <c r="E4254" s="42" t="s">
        <v>808</v>
      </c>
      <c r="F4254" s="45">
        <v>8875865.688969636</v>
      </c>
      <c r="G4254" s="42" t="s">
        <v>1025</v>
      </c>
      <c r="H4254" s="42" t="s">
        <v>1027</v>
      </c>
      <c r="I4254" s="42" t="s">
        <v>893</v>
      </c>
    </row>
    <row r="4255" spans="1:9">
      <c r="A4255" s="42" t="s">
        <v>1088</v>
      </c>
      <c r="B4255" s="42" t="s">
        <v>1111</v>
      </c>
      <c r="C4255" s="42" t="s">
        <v>1115</v>
      </c>
      <c r="D4255" s="42" t="s">
        <v>851</v>
      </c>
      <c r="E4255" s="42" t="s">
        <v>808</v>
      </c>
      <c r="F4255" s="45">
        <v>324779062.5771836</v>
      </c>
      <c r="G4255" s="42" t="s">
        <v>1025</v>
      </c>
      <c r="H4255" s="42" t="s">
        <v>1027</v>
      </c>
      <c r="I4255" s="42" t="s">
        <v>893</v>
      </c>
    </row>
    <row r="4256" spans="1:9">
      <c r="A4256" s="42" t="s">
        <v>1088</v>
      </c>
      <c r="B4256" s="42" t="s">
        <v>261</v>
      </c>
      <c r="C4256" s="42" t="s">
        <v>1116</v>
      </c>
      <c r="D4256" s="42" t="s">
        <v>851</v>
      </c>
      <c r="E4256" s="42" t="s">
        <v>808</v>
      </c>
      <c r="F4256" s="45">
        <v>10900778.0134494</v>
      </c>
      <c r="G4256" s="42" t="s">
        <v>1025</v>
      </c>
      <c r="H4256" s="42" t="s">
        <v>1027</v>
      </c>
      <c r="I4256" s="42" t="s">
        <v>893</v>
      </c>
    </row>
    <row r="4257" spans="1:9">
      <c r="A4257" s="42" t="s">
        <v>1088</v>
      </c>
      <c r="B4257" s="42" t="s">
        <v>192</v>
      </c>
      <c r="C4257" s="42" t="s">
        <v>1089</v>
      </c>
      <c r="D4257" s="42" t="s">
        <v>852</v>
      </c>
      <c r="E4257" s="42" t="s">
        <v>762</v>
      </c>
      <c r="F4257" s="45">
        <v>9690000000</v>
      </c>
      <c r="G4257" s="42" t="s">
        <v>763</v>
      </c>
      <c r="H4257" s="42" t="s">
        <v>119</v>
      </c>
      <c r="I4257" s="42" t="s">
        <v>893</v>
      </c>
    </row>
    <row r="4258" spans="1:9">
      <c r="A4258" s="42" t="s">
        <v>1088</v>
      </c>
      <c r="B4258" s="42" t="s">
        <v>193</v>
      </c>
      <c r="C4258" s="42" t="s">
        <v>1090</v>
      </c>
      <c r="D4258" s="42" t="s">
        <v>852</v>
      </c>
      <c r="E4258" s="42" t="s">
        <v>762</v>
      </c>
      <c r="F4258" s="45">
        <v>-8663000000</v>
      </c>
      <c r="G4258" s="42" t="s">
        <v>763</v>
      </c>
      <c r="H4258" s="42" t="s">
        <v>119</v>
      </c>
      <c r="I4258" s="42" t="s">
        <v>893</v>
      </c>
    </row>
    <row r="4259" spans="1:9">
      <c r="A4259" s="42" t="s">
        <v>1088</v>
      </c>
      <c r="B4259" s="42" t="s">
        <v>194</v>
      </c>
      <c r="C4259" s="42" t="s">
        <v>1091</v>
      </c>
      <c r="D4259" s="42" t="s">
        <v>852</v>
      </c>
      <c r="E4259" s="42" t="s">
        <v>762</v>
      </c>
      <c r="F4259" s="45">
        <v>1027000000</v>
      </c>
      <c r="G4259" s="42" t="s">
        <v>763</v>
      </c>
      <c r="H4259" s="42" t="s">
        <v>119</v>
      </c>
      <c r="I4259" s="42" t="s">
        <v>893</v>
      </c>
    </row>
    <row r="4260" spans="1:9">
      <c r="A4260" s="42" t="s">
        <v>1088</v>
      </c>
      <c r="B4260" s="42" t="s">
        <v>195</v>
      </c>
      <c r="C4260" s="42" t="s">
        <v>1092</v>
      </c>
      <c r="D4260" s="42" t="s">
        <v>852</v>
      </c>
      <c r="E4260" s="42" t="s">
        <v>762</v>
      </c>
      <c r="F4260" s="45">
        <v>-1324000000</v>
      </c>
      <c r="G4260" s="42" t="s">
        <v>763</v>
      </c>
      <c r="H4260" s="42" t="s">
        <v>119</v>
      </c>
      <c r="I4260" s="42" t="s">
        <v>893</v>
      </c>
    </row>
    <row r="4261" spans="1:9">
      <c r="A4261" s="42" t="s">
        <v>1088</v>
      </c>
      <c r="B4261" s="42" t="s">
        <v>196</v>
      </c>
      <c r="C4261" s="42" t="s">
        <v>1093</v>
      </c>
      <c r="D4261" s="42" t="s">
        <v>852</v>
      </c>
      <c r="E4261" s="42" t="s">
        <v>762</v>
      </c>
      <c r="F4261" s="45">
        <v>-467000000</v>
      </c>
      <c r="G4261" s="42" t="s">
        <v>763</v>
      </c>
      <c r="H4261" s="42" t="s">
        <v>119</v>
      </c>
      <c r="I4261" s="42" t="s">
        <v>893</v>
      </c>
    </row>
    <row r="4262" spans="1:9">
      <c r="A4262" s="42" t="s">
        <v>1088</v>
      </c>
      <c r="B4262" s="42" t="s">
        <v>197</v>
      </c>
      <c r="C4262" s="42" t="s">
        <v>1094</v>
      </c>
      <c r="D4262" s="42" t="s">
        <v>852</v>
      </c>
      <c r="E4262" s="42" t="s">
        <v>762</v>
      </c>
      <c r="F4262" s="45">
        <v>-80000000</v>
      </c>
      <c r="G4262" s="42" t="s">
        <v>763</v>
      </c>
      <c r="H4262" s="42" t="s">
        <v>119</v>
      </c>
      <c r="I4262" s="42" t="s">
        <v>893</v>
      </c>
    </row>
    <row r="4263" spans="1:9">
      <c r="A4263" s="42" t="s">
        <v>1088</v>
      </c>
      <c r="B4263" s="42" t="s">
        <v>222</v>
      </c>
      <c r="C4263" s="42" t="s">
        <v>1121</v>
      </c>
      <c r="D4263" s="42" t="s">
        <v>852</v>
      </c>
      <c r="E4263" s="42" t="s">
        <v>762</v>
      </c>
      <c r="F4263" s="45">
        <v>97140482.02986063</v>
      </c>
      <c r="G4263" s="42" t="s">
        <v>763</v>
      </c>
      <c r="H4263" s="42" t="s">
        <v>98</v>
      </c>
      <c r="I4263" s="42" t="s">
        <v>817</v>
      </c>
    </row>
    <row r="4264" spans="1:9">
      <c r="A4264" s="42" t="s">
        <v>1088</v>
      </c>
      <c r="B4264" s="42" t="s">
        <v>224</v>
      </c>
      <c r="C4264" s="42" t="s">
        <v>1126</v>
      </c>
      <c r="D4264" s="42" t="s">
        <v>852</v>
      </c>
      <c r="E4264" s="42" t="s">
        <v>762</v>
      </c>
      <c r="F4264" s="45">
        <v>-53000000</v>
      </c>
      <c r="G4264" s="42" t="s">
        <v>763</v>
      </c>
      <c r="H4264" s="42" t="s">
        <v>119</v>
      </c>
      <c r="I4264" s="42" t="s">
        <v>854</v>
      </c>
    </row>
    <row r="4265" spans="1:9">
      <c r="A4265" s="42" t="s">
        <v>1088</v>
      </c>
      <c r="B4265" s="42" t="s">
        <v>199</v>
      </c>
      <c r="C4265" s="42" t="s">
        <v>1097</v>
      </c>
      <c r="D4265" s="42" t="s">
        <v>852</v>
      </c>
      <c r="E4265" s="42" t="s">
        <v>762</v>
      </c>
      <c r="F4265" s="45">
        <v>93000000</v>
      </c>
      <c r="G4265" s="42" t="s">
        <v>763</v>
      </c>
      <c r="H4265" s="42" t="s">
        <v>119</v>
      </c>
      <c r="I4265" s="42" t="s">
        <v>893</v>
      </c>
    </row>
    <row r="4266" spans="1:9">
      <c r="A4266" s="42" t="s">
        <v>1088</v>
      </c>
      <c r="B4266" s="42" t="s">
        <v>200</v>
      </c>
      <c r="C4266" s="42" t="s">
        <v>1098</v>
      </c>
      <c r="D4266" s="42" t="s">
        <v>852</v>
      </c>
      <c r="E4266" s="42" t="s">
        <v>762</v>
      </c>
      <c r="F4266" s="45">
        <v>-804000000</v>
      </c>
      <c r="G4266" s="42" t="s">
        <v>763</v>
      </c>
      <c r="H4266" s="42" t="s">
        <v>119</v>
      </c>
      <c r="I4266" s="42" t="s">
        <v>893</v>
      </c>
    </row>
    <row r="4267" spans="1:9">
      <c r="A4267" s="42" t="s">
        <v>1088</v>
      </c>
      <c r="B4267" s="42" t="s">
        <v>201</v>
      </c>
      <c r="C4267" s="42" t="s">
        <v>1099</v>
      </c>
      <c r="D4267" s="42" t="s">
        <v>852</v>
      </c>
      <c r="E4267" s="42" t="s">
        <v>762</v>
      </c>
      <c r="F4267" s="45">
        <v>188000000</v>
      </c>
      <c r="G4267" s="42" t="s">
        <v>763</v>
      </c>
      <c r="H4267" s="42" t="s">
        <v>119</v>
      </c>
      <c r="I4267" s="42" t="s">
        <v>893</v>
      </c>
    </row>
    <row r="4268" spans="1:9">
      <c r="A4268" s="42" t="s">
        <v>1088</v>
      </c>
      <c r="B4268" s="42" t="s">
        <v>202</v>
      </c>
      <c r="C4268" s="42" t="s">
        <v>1100</v>
      </c>
      <c r="D4268" s="42" t="s">
        <v>852</v>
      </c>
      <c r="E4268" s="42" t="s">
        <v>762</v>
      </c>
      <c r="F4268" s="45">
        <v>1492000000</v>
      </c>
      <c r="G4268" s="42" t="s">
        <v>763</v>
      </c>
      <c r="H4268" s="42" t="s">
        <v>119</v>
      </c>
      <c r="I4268" s="42" t="s">
        <v>893</v>
      </c>
    </row>
    <row r="4269" spans="1:9">
      <c r="A4269" s="42" t="s">
        <v>1088</v>
      </c>
      <c r="B4269" s="42" t="s">
        <v>203</v>
      </c>
      <c r="C4269" s="42" t="s">
        <v>1129</v>
      </c>
      <c r="D4269" s="42" t="s">
        <v>852</v>
      </c>
      <c r="E4269" s="42" t="s">
        <v>762</v>
      </c>
      <c r="F4269" s="45">
        <v>-1966000000</v>
      </c>
      <c r="G4269" s="42" t="s">
        <v>763</v>
      </c>
      <c r="H4269" s="42" t="s">
        <v>119</v>
      </c>
      <c r="I4269" s="42" t="s">
        <v>893</v>
      </c>
    </row>
    <row r="4270" spans="1:9">
      <c r="A4270" s="42" t="s">
        <v>1088</v>
      </c>
      <c r="B4270" s="42" t="s">
        <v>225</v>
      </c>
      <c r="C4270" s="42" t="s">
        <v>1101</v>
      </c>
      <c r="D4270" s="42" t="s">
        <v>852</v>
      </c>
      <c r="E4270" s="42" t="s">
        <v>762</v>
      </c>
      <c r="F4270" s="45">
        <v>-1967381886.306999</v>
      </c>
      <c r="G4270" s="42" t="s">
        <v>763</v>
      </c>
      <c r="H4270" s="42" t="s">
        <v>108</v>
      </c>
      <c r="I4270" s="42" t="s">
        <v>864</v>
      </c>
    </row>
    <row r="4271" spans="1:9">
      <c r="A4271" s="42" t="s">
        <v>1088</v>
      </c>
      <c r="B4271" s="42" t="s">
        <v>204</v>
      </c>
      <c r="C4271" s="42" t="s">
        <v>1102</v>
      </c>
      <c r="D4271" s="42" t="s">
        <v>852</v>
      </c>
      <c r="E4271" s="42" t="s">
        <v>762</v>
      </c>
      <c r="F4271" s="45">
        <v>253000000</v>
      </c>
      <c r="G4271" s="42" t="s">
        <v>763</v>
      </c>
      <c r="H4271" s="42" t="s">
        <v>119</v>
      </c>
      <c r="I4271" s="42" t="s">
        <v>893</v>
      </c>
    </row>
    <row r="4272" spans="1:9">
      <c r="A4272" s="42" t="s">
        <v>1088</v>
      </c>
      <c r="B4272" s="42" t="s">
        <v>205</v>
      </c>
      <c r="C4272" s="42" t="s">
        <v>1103</v>
      </c>
      <c r="D4272" s="42" t="s">
        <v>852</v>
      </c>
      <c r="E4272" s="42" t="s">
        <v>762</v>
      </c>
      <c r="F4272" s="45">
        <v>-221000000</v>
      </c>
      <c r="G4272" s="42" t="s">
        <v>763</v>
      </c>
      <c r="H4272" s="42" t="s">
        <v>119</v>
      </c>
      <c r="I4272" s="42" t="s">
        <v>893</v>
      </c>
    </row>
    <row r="4273" spans="1:9">
      <c r="A4273" s="42" t="s">
        <v>1088</v>
      </c>
      <c r="B4273" s="42" t="s">
        <v>206</v>
      </c>
      <c r="C4273" s="42" t="s">
        <v>1104</v>
      </c>
      <c r="D4273" s="42" t="s">
        <v>852</v>
      </c>
      <c r="E4273" s="42" t="s">
        <v>762</v>
      </c>
      <c r="F4273" s="45">
        <v>-837000000</v>
      </c>
      <c r="G4273" s="42" t="s">
        <v>763</v>
      </c>
      <c r="H4273" s="42" t="s">
        <v>119</v>
      </c>
      <c r="I4273" s="42" t="s">
        <v>893</v>
      </c>
    </row>
    <row r="4274" spans="1:9">
      <c r="A4274" s="42" t="s">
        <v>1088</v>
      </c>
      <c r="B4274" s="42" t="s">
        <v>207</v>
      </c>
      <c r="C4274" s="42" t="s">
        <v>1105</v>
      </c>
      <c r="D4274" s="42" t="s">
        <v>852</v>
      </c>
      <c r="E4274" s="42" t="s">
        <v>762</v>
      </c>
      <c r="F4274" s="45">
        <v>-184000000</v>
      </c>
      <c r="G4274" s="42" t="s">
        <v>763</v>
      </c>
      <c r="H4274" s="42" t="s">
        <v>119</v>
      </c>
      <c r="I4274" s="42" t="s">
        <v>893</v>
      </c>
    </row>
    <row r="4275" spans="1:9">
      <c r="A4275" s="42" t="s">
        <v>1088</v>
      </c>
      <c r="B4275" s="42" t="s">
        <v>226</v>
      </c>
      <c r="C4275" s="42" t="s">
        <v>1127</v>
      </c>
      <c r="D4275" s="42" t="s">
        <v>852</v>
      </c>
      <c r="E4275" s="42" t="s">
        <v>762</v>
      </c>
      <c r="F4275" s="45">
        <v>-1006951629.297126</v>
      </c>
      <c r="G4275" s="42" t="s">
        <v>763</v>
      </c>
      <c r="H4275" s="42" t="s">
        <v>108</v>
      </c>
      <c r="I4275" s="42" t="s">
        <v>822</v>
      </c>
    </row>
    <row r="4276" spans="1:9">
      <c r="A4276" s="42" t="s">
        <v>1088</v>
      </c>
      <c r="B4276" s="42" t="s">
        <v>208</v>
      </c>
      <c r="C4276" s="42" t="s">
        <v>1106</v>
      </c>
      <c r="D4276" s="42" t="s">
        <v>852</v>
      </c>
      <c r="E4276" s="42" t="s">
        <v>762</v>
      </c>
      <c r="F4276" s="45">
        <v>-1021000000</v>
      </c>
      <c r="G4276" s="42" t="s">
        <v>763</v>
      </c>
      <c r="H4276" s="42" t="s">
        <v>119</v>
      </c>
      <c r="I4276" s="42" t="s">
        <v>893</v>
      </c>
    </row>
    <row r="4277" spans="1:9">
      <c r="A4277" s="42" t="s">
        <v>1088</v>
      </c>
      <c r="B4277" s="42" t="s">
        <v>209</v>
      </c>
      <c r="C4277" s="42" t="s">
        <v>1130</v>
      </c>
      <c r="D4277" s="42" t="s">
        <v>852</v>
      </c>
      <c r="E4277" s="42" t="s">
        <v>762</v>
      </c>
      <c r="F4277" s="45">
        <v>-111000000</v>
      </c>
      <c r="G4277" s="42" t="s">
        <v>763</v>
      </c>
      <c r="H4277" s="42" t="s">
        <v>119</v>
      </c>
      <c r="I4277" s="42" t="s">
        <v>893</v>
      </c>
    </row>
    <row r="4278" spans="1:9">
      <c r="A4278" s="42" t="s">
        <v>1088</v>
      </c>
      <c r="B4278" s="42" t="s">
        <v>210</v>
      </c>
      <c r="C4278" s="42" t="s">
        <v>1124</v>
      </c>
      <c r="D4278" s="42" t="s">
        <v>852</v>
      </c>
      <c r="E4278" s="42" t="s">
        <v>762</v>
      </c>
      <c r="F4278" s="45">
        <v>96000000</v>
      </c>
      <c r="G4278" s="42" t="s">
        <v>763</v>
      </c>
      <c r="H4278" s="42" t="s">
        <v>119</v>
      </c>
      <c r="I4278" s="42" t="s">
        <v>893</v>
      </c>
    </row>
    <row r="4279" spans="1:9">
      <c r="A4279" s="42" t="s">
        <v>1088</v>
      </c>
      <c r="B4279" s="42" t="s">
        <v>227</v>
      </c>
      <c r="C4279" s="42" t="s">
        <v>1107</v>
      </c>
      <c r="D4279" s="42" t="s">
        <v>852</v>
      </c>
      <c r="E4279" s="42" t="s">
        <v>762</v>
      </c>
      <c r="F4279" s="45">
        <v>-127625380.0541199</v>
      </c>
      <c r="G4279" s="42" t="s">
        <v>763</v>
      </c>
      <c r="H4279" s="42" t="s">
        <v>108</v>
      </c>
      <c r="I4279" s="42" t="s">
        <v>864</v>
      </c>
    </row>
    <row r="4280" spans="1:9">
      <c r="A4280" s="42" t="s">
        <v>1088</v>
      </c>
      <c r="B4280" s="42" t="s">
        <v>211</v>
      </c>
      <c r="C4280" s="42" t="s">
        <v>1108</v>
      </c>
      <c r="D4280" s="42" t="s">
        <v>852</v>
      </c>
      <c r="E4280" s="42" t="s">
        <v>762</v>
      </c>
      <c r="F4280" s="45">
        <v>-15000000</v>
      </c>
      <c r="G4280" s="42" t="s">
        <v>763</v>
      </c>
      <c r="H4280" s="42" t="s">
        <v>119</v>
      </c>
      <c r="I4280" s="42" t="s">
        <v>893</v>
      </c>
    </row>
    <row r="4281" spans="1:9">
      <c r="A4281" s="42" t="s">
        <v>1088</v>
      </c>
      <c r="B4281" s="42" t="s">
        <v>228</v>
      </c>
      <c r="C4281" s="42" t="s">
        <v>1109</v>
      </c>
      <c r="D4281" s="42" t="s">
        <v>852</v>
      </c>
      <c r="E4281" s="42" t="s">
        <v>762</v>
      </c>
      <c r="F4281" s="45">
        <v>2911619699.808173</v>
      </c>
      <c r="G4281" s="42" t="s">
        <v>763</v>
      </c>
      <c r="H4281" s="42" t="s">
        <v>118</v>
      </c>
      <c r="I4281" s="42" t="s">
        <v>884</v>
      </c>
    </row>
    <row r="4282" spans="1:9">
      <c r="A4282" s="42" t="s">
        <v>1088</v>
      </c>
      <c r="B4282" s="42" t="s">
        <v>212</v>
      </c>
      <c r="C4282" s="42" t="s">
        <v>1110</v>
      </c>
      <c r="D4282" s="42" t="s">
        <v>852</v>
      </c>
      <c r="E4282" s="42" t="s">
        <v>762</v>
      </c>
      <c r="F4282" s="45">
        <v>-1036000000</v>
      </c>
      <c r="G4282" s="42" t="s">
        <v>763</v>
      </c>
      <c r="H4282" s="42" t="s">
        <v>119</v>
      </c>
      <c r="I4282" s="42" t="s">
        <v>893</v>
      </c>
    </row>
    <row r="4283" spans="1:9">
      <c r="A4283" s="42" t="s">
        <v>1088</v>
      </c>
      <c r="B4283" s="42" t="s">
        <v>1111</v>
      </c>
      <c r="C4283" s="42" t="s">
        <v>1112</v>
      </c>
      <c r="D4283" s="42" t="s">
        <v>852</v>
      </c>
      <c r="E4283" s="42" t="s">
        <v>762</v>
      </c>
      <c r="F4283" s="45">
        <v>-1004000000</v>
      </c>
      <c r="G4283" s="42" t="s">
        <v>763</v>
      </c>
      <c r="H4283" s="42" t="s">
        <v>119</v>
      </c>
      <c r="I4283" s="42" t="s">
        <v>893</v>
      </c>
    </row>
    <row r="4284" spans="1:9">
      <c r="A4284" s="42" t="s">
        <v>1088</v>
      </c>
      <c r="B4284" s="42" t="s">
        <v>261</v>
      </c>
      <c r="C4284" s="42" t="s">
        <v>1113</v>
      </c>
      <c r="D4284" s="42" t="s">
        <v>852</v>
      </c>
      <c r="E4284" s="42" t="s">
        <v>762</v>
      </c>
      <c r="F4284" s="45">
        <v>-17000000</v>
      </c>
      <c r="G4284" s="42" t="s">
        <v>763</v>
      </c>
      <c r="H4284" s="42" t="s">
        <v>119</v>
      </c>
      <c r="I4284" s="42" t="s">
        <v>893</v>
      </c>
    </row>
    <row r="4285" spans="1:9">
      <c r="A4285" s="42" t="s">
        <v>1088</v>
      </c>
      <c r="B4285" s="42" t="s">
        <v>1111</v>
      </c>
      <c r="C4285" s="42" t="s">
        <v>1114</v>
      </c>
      <c r="D4285" s="42" t="s">
        <v>852</v>
      </c>
      <c r="E4285" s="42" t="s">
        <v>762</v>
      </c>
      <c r="F4285" s="45">
        <v>-13000000</v>
      </c>
      <c r="G4285" s="42" t="s">
        <v>763</v>
      </c>
      <c r="H4285" s="42" t="s">
        <v>119</v>
      </c>
      <c r="I4285" s="42" t="s">
        <v>893</v>
      </c>
    </row>
    <row r="4286" spans="1:9">
      <c r="A4286" s="42" t="s">
        <v>1088</v>
      </c>
      <c r="B4286" s="42" t="s">
        <v>261</v>
      </c>
      <c r="C4286" s="42" t="s">
        <v>1125</v>
      </c>
      <c r="D4286" s="42" t="s">
        <v>852</v>
      </c>
      <c r="E4286" s="42" t="s">
        <v>762</v>
      </c>
      <c r="F4286" s="45">
        <v>-2000000</v>
      </c>
      <c r="G4286" s="42" t="s">
        <v>763</v>
      </c>
      <c r="H4286" s="42" t="s">
        <v>119</v>
      </c>
      <c r="I4286" s="42" t="s">
        <v>893</v>
      </c>
    </row>
    <row r="4287" spans="1:9">
      <c r="A4287" s="42" t="s">
        <v>1088</v>
      </c>
      <c r="B4287" s="42" t="s">
        <v>1111</v>
      </c>
      <c r="C4287" s="42" t="s">
        <v>1115</v>
      </c>
      <c r="D4287" s="42" t="s">
        <v>852</v>
      </c>
      <c r="E4287" s="42" t="s">
        <v>762</v>
      </c>
      <c r="F4287" s="45">
        <v>-1017000000</v>
      </c>
      <c r="G4287" s="42" t="s">
        <v>763</v>
      </c>
      <c r="H4287" s="42" t="s">
        <v>119</v>
      </c>
      <c r="I4287" s="42" t="s">
        <v>893</v>
      </c>
    </row>
    <row r="4288" spans="1:9">
      <c r="A4288" s="42" t="s">
        <v>1088</v>
      </c>
      <c r="B4288" s="42" t="s">
        <v>261</v>
      </c>
      <c r="C4288" s="42" t="s">
        <v>1116</v>
      </c>
      <c r="D4288" s="42" t="s">
        <v>852</v>
      </c>
      <c r="E4288" s="42" t="s">
        <v>762</v>
      </c>
      <c r="F4288" s="45">
        <v>-19000000</v>
      </c>
      <c r="G4288" s="42" t="s">
        <v>763</v>
      </c>
      <c r="H4288" s="42" t="s">
        <v>119</v>
      </c>
      <c r="I4288" s="42" t="s">
        <v>893</v>
      </c>
    </row>
    <row r="4289" spans="1:9">
      <c r="A4289" s="42" t="s">
        <v>1088</v>
      </c>
      <c r="B4289" s="42" t="s">
        <v>219</v>
      </c>
      <c r="C4289" s="42" t="s">
        <v>1117</v>
      </c>
      <c r="D4289" s="42" t="s">
        <v>852</v>
      </c>
      <c r="E4289" s="42" t="s">
        <v>762</v>
      </c>
      <c r="F4289" s="45">
        <v>-2560000</v>
      </c>
      <c r="G4289" s="42" t="s">
        <v>763</v>
      </c>
      <c r="H4289" s="42" t="s">
        <v>119</v>
      </c>
      <c r="I4289" s="42" t="s">
        <v>893</v>
      </c>
    </row>
    <row r="4290" spans="1:9">
      <c r="A4290" s="42" t="s">
        <v>1088</v>
      </c>
      <c r="B4290" s="42" t="s">
        <v>192</v>
      </c>
      <c r="C4290" s="42" t="s">
        <v>1089</v>
      </c>
      <c r="D4290" s="42" t="s">
        <v>159</v>
      </c>
      <c r="E4290" s="42" t="s">
        <v>808</v>
      </c>
      <c r="F4290" s="45">
        <v>2844076854.651978</v>
      </c>
      <c r="G4290" s="42" t="s">
        <v>763</v>
      </c>
      <c r="H4290" s="42" t="s">
        <v>100</v>
      </c>
      <c r="I4290" s="42" t="s">
        <v>893</v>
      </c>
    </row>
    <row r="4291" spans="1:9">
      <c r="A4291" s="42" t="s">
        <v>1088</v>
      </c>
      <c r="B4291" s="42" t="s">
        <v>193</v>
      </c>
      <c r="C4291" s="42" t="s">
        <v>1090</v>
      </c>
      <c r="D4291" s="42" t="s">
        <v>159</v>
      </c>
      <c r="E4291" s="42" t="s">
        <v>808</v>
      </c>
      <c r="F4291" s="45">
        <v>-2375855213.658263</v>
      </c>
      <c r="G4291" s="42" t="s">
        <v>763</v>
      </c>
      <c r="H4291" s="42" t="s">
        <v>100</v>
      </c>
      <c r="I4291" s="42" t="s">
        <v>893</v>
      </c>
    </row>
    <row r="4292" spans="1:9">
      <c r="A4292" s="42" t="s">
        <v>1088</v>
      </c>
      <c r="B4292" s="42" t="s">
        <v>194</v>
      </c>
      <c r="C4292" s="42" t="s">
        <v>1091</v>
      </c>
      <c r="D4292" s="42" t="s">
        <v>159</v>
      </c>
      <c r="E4292" s="42" t="s">
        <v>808</v>
      </c>
      <c r="F4292" s="45">
        <v>468221640.9937155</v>
      </c>
      <c r="G4292" s="42" t="s">
        <v>763</v>
      </c>
      <c r="H4292" s="42" t="s">
        <v>100</v>
      </c>
      <c r="I4292" s="42" t="s">
        <v>893</v>
      </c>
    </row>
    <row r="4293" spans="1:9">
      <c r="A4293" s="42" t="s">
        <v>1088</v>
      </c>
      <c r="B4293" s="42" t="s">
        <v>195</v>
      </c>
      <c r="C4293" s="42" t="s">
        <v>1092</v>
      </c>
      <c r="D4293" s="42" t="s">
        <v>159</v>
      </c>
      <c r="E4293" s="42" t="s">
        <v>808</v>
      </c>
      <c r="F4293" s="45">
        <v>-225936969.3430517</v>
      </c>
      <c r="G4293" s="42" t="s">
        <v>763</v>
      </c>
      <c r="H4293" s="42" t="s">
        <v>100</v>
      </c>
      <c r="I4293" s="42" t="s">
        <v>893</v>
      </c>
    </row>
    <row r="4294" spans="1:9">
      <c r="A4294" s="42" t="s">
        <v>1088</v>
      </c>
      <c r="B4294" s="42" t="s">
        <v>196</v>
      </c>
      <c r="C4294" s="42" t="s">
        <v>1093</v>
      </c>
      <c r="D4294" s="42" t="s">
        <v>159</v>
      </c>
      <c r="E4294" s="42" t="s">
        <v>808</v>
      </c>
      <c r="F4294" s="45">
        <v>-109891078.559834</v>
      </c>
      <c r="G4294" s="42" t="s">
        <v>763</v>
      </c>
      <c r="H4294" s="42" t="s">
        <v>100</v>
      </c>
      <c r="I4294" s="42" t="s">
        <v>893</v>
      </c>
    </row>
    <row r="4295" spans="1:9">
      <c r="A4295" s="42" t="s">
        <v>1088</v>
      </c>
      <c r="B4295" s="42" t="s">
        <v>197</v>
      </c>
      <c r="C4295" s="42" t="s">
        <v>1094</v>
      </c>
      <c r="D4295" s="42" t="s">
        <v>159</v>
      </c>
      <c r="E4295" s="42" t="s">
        <v>808</v>
      </c>
      <c r="F4295" s="45">
        <v>-11658321.56598624</v>
      </c>
      <c r="G4295" s="42" t="s">
        <v>763</v>
      </c>
      <c r="H4295" s="42" t="s">
        <v>100</v>
      </c>
      <c r="I4295" s="42" t="s">
        <v>893</v>
      </c>
    </row>
    <row r="4296" spans="1:9">
      <c r="A4296" s="42" t="s">
        <v>1088</v>
      </c>
      <c r="B4296" s="42" t="s">
        <v>199</v>
      </c>
      <c r="C4296" s="42" t="s">
        <v>1097</v>
      </c>
      <c r="D4296" s="42" t="s">
        <v>159</v>
      </c>
      <c r="E4296" s="42" t="s">
        <v>808</v>
      </c>
      <c r="F4296" s="45">
        <v>120214229.2202184</v>
      </c>
      <c r="G4296" s="42" t="s">
        <v>763</v>
      </c>
      <c r="H4296" s="42" t="s">
        <v>100</v>
      </c>
      <c r="I4296" s="42" t="s">
        <v>893</v>
      </c>
    </row>
    <row r="4297" spans="1:9">
      <c r="A4297" s="42" t="s">
        <v>1088</v>
      </c>
      <c r="B4297" s="42" t="s">
        <v>200</v>
      </c>
      <c r="C4297" s="42" t="s">
        <v>1098</v>
      </c>
      <c r="D4297" s="42" t="s">
        <v>159</v>
      </c>
      <c r="E4297" s="42" t="s">
        <v>808</v>
      </c>
      <c r="F4297" s="45">
        <v>240949500.745062</v>
      </c>
      <c r="G4297" s="42" t="s">
        <v>763</v>
      </c>
      <c r="H4297" s="42" t="s">
        <v>100</v>
      </c>
      <c r="I4297" s="42" t="s">
        <v>893</v>
      </c>
    </row>
    <row r="4298" spans="1:9">
      <c r="A4298" s="42" t="s">
        <v>1088</v>
      </c>
      <c r="B4298" s="42" t="s">
        <v>201</v>
      </c>
      <c r="C4298" s="42" t="s">
        <v>1099</v>
      </c>
      <c r="D4298" s="42" t="s">
        <v>159</v>
      </c>
      <c r="E4298" s="42" t="s">
        <v>808</v>
      </c>
      <c r="F4298" s="45">
        <v>23121252.26773807</v>
      </c>
      <c r="G4298" s="42" t="s">
        <v>763</v>
      </c>
      <c r="H4298" s="42" t="s">
        <v>100</v>
      </c>
      <c r="I4298" s="42" t="s">
        <v>893</v>
      </c>
    </row>
    <row r="4299" spans="1:9">
      <c r="A4299" s="42" t="s">
        <v>1088</v>
      </c>
      <c r="B4299" s="42" t="s">
        <v>202</v>
      </c>
      <c r="C4299" s="42" t="s">
        <v>1100</v>
      </c>
      <c r="D4299" s="42" t="s">
        <v>159</v>
      </c>
      <c r="E4299" s="42" t="s">
        <v>808</v>
      </c>
      <c r="F4299" s="45">
        <v>338775193.4384214</v>
      </c>
      <c r="G4299" s="42" t="s">
        <v>763</v>
      </c>
      <c r="H4299" s="42" t="s">
        <v>100</v>
      </c>
      <c r="I4299" s="42" t="s">
        <v>893</v>
      </c>
    </row>
    <row r="4300" spans="1:9">
      <c r="A4300" s="42" t="s">
        <v>1088</v>
      </c>
      <c r="B4300" s="42" t="s">
        <v>225</v>
      </c>
      <c r="C4300" s="42" t="s">
        <v>1101</v>
      </c>
      <c r="D4300" s="42" t="s">
        <v>159</v>
      </c>
      <c r="E4300" s="42" t="s">
        <v>808</v>
      </c>
      <c r="F4300" s="45">
        <v>-490659025.2366331</v>
      </c>
      <c r="G4300" s="42" t="s">
        <v>763</v>
      </c>
      <c r="H4300" s="42" t="s">
        <v>100</v>
      </c>
      <c r="I4300" s="42" t="s">
        <v>864</v>
      </c>
    </row>
    <row r="4301" spans="1:9">
      <c r="A4301" s="42" t="s">
        <v>1088</v>
      </c>
      <c r="B4301" s="42" t="s">
        <v>204</v>
      </c>
      <c r="C4301" s="42" t="s">
        <v>1102</v>
      </c>
      <c r="D4301" s="42" t="s">
        <v>159</v>
      </c>
      <c r="E4301" s="42" t="s">
        <v>808</v>
      </c>
      <c r="F4301" s="45">
        <v>-21053365.62125727</v>
      </c>
      <c r="G4301" s="42" t="s">
        <v>763</v>
      </c>
      <c r="H4301" s="42" t="s">
        <v>100</v>
      </c>
      <c r="I4301" s="42" t="s">
        <v>893</v>
      </c>
    </row>
    <row r="4302" spans="1:9">
      <c r="A4302" s="42" t="s">
        <v>1088</v>
      </c>
      <c r="B4302" s="42" t="s">
        <v>205</v>
      </c>
      <c r="C4302" s="42" t="s">
        <v>1103</v>
      </c>
      <c r="D4302" s="42" t="s">
        <v>159</v>
      </c>
      <c r="E4302" s="42" t="s">
        <v>808</v>
      </c>
      <c r="F4302" s="45">
        <v>-172937197.4194691</v>
      </c>
      <c r="G4302" s="42" t="s">
        <v>763</v>
      </c>
      <c r="H4302" s="42" t="s">
        <v>100</v>
      </c>
      <c r="I4302" s="42" t="s">
        <v>893</v>
      </c>
    </row>
    <row r="4303" spans="1:9">
      <c r="A4303" s="42" t="s">
        <v>1088</v>
      </c>
      <c r="B4303" s="42" t="s">
        <v>206</v>
      </c>
      <c r="C4303" s="42" t="s">
        <v>1104</v>
      </c>
      <c r="D4303" s="42" t="s">
        <v>159</v>
      </c>
      <c r="E4303" s="42" t="s">
        <v>808</v>
      </c>
      <c r="F4303" s="45">
        <v>91133555.59333096</v>
      </c>
      <c r="G4303" s="42" t="s">
        <v>763</v>
      </c>
      <c r="H4303" s="42" t="s">
        <v>100</v>
      </c>
      <c r="I4303" s="42" t="s">
        <v>893</v>
      </c>
    </row>
    <row r="4304" spans="1:9">
      <c r="A4304" s="42" t="s">
        <v>1088</v>
      </c>
      <c r="B4304" s="42" t="s">
        <v>207</v>
      </c>
      <c r="C4304" s="42" t="s">
        <v>1105</v>
      </c>
      <c r="D4304" s="42" t="s">
        <v>159</v>
      </c>
      <c r="E4304" s="42" t="s">
        <v>808</v>
      </c>
      <c r="F4304" s="45">
        <v>12277059.30272852</v>
      </c>
      <c r="G4304" s="42" t="s">
        <v>763</v>
      </c>
      <c r="H4304" s="42" t="s">
        <v>100</v>
      </c>
      <c r="I4304" s="42" t="s">
        <v>893</v>
      </c>
    </row>
    <row r="4305" spans="1:9">
      <c r="A4305" s="42" t="s">
        <v>1088</v>
      </c>
      <c r="B4305" s="42" t="s">
        <v>208</v>
      </c>
      <c r="C4305" s="42" t="s">
        <v>1106</v>
      </c>
      <c r="D4305" s="42" t="s">
        <v>159</v>
      </c>
      <c r="E4305" s="42" t="s">
        <v>808</v>
      </c>
      <c r="F4305" s="45">
        <v>103410614.8960595</v>
      </c>
      <c r="G4305" s="42" t="s">
        <v>763</v>
      </c>
      <c r="H4305" s="42" t="s">
        <v>100</v>
      </c>
      <c r="I4305" s="42" t="s">
        <v>893</v>
      </c>
    </row>
    <row r="4306" spans="1:9">
      <c r="A4306" s="42" t="s">
        <v>1088</v>
      </c>
      <c r="B4306" s="42" t="s">
        <v>210</v>
      </c>
      <c r="C4306" s="42" t="s">
        <v>1124</v>
      </c>
      <c r="D4306" s="42" t="s">
        <v>159</v>
      </c>
      <c r="E4306" s="42" t="s">
        <v>808</v>
      </c>
      <c r="F4306" s="45">
        <v>35723963.01085728</v>
      </c>
      <c r="G4306" s="42" t="s">
        <v>763</v>
      </c>
      <c r="H4306" s="42" t="s">
        <v>100</v>
      </c>
      <c r="I4306" s="42" t="s">
        <v>893</v>
      </c>
    </row>
    <row r="4307" spans="1:9">
      <c r="A4307" s="42" t="s">
        <v>1088</v>
      </c>
      <c r="B4307" s="42" t="s">
        <v>227</v>
      </c>
      <c r="C4307" s="42" t="s">
        <v>1107</v>
      </c>
      <c r="D4307" s="42" t="s">
        <v>159</v>
      </c>
      <c r="E4307" s="42" t="s">
        <v>808</v>
      </c>
      <c r="F4307" s="45">
        <v>-29520303.07141488</v>
      </c>
      <c r="G4307" s="42" t="s">
        <v>763</v>
      </c>
      <c r="H4307" s="42" t="s">
        <v>100</v>
      </c>
      <c r="I4307" s="42" t="s">
        <v>864</v>
      </c>
    </row>
    <row r="4308" spans="1:9">
      <c r="A4308" s="42" t="s">
        <v>1088</v>
      </c>
      <c r="B4308" s="42" t="s">
        <v>211</v>
      </c>
      <c r="C4308" s="42" t="s">
        <v>1108</v>
      </c>
      <c r="D4308" s="42" t="s">
        <v>159</v>
      </c>
      <c r="E4308" s="42" t="s">
        <v>808</v>
      </c>
      <c r="F4308" s="45">
        <v>704612021.573308</v>
      </c>
      <c r="G4308" s="42" t="s">
        <v>763</v>
      </c>
      <c r="H4308" s="42" t="s">
        <v>100</v>
      </c>
      <c r="I4308" s="42" t="s">
        <v>893</v>
      </c>
    </row>
    <row r="4309" spans="1:9">
      <c r="A4309" s="42" t="s">
        <v>1088</v>
      </c>
      <c r="B4309" s="42" t="s">
        <v>228</v>
      </c>
      <c r="C4309" s="42" t="s">
        <v>1109</v>
      </c>
      <c r="D4309" s="42" t="s">
        <v>159</v>
      </c>
      <c r="E4309" s="42" t="s">
        <v>808</v>
      </c>
      <c r="F4309" s="45">
        <v>698408361.6338655</v>
      </c>
      <c r="G4309" s="42" t="s">
        <v>763</v>
      </c>
      <c r="H4309" s="42" t="s">
        <v>100</v>
      </c>
      <c r="I4309" s="42" t="s">
        <v>884</v>
      </c>
    </row>
    <row r="4310" spans="1:9">
      <c r="A4310" s="42" t="s">
        <v>1088</v>
      </c>
      <c r="B4310" s="42" t="s">
        <v>212</v>
      </c>
      <c r="C4310" s="42" t="s">
        <v>1110</v>
      </c>
      <c r="D4310" s="42" t="s">
        <v>159</v>
      </c>
      <c r="E4310" s="42" t="s">
        <v>808</v>
      </c>
      <c r="F4310" s="45">
        <v>808022636.4693674</v>
      </c>
      <c r="G4310" s="42" t="s">
        <v>763</v>
      </c>
      <c r="H4310" s="42" t="s">
        <v>100</v>
      </c>
      <c r="I4310" s="42" t="s">
        <v>893</v>
      </c>
    </row>
    <row r="4311" spans="1:9">
      <c r="A4311" s="42" t="s">
        <v>1088</v>
      </c>
      <c r="B4311" s="42" t="s">
        <v>1111</v>
      </c>
      <c r="C4311" s="42" t="s">
        <v>1112</v>
      </c>
      <c r="D4311" s="42" t="s">
        <v>159</v>
      </c>
      <c r="E4311" s="42" t="s">
        <v>808</v>
      </c>
      <c r="F4311" s="45">
        <v>101147337.3853443</v>
      </c>
      <c r="G4311" s="42" t="s">
        <v>763</v>
      </c>
      <c r="H4311" s="42" t="s">
        <v>100</v>
      </c>
      <c r="I4311" s="42" t="s">
        <v>893</v>
      </c>
    </row>
    <row r="4312" spans="1:9">
      <c r="A4312" s="42" t="s">
        <v>1088</v>
      </c>
      <c r="B4312" s="42" t="s">
        <v>261</v>
      </c>
      <c r="C4312" s="42" t="s">
        <v>1113</v>
      </c>
      <c r="D4312" s="42" t="s">
        <v>159</v>
      </c>
      <c r="E4312" s="42" t="s">
        <v>808</v>
      </c>
      <c r="F4312" s="45">
        <v>2263277.510715206</v>
      </c>
      <c r="G4312" s="42" t="s">
        <v>763</v>
      </c>
      <c r="H4312" s="42" t="s">
        <v>100</v>
      </c>
      <c r="I4312" s="42" t="s">
        <v>893</v>
      </c>
    </row>
    <row r="4313" spans="1:9">
      <c r="A4313" s="42" t="s">
        <v>1088</v>
      </c>
      <c r="B4313" s="42" t="s">
        <v>1111</v>
      </c>
      <c r="C4313" s="42" t="s">
        <v>1114</v>
      </c>
      <c r="D4313" s="42" t="s">
        <v>159</v>
      </c>
      <c r="E4313" s="42" t="s">
        <v>808</v>
      </c>
      <c r="F4313" s="45">
        <v>697675645.8929865</v>
      </c>
      <c r="G4313" s="42" t="s">
        <v>763</v>
      </c>
      <c r="H4313" s="42" t="s">
        <v>100</v>
      </c>
      <c r="I4313" s="42" t="s">
        <v>893</v>
      </c>
    </row>
    <row r="4314" spans="1:9">
      <c r="A4314" s="42" t="s">
        <v>1088</v>
      </c>
      <c r="B4314" s="42" t="s">
        <v>261</v>
      </c>
      <c r="C4314" s="42" t="s">
        <v>1125</v>
      </c>
      <c r="D4314" s="42" t="s">
        <v>159</v>
      </c>
      <c r="E4314" s="42" t="s">
        <v>808</v>
      </c>
      <c r="F4314" s="45">
        <v>6936375.680321421</v>
      </c>
      <c r="G4314" s="42" t="s">
        <v>763</v>
      </c>
      <c r="H4314" s="42" t="s">
        <v>100</v>
      </c>
      <c r="I4314" s="42" t="s">
        <v>893</v>
      </c>
    </row>
    <row r="4315" spans="1:9">
      <c r="A4315" s="42" t="s">
        <v>1088</v>
      </c>
      <c r="B4315" s="42" t="s">
        <v>1111</v>
      </c>
      <c r="C4315" s="42" t="s">
        <v>1115</v>
      </c>
      <c r="D4315" s="42" t="s">
        <v>159</v>
      </c>
      <c r="E4315" s="42" t="s">
        <v>808</v>
      </c>
      <c r="F4315" s="45">
        <v>798822983.2783308</v>
      </c>
      <c r="G4315" s="42" t="s">
        <v>763</v>
      </c>
      <c r="H4315" s="42" t="s">
        <v>100</v>
      </c>
      <c r="I4315" s="42" t="s">
        <v>893</v>
      </c>
    </row>
    <row r="4316" spans="1:9">
      <c r="A4316" s="42" t="s">
        <v>1088</v>
      </c>
      <c r="B4316" s="42" t="s">
        <v>261</v>
      </c>
      <c r="C4316" s="42" t="s">
        <v>1116</v>
      </c>
      <c r="D4316" s="42" t="s">
        <v>159</v>
      </c>
      <c r="E4316" s="42" t="s">
        <v>808</v>
      </c>
      <c r="F4316" s="45">
        <v>9199653.191036627</v>
      </c>
      <c r="G4316" s="42" t="s">
        <v>763</v>
      </c>
      <c r="H4316" s="42" t="s">
        <v>100</v>
      </c>
      <c r="I4316" s="42" t="s">
        <v>893</v>
      </c>
    </row>
    <row r="4317" spans="1:9">
      <c r="A4317" s="42" t="s">
        <v>1088</v>
      </c>
      <c r="B4317" s="42" t="s">
        <v>219</v>
      </c>
      <c r="C4317" s="42" t="s">
        <v>1117</v>
      </c>
      <c r="D4317" s="42" t="s">
        <v>159</v>
      </c>
      <c r="E4317" s="42" t="s">
        <v>808</v>
      </c>
      <c r="F4317" s="45">
        <v>257753.1150692209</v>
      </c>
      <c r="G4317" s="42" t="s">
        <v>763</v>
      </c>
      <c r="H4317" s="42" t="s">
        <v>100</v>
      </c>
      <c r="I4317" s="42" t="s">
        <v>893</v>
      </c>
    </row>
    <row r="4318" spans="1:9">
      <c r="A4318" s="42" t="s">
        <v>1088</v>
      </c>
      <c r="B4318" s="42" t="s">
        <v>192</v>
      </c>
      <c r="C4318" s="42" t="s">
        <v>1089</v>
      </c>
      <c r="D4318" s="42" t="s">
        <v>160</v>
      </c>
      <c r="E4318" s="42" t="s">
        <v>808</v>
      </c>
      <c r="F4318" s="45">
        <v>1978204591.929708</v>
      </c>
      <c r="G4318" s="42" t="s">
        <v>763</v>
      </c>
      <c r="H4318" s="42" t="s">
        <v>102</v>
      </c>
      <c r="I4318" s="42" t="s">
        <v>893</v>
      </c>
    </row>
    <row r="4319" spans="1:9">
      <c r="A4319" s="42" t="s">
        <v>1088</v>
      </c>
      <c r="B4319" s="42" t="s">
        <v>193</v>
      </c>
      <c r="C4319" s="42" t="s">
        <v>1090</v>
      </c>
      <c r="D4319" s="42" t="s">
        <v>160</v>
      </c>
      <c r="E4319" s="42" t="s">
        <v>808</v>
      </c>
      <c r="F4319" s="45">
        <v>-2174665348.36029</v>
      </c>
      <c r="G4319" s="42" t="s">
        <v>763</v>
      </c>
      <c r="H4319" s="42" t="s">
        <v>102</v>
      </c>
      <c r="I4319" s="42" t="s">
        <v>893</v>
      </c>
    </row>
    <row r="4320" spans="1:9">
      <c r="A4320" s="42" t="s">
        <v>1088</v>
      </c>
      <c r="B4320" s="42" t="s">
        <v>194</v>
      </c>
      <c r="C4320" s="42" t="s">
        <v>1091</v>
      </c>
      <c r="D4320" s="42" t="s">
        <v>160</v>
      </c>
      <c r="E4320" s="42" t="s">
        <v>808</v>
      </c>
      <c r="F4320" s="45">
        <v>-196460756.4305818</v>
      </c>
      <c r="G4320" s="42" t="s">
        <v>763</v>
      </c>
      <c r="H4320" s="42" t="s">
        <v>102</v>
      </c>
      <c r="I4320" s="42" t="s">
        <v>893</v>
      </c>
    </row>
    <row r="4321" spans="1:9">
      <c r="A4321" s="42" t="s">
        <v>1088</v>
      </c>
      <c r="B4321" s="42" t="s">
        <v>195</v>
      </c>
      <c r="C4321" s="42" t="s">
        <v>1092</v>
      </c>
      <c r="D4321" s="42" t="s">
        <v>160</v>
      </c>
      <c r="E4321" s="42" t="s">
        <v>808</v>
      </c>
      <c r="F4321" s="45">
        <v>-343154614.3684952</v>
      </c>
      <c r="G4321" s="42" t="s">
        <v>763</v>
      </c>
      <c r="H4321" s="42" t="s">
        <v>102</v>
      </c>
      <c r="I4321" s="42" t="s">
        <v>893</v>
      </c>
    </row>
    <row r="4322" spans="1:9">
      <c r="A4322" s="42" t="s">
        <v>1088</v>
      </c>
      <c r="B4322" s="42" t="s">
        <v>196</v>
      </c>
      <c r="C4322" s="42" t="s">
        <v>1093</v>
      </c>
      <c r="D4322" s="42" t="s">
        <v>160</v>
      </c>
      <c r="E4322" s="42" t="s">
        <v>808</v>
      </c>
      <c r="F4322" s="45">
        <v>-109353872.4914796</v>
      </c>
      <c r="G4322" s="42" t="s">
        <v>763</v>
      </c>
      <c r="H4322" s="42" t="s">
        <v>102</v>
      </c>
      <c r="I4322" s="42" t="s">
        <v>893</v>
      </c>
    </row>
    <row r="4323" spans="1:9">
      <c r="A4323" s="42" t="s">
        <v>1088</v>
      </c>
      <c r="B4323" s="42" t="s">
        <v>197</v>
      </c>
      <c r="C4323" s="42" t="s">
        <v>1094</v>
      </c>
      <c r="D4323" s="42" t="s">
        <v>160</v>
      </c>
      <c r="E4323" s="42" t="s">
        <v>808</v>
      </c>
      <c r="F4323" s="45">
        <v>-2073620.770527854</v>
      </c>
      <c r="G4323" s="42" t="s">
        <v>763</v>
      </c>
      <c r="H4323" s="42" t="s">
        <v>102</v>
      </c>
      <c r="I4323" s="42" t="s">
        <v>893</v>
      </c>
    </row>
    <row r="4324" spans="1:9">
      <c r="A4324" s="42" t="s">
        <v>1088</v>
      </c>
      <c r="B4324" s="42" t="s">
        <v>198</v>
      </c>
      <c r="C4324" s="42" t="s">
        <v>1131</v>
      </c>
      <c r="D4324" s="42" t="s">
        <v>160</v>
      </c>
      <c r="E4324" s="42" t="s">
        <v>808</v>
      </c>
      <c r="F4324" s="45">
        <v>-850614051.6474582</v>
      </c>
      <c r="G4324" s="42" t="s">
        <v>763</v>
      </c>
      <c r="H4324" s="42" t="s">
        <v>102</v>
      </c>
      <c r="I4324" s="42" t="s">
        <v>893</v>
      </c>
    </row>
    <row r="4325" spans="1:9">
      <c r="A4325" s="42" t="s">
        <v>1088</v>
      </c>
      <c r="B4325" s="42" t="s">
        <v>199</v>
      </c>
      <c r="C4325" s="42" t="s">
        <v>1097</v>
      </c>
      <c r="D4325" s="42" t="s">
        <v>160</v>
      </c>
      <c r="E4325" s="42" t="s">
        <v>808</v>
      </c>
      <c r="F4325" s="45">
        <v>117603920.842794</v>
      </c>
      <c r="G4325" s="42" t="s">
        <v>763</v>
      </c>
      <c r="H4325" s="42" t="s">
        <v>102</v>
      </c>
      <c r="I4325" s="42" t="s">
        <v>893</v>
      </c>
    </row>
    <row r="4326" spans="1:9">
      <c r="A4326" s="42" t="s">
        <v>1088</v>
      </c>
      <c r="B4326" s="42" t="s">
        <v>200</v>
      </c>
      <c r="C4326" s="42" t="s">
        <v>1098</v>
      </c>
      <c r="D4326" s="42" t="s">
        <v>160</v>
      </c>
      <c r="E4326" s="42" t="s">
        <v>808</v>
      </c>
      <c r="F4326" s="45">
        <v>-1384052994.865749</v>
      </c>
      <c r="G4326" s="42" t="s">
        <v>763</v>
      </c>
      <c r="H4326" s="42" t="s">
        <v>102</v>
      </c>
      <c r="I4326" s="42" t="s">
        <v>893</v>
      </c>
    </row>
    <row r="4327" spans="1:9">
      <c r="A4327" s="42" t="s">
        <v>1088</v>
      </c>
      <c r="B4327" s="42" t="s">
        <v>201</v>
      </c>
      <c r="C4327" s="42" t="s">
        <v>1099</v>
      </c>
      <c r="D4327" s="42" t="s">
        <v>160</v>
      </c>
      <c r="E4327" s="42" t="s">
        <v>808</v>
      </c>
      <c r="F4327" s="45">
        <v>34066626.94438617</v>
      </c>
      <c r="G4327" s="42" t="s">
        <v>763</v>
      </c>
      <c r="H4327" s="42" t="s">
        <v>102</v>
      </c>
      <c r="I4327" s="42" t="s">
        <v>893</v>
      </c>
    </row>
    <row r="4328" spans="1:9">
      <c r="A4328" s="42" t="s">
        <v>1088</v>
      </c>
      <c r="B4328" s="42" t="s">
        <v>202</v>
      </c>
      <c r="C4328" s="42" t="s">
        <v>1100</v>
      </c>
      <c r="D4328" s="42" t="s">
        <v>160</v>
      </c>
      <c r="E4328" s="42" t="s">
        <v>808</v>
      </c>
      <c r="F4328" s="45">
        <v>456448366.3239777</v>
      </c>
      <c r="G4328" s="42" t="s">
        <v>763</v>
      </c>
      <c r="H4328" s="42" t="s">
        <v>102</v>
      </c>
      <c r="I4328" s="42" t="s">
        <v>893</v>
      </c>
    </row>
    <row r="4329" spans="1:9">
      <c r="A4329" s="42" t="s">
        <v>1088</v>
      </c>
      <c r="B4329" s="42" t="s">
        <v>225</v>
      </c>
      <c r="C4329" s="42" t="s">
        <v>1101</v>
      </c>
      <c r="D4329" s="42" t="s">
        <v>160</v>
      </c>
      <c r="E4329" s="42" t="s">
        <v>808</v>
      </c>
      <c r="F4329" s="45">
        <v>-558100218.8106396</v>
      </c>
      <c r="G4329" s="42" t="s">
        <v>763</v>
      </c>
      <c r="H4329" s="42" t="s">
        <v>102</v>
      </c>
      <c r="I4329" s="42" t="s">
        <v>864</v>
      </c>
    </row>
    <row r="4330" spans="1:9">
      <c r="A4330" s="42" t="s">
        <v>1088</v>
      </c>
      <c r="B4330" s="42" t="s">
        <v>204</v>
      </c>
      <c r="C4330" s="42" t="s">
        <v>1102</v>
      </c>
      <c r="D4330" s="42" t="s">
        <v>160</v>
      </c>
      <c r="E4330" s="42" t="s">
        <v>808</v>
      </c>
      <c r="F4330" s="45">
        <v>178849791.4580274</v>
      </c>
      <c r="G4330" s="42" t="s">
        <v>763</v>
      </c>
      <c r="H4330" s="42" t="s">
        <v>102</v>
      </c>
      <c r="I4330" s="42" t="s">
        <v>893</v>
      </c>
    </row>
    <row r="4331" spans="1:9">
      <c r="A4331" s="42" t="s">
        <v>1088</v>
      </c>
      <c r="B4331" s="42" t="s">
        <v>205</v>
      </c>
      <c r="C4331" s="42" t="s">
        <v>1103</v>
      </c>
      <c r="D4331" s="42" t="s">
        <v>160</v>
      </c>
      <c r="E4331" s="42" t="s">
        <v>808</v>
      </c>
      <c r="F4331" s="45">
        <v>77197938.97136554</v>
      </c>
      <c r="G4331" s="42" t="s">
        <v>763</v>
      </c>
      <c r="H4331" s="42" t="s">
        <v>102</v>
      </c>
      <c r="I4331" s="42" t="s">
        <v>893</v>
      </c>
    </row>
    <row r="4332" spans="1:9">
      <c r="A4332" s="42" t="s">
        <v>1088</v>
      </c>
      <c r="B4332" s="42" t="s">
        <v>206</v>
      </c>
      <c r="C4332" s="42" t="s">
        <v>1104</v>
      </c>
      <c r="D4332" s="42" t="s">
        <v>160</v>
      </c>
      <c r="E4332" s="42" t="s">
        <v>808</v>
      </c>
      <c r="F4332" s="45">
        <v>-1272788428.949997</v>
      </c>
      <c r="G4332" s="42" t="s">
        <v>763</v>
      </c>
      <c r="H4332" s="42" t="s">
        <v>102</v>
      </c>
      <c r="I4332" s="42" t="s">
        <v>893</v>
      </c>
    </row>
    <row r="4333" spans="1:9">
      <c r="A4333" s="42" t="s">
        <v>1088</v>
      </c>
      <c r="B4333" s="42" t="s">
        <v>207</v>
      </c>
      <c r="C4333" s="42" t="s">
        <v>1105</v>
      </c>
      <c r="D4333" s="42" t="s">
        <v>160</v>
      </c>
      <c r="E4333" s="42" t="s">
        <v>808</v>
      </c>
      <c r="F4333" s="45">
        <v>13093434.00819016</v>
      </c>
      <c r="G4333" s="42" t="s">
        <v>763</v>
      </c>
      <c r="H4333" s="42" t="s">
        <v>102</v>
      </c>
      <c r="I4333" s="42" t="s">
        <v>893</v>
      </c>
    </row>
    <row r="4334" spans="1:9">
      <c r="A4334" s="42" t="s">
        <v>1088</v>
      </c>
      <c r="B4334" s="42" t="s">
        <v>226</v>
      </c>
      <c r="C4334" s="42" t="s">
        <v>1127</v>
      </c>
      <c r="D4334" s="42" t="s">
        <v>160</v>
      </c>
      <c r="E4334" s="42" t="s">
        <v>808</v>
      </c>
      <c r="F4334" s="45">
        <v>-1259694994.941807</v>
      </c>
      <c r="G4334" s="42" t="s">
        <v>763</v>
      </c>
      <c r="H4334" s="42" t="s">
        <v>102</v>
      </c>
      <c r="I4334" s="42" t="s">
        <v>822</v>
      </c>
    </row>
    <row r="4335" spans="1:9">
      <c r="A4335" s="42" t="s">
        <v>1088</v>
      </c>
      <c r="B4335" s="42" t="s">
        <v>210</v>
      </c>
      <c r="C4335" s="42" t="s">
        <v>1124</v>
      </c>
      <c r="D4335" s="42" t="s">
        <v>160</v>
      </c>
      <c r="E4335" s="42" t="s">
        <v>808</v>
      </c>
      <c r="F4335" s="45">
        <v>23224552.62991197</v>
      </c>
      <c r="G4335" s="42" t="s">
        <v>763</v>
      </c>
      <c r="H4335" s="42" t="s">
        <v>102</v>
      </c>
      <c r="I4335" s="42" t="s">
        <v>893</v>
      </c>
    </row>
    <row r="4336" spans="1:9">
      <c r="A4336" s="42" t="s">
        <v>1088</v>
      </c>
      <c r="B4336" s="42" t="s">
        <v>227</v>
      </c>
      <c r="C4336" s="42" t="s">
        <v>1107</v>
      </c>
      <c r="D4336" s="42" t="s">
        <v>160</v>
      </c>
      <c r="E4336" s="42" t="s">
        <v>808</v>
      </c>
      <c r="F4336" s="45">
        <v>-33725960.67494231</v>
      </c>
      <c r="G4336" s="42" t="s">
        <v>763</v>
      </c>
      <c r="H4336" s="42" t="s">
        <v>102</v>
      </c>
      <c r="I4336" s="42" t="s">
        <v>864</v>
      </c>
    </row>
    <row r="4337" spans="1:9">
      <c r="A4337" s="42" t="s">
        <v>1088</v>
      </c>
      <c r="B4337" s="42" t="s">
        <v>211</v>
      </c>
      <c r="C4337" s="42" t="s">
        <v>1108</v>
      </c>
      <c r="D4337" s="42" t="s">
        <v>160</v>
      </c>
      <c r="E4337" s="42" t="s">
        <v>808</v>
      </c>
      <c r="F4337" s="45">
        <v>825656544.5164622</v>
      </c>
      <c r="G4337" s="42" t="s">
        <v>763</v>
      </c>
      <c r="H4337" s="42" t="s">
        <v>102</v>
      </c>
      <c r="I4337" s="42" t="s">
        <v>893</v>
      </c>
    </row>
    <row r="4338" spans="1:9">
      <c r="A4338" s="42" t="s">
        <v>1088</v>
      </c>
      <c r="B4338" s="42" t="s">
        <v>228</v>
      </c>
      <c r="C4338" s="42" t="s">
        <v>1109</v>
      </c>
      <c r="D4338" s="42" t="s">
        <v>160</v>
      </c>
      <c r="E4338" s="42" t="s">
        <v>808</v>
      </c>
      <c r="F4338" s="45">
        <v>836157952.5614924</v>
      </c>
      <c r="G4338" s="42" t="s">
        <v>763</v>
      </c>
      <c r="H4338" s="42" t="s">
        <v>102</v>
      </c>
      <c r="I4338" s="42" t="s">
        <v>884</v>
      </c>
    </row>
    <row r="4339" spans="1:9">
      <c r="A4339" s="42" t="s">
        <v>1088</v>
      </c>
      <c r="B4339" s="42" t="s">
        <v>212</v>
      </c>
      <c r="C4339" s="42" t="s">
        <v>1110</v>
      </c>
      <c r="D4339" s="42" t="s">
        <v>160</v>
      </c>
      <c r="E4339" s="42" t="s">
        <v>808</v>
      </c>
      <c r="F4339" s="45">
        <v>-434038450.4253445</v>
      </c>
      <c r="G4339" s="42" t="s">
        <v>763</v>
      </c>
      <c r="H4339" s="42" t="s">
        <v>102</v>
      </c>
      <c r="I4339" s="42" t="s">
        <v>893</v>
      </c>
    </row>
    <row r="4340" spans="1:9">
      <c r="A4340" s="42" t="s">
        <v>1088</v>
      </c>
      <c r="B4340" s="42" t="s">
        <v>1111</v>
      </c>
      <c r="C4340" s="42" t="s">
        <v>1112</v>
      </c>
      <c r="D4340" s="42" t="s">
        <v>160</v>
      </c>
      <c r="E4340" s="42" t="s">
        <v>808</v>
      </c>
      <c r="F4340" s="45">
        <v>-1253503755.784088</v>
      </c>
      <c r="G4340" s="42" t="s">
        <v>763</v>
      </c>
      <c r="H4340" s="42" t="s">
        <v>102</v>
      </c>
      <c r="I4340" s="42" t="s">
        <v>893</v>
      </c>
    </row>
    <row r="4341" spans="1:9">
      <c r="A4341" s="42" t="s">
        <v>1088</v>
      </c>
      <c r="B4341" s="42" t="s">
        <v>261</v>
      </c>
      <c r="C4341" s="42" t="s">
        <v>1113</v>
      </c>
      <c r="D4341" s="42" t="s">
        <v>160</v>
      </c>
      <c r="E4341" s="42" t="s">
        <v>808</v>
      </c>
      <c r="F4341" s="45">
        <v>-6191239.157718879</v>
      </c>
      <c r="G4341" s="42" t="s">
        <v>763</v>
      </c>
      <c r="H4341" s="42" t="s">
        <v>102</v>
      </c>
      <c r="I4341" s="42" t="s">
        <v>893</v>
      </c>
    </row>
    <row r="4342" spans="1:9">
      <c r="A4342" s="42" t="s">
        <v>1088</v>
      </c>
      <c r="B4342" s="42" t="s">
        <v>1111</v>
      </c>
      <c r="C4342" s="42" t="s">
        <v>1114</v>
      </c>
      <c r="D4342" s="42" t="s">
        <v>160</v>
      </c>
      <c r="E4342" s="42" t="s">
        <v>808</v>
      </c>
      <c r="F4342" s="45">
        <v>820990897.7827744</v>
      </c>
      <c r="G4342" s="42" t="s">
        <v>763</v>
      </c>
      <c r="H4342" s="42" t="s">
        <v>102</v>
      </c>
      <c r="I4342" s="42" t="s">
        <v>893</v>
      </c>
    </row>
    <row r="4343" spans="1:9">
      <c r="A4343" s="42" t="s">
        <v>1088</v>
      </c>
      <c r="B4343" s="42" t="s">
        <v>261</v>
      </c>
      <c r="C4343" s="42" t="s">
        <v>1125</v>
      </c>
      <c r="D4343" s="42" t="s">
        <v>160</v>
      </c>
      <c r="E4343" s="42" t="s">
        <v>808</v>
      </c>
      <c r="F4343" s="45">
        <v>4665646.733687672</v>
      </c>
      <c r="G4343" s="42" t="s">
        <v>763</v>
      </c>
      <c r="H4343" s="42" t="s">
        <v>102</v>
      </c>
      <c r="I4343" s="42" t="s">
        <v>893</v>
      </c>
    </row>
    <row r="4344" spans="1:9">
      <c r="A4344" s="42" t="s">
        <v>1088</v>
      </c>
      <c r="B4344" s="42" t="s">
        <v>1111</v>
      </c>
      <c r="C4344" s="42" t="s">
        <v>1115</v>
      </c>
      <c r="D4344" s="42" t="s">
        <v>160</v>
      </c>
      <c r="E4344" s="42" t="s">
        <v>808</v>
      </c>
      <c r="F4344" s="45">
        <v>-432512858.0013134</v>
      </c>
      <c r="G4344" s="42" t="s">
        <v>763</v>
      </c>
      <c r="H4344" s="42" t="s">
        <v>102</v>
      </c>
      <c r="I4344" s="42" t="s">
        <v>893</v>
      </c>
    </row>
    <row r="4345" spans="1:9">
      <c r="A4345" s="42" t="s">
        <v>1088</v>
      </c>
      <c r="B4345" s="42" t="s">
        <v>261</v>
      </c>
      <c r="C4345" s="42" t="s">
        <v>1116</v>
      </c>
      <c r="D4345" s="42" t="s">
        <v>160</v>
      </c>
      <c r="E4345" s="42" t="s">
        <v>808</v>
      </c>
      <c r="F4345" s="45">
        <v>-1525592.424031207</v>
      </c>
      <c r="G4345" s="42" t="s">
        <v>763</v>
      </c>
      <c r="H4345" s="42" t="s">
        <v>102</v>
      </c>
      <c r="I4345" s="42" t="s">
        <v>893</v>
      </c>
    </row>
    <row r="4346" spans="1:9">
      <c r="A4346" s="42" t="s">
        <v>1088</v>
      </c>
      <c r="B4346" s="42" t="s">
        <v>219</v>
      </c>
      <c r="C4346" s="42" t="s">
        <v>1117</v>
      </c>
      <c r="D4346" s="42" t="s">
        <v>160</v>
      </c>
      <c r="E4346" s="42" t="s">
        <v>808</v>
      </c>
      <c r="F4346" s="45">
        <v>-3194412.796998159</v>
      </c>
      <c r="G4346" s="42" t="s">
        <v>763</v>
      </c>
      <c r="H4346" s="42" t="s">
        <v>102</v>
      </c>
      <c r="I4346" s="42" t="s">
        <v>893</v>
      </c>
    </row>
    <row r="4347" spans="1:9">
      <c r="A4347" s="42" t="s">
        <v>1088</v>
      </c>
      <c r="B4347" s="42" t="s">
        <v>192</v>
      </c>
      <c r="C4347" s="42" t="s">
        <v>1089</v>
      </c>
      <c r="D4347" s="42" t="s">
        <v>161</v>
      </c>
      <c r="E4347" s="42" t="s">
        <v>808</v>
      </c>
      <c r="F4347" s="45">
        <v>2368952754.575097</v>
      </c>
      <c r="G4347" s="42" t="s">
        <v>763</v>
      </c>
      <c r="H4347" s="42" t="s">
        <v>104</v>
      </c>
      <c r="I4347" s="42" t="s">
        <v>893</v>
      </c>
    </row>
    <row r="4348" spans="1:9">
      <c r="A4348" s="42" t="s">
        <v>1088</v>
      </c>
      <c r="B4348" s="42" t="s">
        <v>193</v>
      </c>
      <c r="C4348" s="42" t="s">
        <v>1090</v>
      </c>
      <c r="D4348" s="42" t="s">
        <v>161</v>
      </c>
      <c r="E4348" s="42" t="s">
        <v>808</v>
      </c>
      <c r="F4348" s="45">
        <v>-2216944326.965044</v>
      </c>
      <c r="G4348" s="42" t="s">
        <v>763</v>
      </c>
      <c r="H4348" s="42" t="s">
        <v>104</v>
      </c>
      <c r="I4348" s="42" t="s">
        <v>893</v>
      </c>
    </row>
    <row r="4349" spans="1:9">
      <c r="A4349" s="42" t="s">
        <v>1088</v>
      </c>
      <c r="B4349" s="42" t="s">
        <v>194</v>
      </c>
      <c r="C4349" s="42" t="s">
        <v>1091</v>
      </c>
      <c r="D4349" s="42" t="s">
        <v>161</v>
      </c>
      <c r="E4349" s="42" t="s">
        <v>808</v>
      </c>
      <c r="F4349" s="45">
        <v>152008427.6100526</v>
      </c>
      <c r="G4349" s="42" t="s">
        <v>763</v>
      </c>
      <c r="H4349" s="42" t="s">
        <v>104</v>
      </c>
      <c r="I4349" s="42" t="s">
        <v>893</v>
      </c>
    </row>
    <row r="4350" spans="1:9">
      <c r="A4350" s="42" t="s">
        <v>1088</v>
      </c>
      <c r="B4350" s="42" t="s">
        <v>195</v>
      </c>
      <c r="C4350" s="42" t="s">
        <v>1092</v>
      </c>
      <c r="D4350" s="42" t="s">
        <v>161</v>
      </c>
      <c r="E4350" s="42" t="s">
        <v>808</v>
      </c>
      <c r="F4350" s="45">
        <v>-223369911.8617716</v>
      </c>
      <c r="G4350" s="42" t="s">
        <v>763</v>
      </c>
      <c r="H4350" s="42" t="s">
        <v>104</v>
      </c>
      <c r="I4350" s="42" t="s">
        <v>893</v>
      </c>
    </row>
    <row r="4351" spans="1:9">
      <c r="A4351" s="42" t="s">
        <v>1088</v>
      </c>
      <c r="B4351" s="42" t="s">
        <v>196</v>
      </c>
      <c r="C4351" s="42" t="s">
        <v>1093</v>
      </c>
      <c r="D4351" s="42" t="s">
        <v>161</v>
      </c>
      <c r="E4351" s="42" t="s">
        <v>808</v>
      </c>
      <c r="F4351" s="45">
        <v>-124862114.8101259</v>
      </c>
      <c r="G4351" s="42" t="s">
        <v>763</v>
      </c>
      <c r="H4351" s="42" t="s">
        <v>104</v>
      </c>
      <c r="I4351" s="42" t="s">
        <v>893</v>
      </c>
    </row>
    <row r="4352" spans="1:9">
      <c r="A4352" s="42" t="s">
        <v>1088</v>
      </c>
      <c r="B4352" s="42" t="s">
        <v>197</v>
      </c>
      <c r="C4352" s="42" t="s">
        <v>1094</v>
      </c>
      <c r="D4352" s="42" t="s">
        <v>161</v>
      </c>
      <c r="E4352" s="42" t="s">
        <v>808</v>
      </c>
      <c r="F4352" s="45">
        <v>-57597156.63485466</v>
      </c>
      <c r="G4352" s="42" t="s">
        <v>763</v>
      </c>
      <c r="H4352" s="42" t="s">
        <v>104</v>
      </c>
      <c r="I4352" s="42" t="s">
        <v>893</v>
      </c>
    </row>
    <row r="4353" spans="1:9">
      <c r="A4353" s="42" t="s">
        <v>1088</v>
      </c>
      <c r="B4353" s="42" t="s">
        <v>223</v>
      </c>
      <c r="C4353" s="42" t="s">
        <v>1128</v>
      </c>
      <c r="D4353" s="42" t="s">
        <v>161</v>
      </c>
      <c r="E4353" s="42" t="s">
        <v>808</v>
      </c>
      <c r="F4353" s="45">
        <v>-19185397.12469673</v>
      </c>
      <c r="G4353" s="42" t="s">
        <v>763</v>
      </c>
      <c r="H4353" s="42" t="s">
        <v>104</v>
      </c>
      <c r="I4353" s="42" t="s">
        <v>861</v>
      </c>
    </row>
    <row r="4354" spans="1:9">
      <c r="A4354" s="42" t="s">
        <v>1088</v>
      </c>
      <c r="B4354" s="42" t="s">
        <v>199</v>
      </c>
      <c r="C4354" s="42" t="s">
        <v>1097</v>
      </c>
      <c r="D4354" s="42" t="s">
        <v>161</v>
      </c>
      <c r="E4354" s="42" t="s">
        <v>808</v>
      </c>
      <c r="F4354" s="45">
        <v>-47738183.8775372</v>
      </c>
      <c r="G4354" s="42" t="s">
        <v>763</v>
      </c>
      <c r="H4354" s="42" t="s">
        <v>104</v>
      </c>
      <c r="I4354" s="42" t="s">
        <v>893</v>
      </c>
    </row>
    <row r="4355" spans="1:9">
      <c r="A4355" s="42" t="s">
        <v>1088</v>
      </c>
      <c r="B4355" s="42" t="s">
        <v>200</v>
      </c>
      <c r="C4355" s="42" t="s">
        <v>1098</v>
      </c>
      <c r="D4355" s="42" t="s">
        <v>161</v>
      </c>
      <c r="E4355" s="42" t="s">
        <v>808</v>
      </c>
      <c r="F4355" s="45">
        <v>-320744336.6989334</v>
      </c>
      <c r="G4355" s="42" t="s">
        <v>763</v>
      </c>
      <c r="H4355" s="42" t="s">
        <v>104</v>
      </c>
      <c r="I4355" s="42" t="s">
        <v>893</v>
      </c>
    </row>
    <row r="4356" spans="1:9">
      <c r="A4356" s="42" t="s">
        <v>1088</v>
      </c>
      <c r="B4356" s="42" t="s">
        <v>201</v>
      </c>
      <c r="C4356" s="42" t="s">
        <v>1099</v>
      </c>
      <c r="D4356" s="42" t="s">
        <v>161</v>
      </c>
      <c r="E4356" s="42" t="s">
        <v>808</v>
      </c>
      <c r="F4356" s="45">
        <v>61857543.75436027</v>
      </c>
      <c r="G4356" s="42" t="s">
        <v>763</v>
      </c>
      <c r="H4356" s="42" t="s">
        <v>104</v>
      </c>
      <c r="I4356" s="42" t="s">
        <v>893</v>
      </c>
    </row>
    <row r="4357" spans="1:9">
      <c r="A4357" s="42" t="s">
        <v>1088</v>
      </c>
      <c r="B4357" s="42" t="s">
        <v>202</v>
      </c>
      <c r="C4357" s="42" t="s">
        <v>1100</v>
      </c>
      <c r="D4357" s="42" t="s">
        <v>161</v>
      </c>
      <c r="E4357" s="42" t="s">
        <v>808</v>
      </c>
      <c r="F4357" s="45">
        <v>303839339.0901259</v>
      </c>
      <c r="G4357" s="42" t="s">
        <v>763</v>
      </c>
      <c r="H4357" s="42" t="s">
        <v>104</v>
      </c>
      <c r="I4357" s="42" t="s">
        <v>893</v>
      </c>
    </row>
    <row r="4358" spans="1:9">
      <c r="A4358" s="42" t="s">
        <v>1088</v>
      </c>
      <c r="B4358" s="42" t="s">
        <v>225</v>
      </c>
      <c r="C4358" s="42" t="s">
        <v>1101</v>
      </c>
      <c r="D4358" s="42" t="s">
        <v>161</v>
      </c>
      <c r="E4358" s="42" t="s">
        <v>808</v>
      </c>
      <c r="F4358" s="45">
        <v>-455888731.960943</v>
      </c>
      <c r="G4358" s="42" t="s">
        <v>763</v>
      </c>
      <c r="H4358" s="42" t="s">
        <v>104</v>
      </c>
      <c r="I4358" s="42" t="s">
        <v>864</v>
      </c>
    </row>
    <row r="4359" spans="1:9">
      <c r="A4359" s="42" t="s">
        <v>1088</v>
      </c>
      <c r="B4359" s="42" t="s">
        <v>204</v>
      </c>
      <c r="C4359" s="42" t="s">
        <v>1102</v>
      </c>
      <c r="D4359" s="42" t="s">
        <v>161</v>
      </c>
      <c r="E4359" s="42" t="s">
        <v>808</v>
      </c>
      <c r="F4359" s="45">
        <v>50318995.30569924</v>
      </c>
      <c r="G4359" s="42" t="s">
        <v>763</v>
      </c>
      <c r="H4359" s="42" t="s">
        <v>104</v>
      </c>
      <c r="I4359" s="42" t="s">
        <v>893</v>
      </c>
    </row>
    <row r="4360" spans="1:9">
      <c r="A4360" s="42" t="s">
        <v>1088</v>
      </c>
      <c r="B4360" s="42" t="s">
        <v>205</v>
      </c>
      <c r="C4360" s="42" t="s">
        <v>1103</v>
      </c>
      <c r="D4360" s="42" t="s">
        <v>161</v>
      </c>
      <c r="E4360" s="42" t="s">
        <v>808</v>
      </c>
      <c r="F4360" s="45">
        <v>-101730397.5651179</v>
      </c>
      <c r="G4360" s="42" t="s">
        <v>763</v>
      </c>
      <c r="H4360" s="42" t="s">
        <v>104</v>
      </c>
      <c r="I4360" s="42" t="s">
        <v>893</v>
      </c>
    </row>
    <row r="4361" spans="1:9">
      <c r="A4361" s="42" t="s">
        <v>1088</v>
      </c>
      <c r="B4361" s="42" t="s">
        <v>206</v>
      </c>
      <c r="C4361" s="42" t="s">
        <v>1104</v>
      </c>
      <c r="D4361" s="42" t="s">
        <v>161</v>
      </c>
      <c r="E4361" s="42" t="s">
        <v>808</v>
      </c>
      <c r="F4361" s="45">
        <v>-360617190.509691</v>
      </c>
      <c r="G4361" s="42" t="s">
        <v>763</v>
      </c>
      <c r="H4361" s="42" t="s">
        <v>104</v>
      </c>
      <c r="I4361" s="42" t="s">
        <v>893</v>
      </c>
    </row>
    <row r="4362" spans="1:9">
      <c r="A4362" s="42" t="s">
        <v>1088</v>
      </c>
      <c r="B4362" s="42" t="s">
        <v>207</v>
      </c>
      <c r="C4362" s="42" t="s">
        <v>1105</v>
      </c>
      <c r="D4362" s="42" t="s">
        <v>161</v>
      </c>
      <c r="E4362" s="42" t="s">
        <v>808</v>
      </c>
      <c r="F4362" s="45">
        <v>-121844340.6004761</v>
      </c>
      <c r="G4362" s="42" t="s">
        <v>763</v>
      </c>
      <c r="H4362" s="42" t="s">
        <v>104</v>
      </c>
      <c r="I4362" s="42" t="s">
        <v>893</v>
      </c>
    </row>
    <row r="4363" spans="1:9">
      <c r="A4363" s="42" t="s">
        <v>1088</v>
      </c>
      <c r="B4363" s="42" t="s">
        <v>226</v>
      </c>
      <c r="C4363" s="42" t="s">
        <v>1127</v>
      </c>
      <c r="D4363" s="42" t="s">
        <v>161</v>
      </c>
      <c r="E4363" s="42" t="s">
        <v>808</v>
      </c>
      <c r="F4363" s="45">
        <v>-482461531.1101671</v>
      </c>
      <c r="G4363" s="42" t="s">
        <v>763</v>
      </c>
      <c r="H4363" s="42" t="s">
        <v>94</v>
      </c>
      <c r="I4363" s="42" t="s">
        <v>822</v>
      </c>
    </row>
    <row r="4364" spans="1:9">
      <c r="A4364" s="42" t="s">
        <v>1088</v>
      </c>
      <c r="B4364" s="42" t="s">
        <v>208</v>
      </c>
      <c r="C4364" s="42" t="s">
        <v>1106</v>
      </c>
      <c r="D4364" s="42" t="s">
        <v>161</v>
      </c>
      <c r="E4364" s="42" t="s">
        <v>808</v>
      </c>
      <c r="F4364" s="45">
        <v>-482461531.1101671</v>
      </c>
      <c r="G4364" s="42" t="s">
        <v>763</v>
      </c>
      <c r="H4364" s="42" t="s">
        <v>104</v>
      </c>
      <c r="I4364" s="42" t="s">
        <v>893</v>
      </c>
    </row>
    <row r="4365" spans="1:9">
      <c r="A4365" s="42" t="s">
        <v>1088</v>
      </c>
      <c r="B4365" s="42" t="s">
        <v>210</v>
      </c>
      <c r="C4365" s="42" t="s">
        <v>1124</v>
      </c>
      <c r="D4365" s="42" t="s">
        <v>161</v>
      </c>
      <c r="E4365" s="42" t="s">
        <v>808</v>
      </c>
      <c r="F4365" s="45">
        <v>33864615.56530099</v>
      </c>
      <c r="G4365" s="42" t="s">
        <v>763</v>
      </c>
      <c r="H4365" s="42" t="s">
        <v>104</v>
      </c>
      <c r="I4365" s="42" t="s">
        <v>893</v>
      </c>
    </row>
    <row r="4366" spans="1:9">
      <c r="A4366" s="42" t="s">
        <v>1088</v>
      </c>
      <c r="B4366" s="42" t="s">
        <v>227</v>
      </c>
      <c r="C4366" s="42" t="s">
        <v>1107</v>
      </c>
      <c r="D4366" s="42" t="s">
        <v>161</v>
      </c>
      <c r="E4366" s="42" t="s">
        <v>808</v>
      </c>
      <c r="F4366" s="45">
        <v>-29890985.27114671</v>
      </c>
      <c r="G4366" s="42" t="s">
        <v>763</v>
      </c>
      <c r="H4366" s="42" t="s">
        <v>104</v>
      </c>
      <c r="I4366" s="42" t="s">
        <v>864</v>
      </c>
    </row>
    <row r="4367" spans="1:9">
      <c r="A4367" s="42" t="s">
        <v>1088</v>
      </c>
      <c r="B4367" s="42" t="s">
        <v>211</v>
      </c>
      <c r="C4367" s="42" t="s">
        <v>1108</v>
      </c>
      <c r="D4367" s="42" t="s">
        <v>161</v>
      </c>
      <c r="E4367" s="42" t="s">
        <v>808</v>
      </c>
      <c r="F4367" s="45">
        <v>630578258.9475944</v>
      </c>
      <c r="G4367" s="42" t="s">
        <v>763</v>
      </c>
      <c r="H4367" s="42" t="s">
        <v>104</v>
      </c>
      <c r="I4367" s="42" t="s">
        <v>893</v>
      </c>
    </row>
    <row r="4368" spans="1:9">
      <c r="A4368" s="42" t="s">
        <v>1088</v>
      </c>
      <c r="B4368" s="42" t="s">
        <v>228</v>
      </c>
      <c r="C4368" s="42" t="s">
        <v>1109</v>
      </c>
      <c r="D4368" s="42" t="s">
        <v>161</v>
      </c>
      <c r="E4368" s="42" t="s">
        <v>808</v>
      </c>
      <c r="F4368" s="45">
        <v>626604628.6534401</v>
      </c>
      <c r="G4368" s="42" t="s">
        <v>763</v>
      </c>
      <c r="H4368" s="42" t="s">
        <v>104</v>
      </c>
      <c r="I4368" s="42" t="s">
        <v>884</v>
      </c>
    </row>
    <row r="4369" spans="1:9">
      <c r="A4369" s="42" t="s">
        <v>1088</v>
      </c>
      <c r="B4369" s="42" t="s">
        <v>212</v>
      </c>
      <c r="C4369" s="42" t="s">
        <v>1110</v>
      </c>
      <c r="D4369" s="42" t="s">
        <v>161</v>
      </c>
      <c r="E4369" s="42" t="s">
        <v>808</v>
      </c>
      <c r="F4369" s="45">
        <v>148116727.8374273</v>
      </c>
      <c r="G4369" s="42" t="s">
        <v>763</v>
      </c>
      <c r="H4369" s="42" t="s">
        <v>104</v>
      </c>
      <c r="I4369" s="42" t="s">
        <v>893</v>
      </c>
    </row>
    <row r="4370" spans="1:9">
      <c r="A4370" s="42" t="s">
        <v>1088</v>
      </c>
      <c r="B4370" s="42" t="s">
        <v>1111</v>
      </c>
      <c r="C4370" s="42" t="s">
        <v>1112</v>
      </c>
      <c r="D4370" s="42" t="s">
        <v>161</v>
      </c>
      <c r="E4370" s="42" t="s">
        <v>808</v>
      </c>
      <c r="F4370" s="45">
        <v>-484291312.757647</v>
      </c>
      <c r="G4370" s="42" t="s">
        <v>763</v>
      </c>
      <c r="H4370" s="42" t="s">
        <v>104</v>
      </c>
      <c r="I4370" s="42" t="s">
        <v>893</v>
      </c>
    </row>
    <row r="4371" spans="1:9">
      <c r="A4371" s="42" t="s">
        <v>1088</v>
      </c>
      <c r="B4371" s="42" t="s">
        <v>261</v>
      </c>
      <c r="C4371" s="42" t="s">
        <v>1113</v>
      </c>
      <c r="D4371" s="42" t="s">
        <v>161</v>
      </c>
      <c r="E4371" s="42" t="s">
        <v>808</v>
      </c>
      <c r="F4371" s="45">
        <v>1829781.647479972</v>
      </c>
      <c r="G4371" s="42" t="s">
        <v>763</v>
      </c>
      <c r="H4371" s="42" t="s">
        <v>104</v>
      </c>
      <c r="I4371" s="42" t="s">
        <v>893</v>
      </c>
    </row>
    <row r="4372" spans="1:9">
      <c r="A4372" s="42" t="s">
        <v>1088</v>
      </c>
      <c r="B4372" s="42" t="s">
        <v>1111</v>
      </c>
      <c r="C4372" s="42" t="s">
        <v>1114</v>
      </c>
      <c r="D4372" s="42" t="s">
        <v>161</v>
      </c>
      <c r="E4372" s="42" t="s">
        <v>808</v>
      </c>
      <c r="F4372" s="45">
        <v>623832646.0083772</v>
      </c>
      <c r="G4372" s="42" t="s">
        <v>763</v>
      </c>
      <c r="H4372" s="42" t="s">
        <v>104</v>
      </c>
      <c r="I4372" s="42" t="s">
        <v>893</v>
      </c>
    </row>
    <row r="4373" spans="1:9">
      <c r="A4373" s="42" t="s">
        <v>1088</v>
      </c>
      <c r="B4373" s="42" t="s">
        <v>261</v>
      </c>
      <c r="C4373" s="42" t="s">
        <v>1125</v>
      </c>
      <c r="D4373" s="42" t="s">
        <v>161</v>
      </c>
      <c r="E4373" s="42" t="s">
        <v>808</v>
      </c>
      <c r="F4373" s="45">
        <v>6745612.939217212</v>
      </c>
      <c r="G4373" s="42" t="s">
        <v>763</v>
      </c>
      <c r="H4373" s="42" t="s">
        <v>104</v>
      </c>
      <c r="I4373" s="42" t="s">
        <v>893</v>
      </c>
    </row>
    <row r="4374" spans="1:9">
      <c r="A4374" s="42" t="s">
        <v>1088</v>
      </c>
      <c r="B4374" s="42" t="s">
        <v>1111</v>
      </c>
      <c r="C4374" s="42" t="s">
        <v>1115</v>
      </c>
      <c r="D4374" s="42" t="s">
        <v>161</v>
      </c>
      <c r="E4374" s="42" t="s">
        <v>808</v>
      </c>
      <c r="F4374" s="45">
        <v>139541333.2507301</v>
      </c>
      <c r="G4374" s="42" t="s">
        <v>763</v>
      </c>
      <c r="H4374" s="42" t="s">
        <v>104</v>
      </c>
      <c r="I4374" s="42" t="s">
        <v>893</v>
      </c>
    </row>
    <row r="4375" spans="1:9">
      <c r="A4375" s="42" t="s">
        <v>1088</v>
      </c>
      <c r="B4375" s="42" t="s">
        <v>261</v>
      </c>
      <c r="C4375" s="42" t="s">
        <v>1116</v>
      </c>
      <c r="D4375" s="42" t="s">
        <v>161</v>
      </c>
      <c r="E4375" s="42" t="s">
        <v>808</v>
      </c>
      <c r="F4375" s="45">
        <v>8575394.586697184</v>
      </c>
      <c r="G4375" s="42" t="s">
        <v>763</v>
      </c>
      <c r="H4375" s="42" t="s">
        <v>104</v>
      </c>
      <c r="I4375" s="42" t="s">
        <v>893</v>
      </c>
    </row>
    <row r="4376" spans="1:9">
      <c r="A4376" s="42" t="s">
        <v>1088</v>
      </c>
      <c r="B4376" s="42" t="s">
        <v>219</v>
      </c>
      <c r="C4376" s="42" t="s">
        <v>1117</v>
      </c>
      <c r="D4376" s="42" t="s">
        <v>161</v>
      </c>
      <c r="E4376" s="42" t="s">
        <v>808</v>
      </c>
      <c r="F4376" s="45">
        <v>-1232917.798141543</v>
      </c>
      <c r="G4376" s="42" t="s">
        <v>763</v>
      </c>
      <c r="H4376" s="42" t="s">
        <v>104</v>
      </c>
      <c r="I4376" s="42" t="s">
        <v>893</v>
      </c>
    </row>
    <row r="4377" spans="1:9">
      <c r="A4377" s="42" t="s">
        <v>1088</v>
      </c>
      <c r="B4377" s="42" t="s">
        <v>192</v>
      </c>
      <c r="C4377" s="42" t="s">
        <v>1089</v>
      </c>
      <c r="D4377" s="42" t="s">
        <v>162</v>
      </c>
      <c r="E4377" s="42" t="s">
        <v>808</v>
      </c>
      <c r="F4377" s="45">
        <v>2343609799.057388</v>
      </c>
      <c r="G4377" s="42" t="s">
        <v>1025</v>
      </c>
      <c r="H4377" s="42" t="s">
        <v>1044</v>
      </c>
      <c r="I4377" s="42" t="s">
        <v>893</v>
      </c>
    </row>
    <row r="4378" spans="1:9">
      <c r="A4378" s="42" t="s">
        <v>1088</v>
      </c>
      <c r="B4378" s="42" t="s">
        <v>193</v>
      </c>
      <c r="C4378" s="42" t="s">
        <v>1090</v>
      </c>
      <c r="D4378" s="42" t="s">
        <v>162</v>
      </c>
      <c r="E4378" s="42" t="s">
        <v>808</v>
      </c>
      <c r="F4378" s="45">
        <v>-2139217592.101782</v>
      </c>
      <c r="G4378" s="42" t="s">
        <v>1025</v>
      </c>
      <c r="H4378" s="42" t="s">
        <v>1044</v>
      </c>
      <c r="I4378" s="42" t="s">
        <v>893</v>
      </c>
    </row>
    <row r="4379" spans="1:9">
      <c r="A4379" s="42" t="s">
        <v>1088</v>
      </c>
      <c r="B4379" s="42" t="s">
        <v>194</v>
      </c>
      <c r="C4379" s="42" t="s">
        <v>1091</v>
      </c>
      <c r="D4379" s="42" t="s">
        <v>162</v>
      </c>
      <c r="E4379" s="42" t="s">
        <v>808</v>
      </c>
      <c r="F4379" s="45">
        <v>204392206.9556059</v>
      </c>
      <c r="G4379" s="42" t="s">
        <v>1025</v>
      </c>
      <c r="H4379" s="42" t="s">
        <v>1044</v>
      </c>
      <c r="I4379" s="42" t="s">
        <v>893</v>
      </c>
    </row>
    <row r="4380" spans="1:9">
      <c r="A4380" s="42" t="s">
        <v>1088</v>
      </c>
      <c r="B4380" s="42" t="s">
        <v>195</v>
      </c>
      <c r="C4380" s="42" t="s">
        <v>1092</v>
      </c>
      <c r="D4380" s="42" t="s">
        <v>162</v>
      </c>
      <c r="E4380" s="42" t="s">
        <v>808</v>
      </c>
      <c r="F4380" s="45">
        <v>-230431899.1322742</v>
      </c>
      <c r="G4380" s="42" t="s">
        <v>1025</v>
      </c>
      <c r="H4380" s="42" t="s">
        <v>1044</v>
      </c>
      <c r="I4380" s="42" t="s">
        <v>893</v>
      </c>
    </row>
    <row r="4381" spans="1:9">
      <c r="A4381" s="42" t="s">
        <v>1088</v>
      </c>
      <c r="B4381" s="42" t="s">
        <v>196</v>
      </c>
      <c r="C4381" s="42" t="s">
        <v>1093</v>
      </c>
      <c r="D4381" s="42" t="s">
        <v>162</v>
      </c>
      <c r="E4381" s="42" t="s">
        <v>808</v>
      </c>
      <c r="F4381" s="45">
        <v>-140186801.7614779</v>
      </c>
      <c r="G4381" s="42" t="s">
        <v>1025</v>
      </c>
      <c r="H4381" s="42" t="s">
        <v>1044</v>
      </c>
      <c r="I4381" s="42" t="s">
        <v>893</v>
      </c>
    </row>
    <row r="4382" spans="1:9">
      <c r="A4382" s="42" t="s">
        <v>1088</v>
      </c>
      <c r="B4382" s="42" t="s">
        <v>197</v>
      </c>
      <c r="C4382" s="42" t="s">
        <v>1094</v>
      </c>
      <c r="D4382" s="42" t="s">
        <v>162</v>
      </c>
      <c r="E4382" s="42" t="s">
        <v>808</v>
      </c>
      <c r="F4382" s="45">
        <v>-9650812.462980289</v>
      </c>
      <c r="G4382" s="42" t="s">
        <v>1025</v>
      </c>
      <c r="H4382" s="42" t="s">
        <v>1044</v>
      </c>
      <c r="I4382" s="42" t="s">
        <v>893</v>
      </c>
    </row>
    <row r="4383" spans="1:9">
      <c r="A4383" s="42" t="s">
        <v>1088</v>
      </c>
      <c r="B4383" s="42" t="s">
        <v>199</v>
      </c>
      <c r="C4383" s="42" t="s">
        <v>1097</v>
      </c>
      <c r="D4383" s="42" t="s">
        <v>162</v>
      </c>
      <c r="E4383" s="42" t="s">
        <v>808</v>
      </c>
      <c r="F4383" s="45">
        <v>-98483290.91108643</v>
      </c>
      <c r="G4383" s="42" t="s">
        <v>1025</v>
      </c>
      <c r="H4383" s="42" t="s">
        <v>1044</v>
      </c>
      <c r="I4383" s="42" t="s">
        <v>893</v>
      </c>
    </row>
    <row r="4384" spans="1:9">
      <c r="A4384" s="42" t="s">
        <v>1088</v>
      </c>
      <c r="B4384" s="42" t="s">
        <v>200</v>
      </c>
      <c r="C4384" s="42" t="s">
        <v>1098</v>
      </c>
      <c r="D4384" s="42" t="s">
        <v>162</v>
      </c>
      <c r="E4384" s="42" t="s">
        <v>808</v>
      </c>
      <c r="F4384" s="45">
        <v>546771030.4479687</v>
      </c>
      <c r="G4384" s="42" t="s">
        <v>1025</v>
      </c>
      <c r="H4384" s="42" t="s">
        <v>1044</v>
      </c>
      <c r="I4384" s="42" t="s">
        <v>893</v>
      </c>
    </row>
    <row r="4385" spans="1:9">
      <c r="A4385" s="42" t="s">
        <v>1088</v>
      </c>
      <c r="B4385" s="42" t="s">
        <v>201</v>
      </c>
      <c r="C4385" s="42" t="s">
        <v>1099</v>
      </c>
      <c r="D4385" s="42" t="s">
        <v>162</v>
      </c>
      <c r="E4385" s="42" t="s">
        <v>808</v>
      </c>
      <c r="F4385" s="45">
        <v>62755283.11419826</v>
      </c>
      <c r="G4385" s="42" t="s">
        <v>1025</v>
      </c>
      <c r="H4385" s="42" t="s">
        <v>1044</v>
      </c>
      <c r="I4385" s="42" t="s">
        <v>893</v>
      </c>
    </row>
    <row r="4386" spans="1:9">
      <c r="A4386" s="42" t="s">
        <v>1088</v>
      </c>
      <c r="B4386" s="42" t="s">
        <v>202</v>
      </c>
      <c r="C4386" s="42" t="s">
        <v>1100</v>
      </c>
      <c r="D4386" s="42" t="s">
        <v>162</v>
      </c>
      <c r="E4386" s="42" t="s">
        <v>808</v>
      </c>
      <c r="F4386" s="45">
        <v>421647996.844381</v>
      </c>
      <c r="G4386" s="42" t="s">
        <v>1025</v>
      </c>
      <c r="H4386" s="42" t="s">
        <v>1044</v>
      </c>
      <c r="I4386" s="42" t="s">
        <v>893</v>
      </c>
    </row>
    <row r="4387" spans="1:9">
      <c r="A4387" s="42" t="s">
        <v>1088</v>
      </c>
      <c r="B4387" s="42" t="s">
        <v>225</v>
      </c>
      <c r="C4387" s="42" t="s">
        <v>1101</v>
      </c>
      <c r="D4387" s="42" t="s">
        <v>162</v>
      </c>
      <c r="E4387" s="42" t="s">
        <v>808</v>
      </c>
      <c r="F4387" s="45">
        <v>-469452021.2724078</v>
      </c>
      <c r="G4387" s="42" t="s">
        <v>1025</v>
      </c>
      <c r="H4387" s="42" t="s">
        <v>1044</v>
      </c>
      <c r="I4387" s="42" t="s">
        <v>864</v>
      </c>
    </row>
    <row r="4388" spans="1:9">
      <c r="A4388" s="42" t="s">
        <v>1088</v>
      </c>
      <c r="B4388" s="42" t="s">
        <v>204</v>
      </c>
      <c r="C4388" s="42" t="s">
        <v>1102</v>
      </c>
      <c r="D4388" s="42" t="s">
        <v>162</v>
      </c>
      <c r="E4388" s="42" t="s">
        <v>808</v>
      </c>
      <c r="F4388" s="45">
        <v>67280664.08777191</v>
      </c>
      <c r="G4388" s="42" t="s">
        <v>1025</v>
      </c>
      <c r="H4388" s="42" t="s">
        <v>1044</v>
      </c>
      <c r="I4388" s="42" t="s">
        <v>893</v>
      </c>
    </row>
    <row r="4389" spans="1:9">
      <c r="A4389" s="42" t="s">
        <v>1088</v>
      </c>
      <c r="B4389" s="42" t="s">
        <v>205</v>
      </c>
      <c r="C4389" s="42" t="s">
        <v>1103</v>
      </c>
      <c r="D4389" s="42" t="s">
        <v>162</v>
      </c>
      <c r="E4389" s="42" t="s">
        <v>808</v>
      </c>
      <c r="F4389" s="45">
        <v>19476639.65974519</v>
      </c>
      <c r="G4389" s="42" t="s">
        <v>1025</v>
      </c>
      <c r="H4389" s="42" t="s">
        <v>1044</v>
      </c>
      <c r="I4389" s="42" t="s">
        <v>893</v>
      </c>
    </row>
    <row r="4390" spans="1:9">
      <c r="A4390" s="42" t="s">
        <v>1088</v>
      </c>
      <c r="B4390" s="42" t="s">
        <v>206</v>
      </c>
      <c r="C4390" s="42" t="s">
        <v>1104</v>
      </c>
      <c r="D4390" s="42" t="s">
        <v>162</v>
      </c>
      <c r="E4390" s="42" t="s">
        <v>808</v>
      </c>
      <c r="F4390" s="45">
        <v>629002953.2219123</v>
      </c>
      <c r="G4390" s="42" t="s">
        <v>1025</v>
      </c>
      <c r="H4390" s="42" t="s">
        <v>1044</v>
      </c>
      <c r="I4390" s="42" t="s">
        <v>893</v>
      </c>
    </row>
    <row r="4391" spans="1:9">
      <c r="A4391" s="42" t="s">
        <v>1088</v>
      </c>
      <c r="B4391" s="42" t="s">
        <v>207</v>
      </c>
      <c r="C4391" s="42" t="s">
        <v>1105</v>
      </c>
      <c r="D4391" s="42" t="s">
        <v>162</v>
      </c>
      <c r="E4391" s="42" t="s">
        <v>808</v>
      </c>
      <c r="F4391" s="45">
        <v>-91307686.82591714</v>
      </c>
      <c r="G4391" s="42" t="s">
        <v>1025</v>
      </c>
      <c r="H4391" s="42" t="s">
        <v>1044</v>
      </c>
      <c r="I4391" s="42" t="s">
        <v>893</v>
      </c>
    </row>
    <row r="4392" spans="1:9">
      <c r="A4392" s="42" t="s">
        <v>1088</v>
      </c>
      <c r="B4392" s="42" t="s">
        <v>226</v>
      </c>
      <c r="C4392" s="42" t="s">
        <v>1127</v>
      </c>
      <c r="D4392" s="42" t="s">
        <v>162</v>
      </c>
      <c r="E4392" s="42" t="s">
        <v>808</v>
      </c>
      <c r="F4392" s="45">
        <v>537695266.395995</v>
      </c>
      <c r="G4392" s="42" t="s">
        <v>1025</v>
      </c>
      <c r="H4392" s="42" t="s">
        <v>1026</v>
      </c>
      <c r="I4392" s="42" t="s">
        <v>822</v>
      </c>
    </row>
    <row r="4393" spans="1:9">
      <c r="A4393" s="42" t="s">
        <v>1088</v>
      </c>
      <c r="B4393" s="42" t="s">
        <v>208</v>
      </c>
      <c r="C4393" s="42" t="s">
        <v>1106</v>
      </c>
      <c r="D4393" s="42" t="s">
        <v>162</v>
      </c>
      <c r="E4393" s="42" t="s">
        <v>808</v>
      </c>
      <c r="F4393" s="45">
        <v>537695266.395995</v>
      </c>
      <c r="G4393" s="42" t="s">
        <v>1025</v>
      </c>
      <c r="H4393" s="42" t="s">
        <v>1132</v>
      </c>
      <c r="I4393" s="42" t="s">
        <v>893</v>
      </c>
    </row>
    <row r="4394" spans="1:9">
      <c r="A4394" s="42" t="s">
        <v>1088</v>
      </c>
      <c r="B4394" s="42" t="s">
        <v>210</v>
      </c>
      <c r="C4394" s="42" t="s">
        <v>1124</v>
      </c>
      <c r="D4394" s="42" t="s">
        <v>162</v>
      </c>
      <c r="E4394" s="42" t="s">
        <v>808</v>
      </c>
      <c r="F4394" s="45">
        <v>48904117.04038717</v>
      </c>
      <c r="G4394" s="42" t="s">
        <v>1025</v>
      </c>
      <c r="H4394" s="42" t="s">
        <v>1044</v>
      </c>
      <c r="I4394" s="42" t="s">
        <v>893</v>
      </c>
    </row>
    <row r="4395" spans="1:9">
      <c r="A4395" s="42" t="s">
        <v>1088</v>
      </c>
      <c r="B4395" s="42" t="s">
        <v>227</v>
      </c>
      <c r="C4395" s="42" t="s">
        <v>1107</v>
      </c>
      <c r="D4395" s="42" t="s">
        <v>162</v>
      </c>
      <c r="E4395" s="42" t="s">
        <v>808</v>
      </c>
      <c r="F4395" s="45">
        <v>-34027864.66869476</v>
      </c>
      <c r="G4395" s="42" t="s">
        <v>1025</v>
      </c>
      <c r="H4395" s="42" t="s">
        <v>1044</v>
      </c>
      <c r="I4395" s="42" t="s">
        <v>864</v>
      </c>
    </row>
    <row r="4396" spans="1:9">
      <c r="A4396" s="42" t="s">
        <v>1088</v>
      </c>
      <c r="B4396" s="42" t="s">
        <v>211</v>
      </c>
      <c r="C4396" s="42" t="s">
        <v>1108</v>
      </c>
      <c r="D4396" s="42" t="s">
        <v>162</v>
      </c>
      <c r="E4396" s="42" t="s">
        <v>808</v>
      </c>
      <c r="F4396" s="45">
        <v>766352016.0855968</v>
      </c>
      <c r="G4396" s="42" t="s">
        <v>1025</v>
      </c>
      <c r="H4396" s="42" t="s">
        <v>1044</v>
      </c>
      <c r="I4396" s="42" t="s">
        <v>893</v>
      </c>
    </row>
    <row r="4397" spans="1:9">
      <c r="A4397" s="42" t="s">
        <v>1088</v>
      </c>
      <c r="B4397" s="42" t="s">
        <v>228</v>
      </c>
      <c r="C4397" s="42" t="s">
        <v>1109</v>
      </c>
      <c r="D4397" s="42" t="s">
        <v>162</v>
      </c>
      <c r="E4397" s="42" t="s">
        <v>808</v>
      </c>
      <c r="F4397" s="45">
        <v>751475763.7139044</v>
      </c>
      <c r="G4397" s="42" t="s">
        <v>1025</v>
      </c>
      <c r="H4397" s="42" t="s">
        <v>1044</v>
      </c>
      <c r="I4397" s="42" t="s">
        <v>884</v>
      </c>
    </row>
    <row r="4398" spans="1:9">
      <c r="A4398" s="42" t="s">
        <v>1088</v>
      </c>
      <c r="B4398" s="42" t="s">
        <v>212</v>
      </c>
      <c r="C4398" s="42" t="s">
        <v>1110</v>
      </c>
      <c r="D4398" s="42" t="s">
        <v>162</v>
      </c>
      <c r="E4398" s="42" t="s">
        <v>808</v>
      </c>
      <c r="F4398" s="45">
        <v>1304047282.481592</v>
      </c>
      <c r="G4398" s="42" t="s">
        <v>1025</v>
      </c>
      <c r="H4398" s="42" t="s">
        <v>1044</v>
      </c>
      <c r="I4398" s="42" t="s">
        <v>893</v>
      </c>
    </row>
    <row r="4399" spans="1:9">
      <c r="A4399" s="42" t="s">
        <v>1088</v>
      </c>
      <c r="B4399" s="42" t="s">
        <v>1111</v>
      </c>
      <c r="C4399" s="42" t="s">
        <v>1112</v>
      </c>
      <c r="D4399" s="42" t="s">
        <v>162</v>
      </c>
      <c r="E4399" s="42" t="s">
        <v>808</v>
      </c>
      <c r="F4399" s="45">
        <v>552984053.4973228</v>
      </c>
      <c r="G4399" s="42" t="s">
        <v>1025</v>
      </c>
      <c r="H4399" s="42" t="s">
        <v>1044</v>
      </c>
      <c r="I4399" s="42" t="s">
        <v>893</v>
      </c>
    </row>
    <row r="4400" spans="1:9">
      <c r="A4400" s="42" t="s">
        <v>1088</v>
      </c>
      <c r="B4400" s="42" t="s">
        <v>261</v>
      </c>
      <c r="C4400" s="42" t="s">
        <v>1113</v>
      </c>
      <c r="D4400" s="42" t="s">
        <v>162</v>
      </c>
      <c r="E4400" s="42" t="s">
        <v>808</v>
      </c>
      <c r="F4400" s="45">
        <v>-15288787.10132758</v>
      </c>
      <c r="G4400" s="42" t="s">
        <v>1025</v>
      </c>
      <c r="H4400" s="42" t="s">
        <v>1044</v>
      </c>
      <c r="I4400" s="42" t="s">
        <v>893</v>
      </c>
    </row>
    <row r="4401" spans="1:9">
      <c r="A4401" s="42" t="s">
        <v>1088</v>
      </c>
      <c r="B4401" s="42" t="s">
        <v>1111</v>
      </c>
      <c r="C4401" s="42" t="s">
        <v>1114</v>
      </c>
      <c r="D4401" s="42" t="s">
        <v>162</v>
      </c>
      <c r="E4401" s="42" t="s">
        <v>808</v>
      </c>
      <c r="F4401" s="45">
        <v>757001228.880533</v>
      </c>
      <c r="G4401" s="42" t="s">
        <v>1025</v>
      </c>
      <c r="H4401" s="42" t="s">
        <v>1044</v>
      </c>
      <c r="I4401" s="42" t="s">
        <v>893</v>
      </c>
    </row>
    <row r="4402" spans="1:9">
      <c r="A4402" s="42" t="s">
        <v>1088</v>
      </c>
      <c r="B4402" s="42" t="s">
        <v>261</v>
      </c>
      <c r="C4402" s="42" t="s">
        <v>1125</v>
      </c>
      <c r="D4402" s="42" t="s">
        <v>162</v>
      </c>
      <c r="E4402" s="42" t="s">
        <v>808</v>
      </c>
      <c r="F4402" s="45">
        <v>9350787.205063805</v>
      </c>
      <c r="G4402" s="42" t="s">
        <v>1025</v>
      </c>
      <c r="H4402" s="42" t="s">
        <v>1044</v>
      </c>
      <c r="I4402" s="42" t="s">
        <v>893</v>
      </c>
    </row>
    <row r="4403" spans="1:9">
      <c r="A4403" s="42" t="s">
        <v>1088</v>
      </c>
      <c r="B4403" s="42" t="s">
        <v>1111</v>
      </c>
      <c r="C4403" s="42" t="s">
        <v>1115</v>
      </c>
      <c r="D4403" s="42" t="s">
        <v>162</v>
      </c>
      <c r="E4403" s="42" t="s">
        <v>808</v>
      </c>
      <c r="F4403" s="45">
        <v>1309985282.377856</v>
      </c>
      <c r="G4403" s="42" t="s">
        <v>1025</v>
      </c>
      <c r="H4403" s="42" t="s">
        <v>1044</v>
      </c>
      <c r="I4403" s="42" t="s">
        <v>893</v>
      </c>
    </row>
    <row r="4404" spans="1:9">
      <c r="A4404" s="42" t="s">
        <v>1088</v>
      </c>
      <c r="B4404" s="42" t="s">
        <v>261</v>
      </c>
      <c r="C4404" s="42" t="s">
        <v>1116</v>
      </c>
      <c r="D4404" s="42" t="s">
        <v>162</v>
      </c>
      <c r="E4404" s="42" t="s">
        <v>808</v>
      </c>
      <c r="F4404" s="45">
        <v>-5937999.896263779</v>
      </c>
      <c r="G4404" s="42" t="s">
        <v>1025</v>
      </c>
      <c r="H4404" s="42" t="s">
        <v>1044</v>
      </c>
      <c r="I4404" s="42" t="s">
        <v>893</v>
      </c>
    </row>
    <row r="4405" spans="1:9">
      <c r="A4405" s="42" t="s">
        <v>1088</v>
      </c>
      <c r="B4405" s="42" t="s">
        <v>192</v>
      </c>
      <c r="C4405" s="42" t="s">
        <v>1089</v>
      </c>
      <c r="D4405" s="42" t="s">
        <v>691</v>
      </c>
      <c r="E4405" s="42" t="s">
        <v>762</v>
      </c>
      <c r="F4405" s="45">
        <v>13682000000</v>
      </c>
      <c r="G4405" s="42" t="s">
        <v>763</v>
      </c>
      <c r="H4405" s="42" t="s">
        <v>129</v>
      </c>
      <c r="I4405" s="42" t="s">
        <v>893</v>
      </c>
    </row>
    <row r="4406" spans="1:9">
      <c r="A4406" s="42" t="s">
        <v>1088</v>
      </c>
      <c r="B4406" s="42" t="s">
        <v>193</v>
      </c>
      <c r="C4406" s="42" t="s">
        <v>1090</v>
      </c>
      <c r="D4406" s="42" t="s">
        <v>691</v>
      </c>
      <c r="E4406" s="42" t="s">
        <v>762</v>
      </c>
      <c r="F4406" s="45">
        <v>-10629000000</v>
      </c>
      <c r="G4406" s="42" t="s">
        <v>763</v>
      </c>
      <c r="H4406" s="42" t="s">
        <v>129</v>
      </c>
      <c r="I4406" s="42" t="s">
        <v>893</v>
      </c>
    </row>
    <row r="4407" spans="1:9">
      <c r="A4407" s="42" t="s">
        <v>1088</v>
      </c>
      <c r="B4407" s="42" t="s">
        <v>194</v>
      </c>
      <c r="C4407" s="42" t="s">
        <v>1091</v>
      </c>
      <c r="D4407" s="42" t="s">
        <v>691</v>
      </c>
      <c r="E4407" s="42" t="s">
        <v>762</v>
      </c>
      <c r="F4407" s="45">
        <v>3053000000</v>
      </c>
      <c r="G4407" s="42" t="s">
        <v>763</v>
      </c>
      <c r="H4407" s="42" t="s">
        <v>129</v>
      </c>
      <c r="I4407" s="42" t="s">
        <v>893</v>
      </c>
    </row>
    <row r="4408" spans="1:9">
      <c r="A4408" s="42" t="s">
        <v>1088</v>
      </c>
      <c r="B4408" s="42" t="s">
        <v>195</v>
      </c>
      <c r="C4408" s="42" t="s">
        <v>1092</v>
      </c>
      <c r="D4408" s="42" t="s">
        <v>691</v>
      </c>
      <c r="E4408" s="42" t="s">
        <v>762</v>
      </c>
      <c r="F4408" s="45">
        <v>-1507000000</v>
      </c>
      <c r="G4408" s="42" t="s">
        <v>763</v>
      </c>
      <c r="H4408" s="42" t="s">
        <v>129</v>
      </c>
      <c r="I4408" s="42" t="s">
        <v>893</v>
      </c>
    </row>
    <row r="4409" spans="1:9">
      <c r="A4409" s="42" t="s">
        <v>1088</v>
      </c>
      <c r="B4409" s="42" t="s">
        <v>196</v>
      </c>
      <c r="C4409" s="42" t="s">
        <v>1093</v>
      </c>
      <c r="D4409" s="42" t="s">
        <v>691</v>
      </c>
      <c r="E4409" s="42" t="s">
        <v>762</v>
      </c>
      <c r="F4409" s="45">
        <v>-470000000</v>
      </c>
      <c r="G4409" s="42" t="s">
        <v>763</v>
      </c>
      <c r="H4409" s="42" t="s">
        <v>129</v>
      </c>
      <c r="I4409" s="42" t="s">
        <v>893</v>
      </c>
    </row>
    <row r="4410" spans="1:9">
      <c r="A4410" s="42" t="s">
        <v>1088</v>
      </c>
      <c r="B4410" s="42" t="s">
        <v>197</v>
      </c>
      <c r="C4410" s="42" t="s">
        <v>1094</v>
      </c>
      <c r="D4410" s="42" t="s">
        <v>691</v>
      </c>
      <c r="E4410" s="42" t="s">
        <v>762</v>
      </c>
      <c r="F4410" s="45">
        <v>-30000000</v>
      </c>
      <c r="G4410" s="42" t="s">
        <v>763</v>
      </c>
      <c r="H4410" s="42" t="s">
        <v>129</v>
      </c>
      <c r="I4410" s="42" t="s">
        <v>893</v>
      </c>
    </row>
    <row r="4411" spans="1:9">
      <c r="A4411" s="42" t="s">
        <v>1088</v>
      </c>
      <c r="B4411" s="42" t="s">
        <v>223</v>
      </c>
      <c r="C4411" s="42" t="s">
        <v>1128</v>
      </c>
      <c r="D4411" s="42" t="s">
        <v>691</v>
      </c>
      <c r="E4411" s="42" t="s">
        <v>762</v>
      </c>
      <c r="F4411" s="45">
        <v>-115000000</v>
      </c>
      <c r="G4411" s="42" t="s">
        <v>763</v>
      </c>
      <c r="H4411" s="42" t="s">
        <v>129</v>
      </c>
      <c r="I4411" s="42" t="s">
        <v>861</v>
      </c>
    </row>
    <row r="4412" spans="1:9">
      <c r="A4412" s="42" t="s">
        <v>1088</v>
      </c>
      <c r="B4412" s="42" t="s">
        <v>224</v>
      </c>
      <c r="C4412" s="42" t="s">
        <v>1126</v>
      </c>
      <c r="D4412" s="42" t="s">
        <v>691</v>
      </c>
      <c r="E4412" s="42" t="s">
        <v>762</v>
      </c>
      <c r="F4412" s="45">
        <v>-115000000</v>
      </c>
      <c r="G4412" s="42" t="s">
        <v>763</v>
      </c>
      <c r="H4412" s="42" t="s">
        <v>119</v>
      </c>
      <c r="I4412" s="42" t="s">
        <v>854</v>
      </c>
    </row>
    <row r="4413" spans="1:9">
      <c r="A4413" s="42" t="s">
        <v>1088</v>
      </c>
      <c r="B4413" s="42" t="s">
        <v>199</v>
      </c>
      <c r="C4413" s="42" t="s">
        <v>1097</v>
      </c>
      <c r="D4413" s="42" t="s">
        <v>691</v>
      </c>
      <c r="E4413" s="42" t="s">
        <v>762</v>
      </c>
      <c r="F4413" s="45">
        <v>-232000000</v>
      </c>
      <c r="G4413" s="42" t="s">
        <v>763</v>
      </c>
      <c r="H4413" s="42" t="s">
        <v>129</v>
      </c>
      <c r="I4413" s="42" t="s">
        <v>893</v>
      </c>
    </row>
    <row r="4414" spans="1:9">
      <c r="A4414" s="42" t="s">
        <v>1088</v>
      </c>
      <c r="B4414" s="42" t="s">
        <v>200</v>
      </c>
      <c r="C4414" s="42" t="s">
        <v>1098</v>
      </c>
      <c r="D4414" s="42" t="s">
        <v>691</v>
      </c>
      <c r="E4414" s="42" t="s">
        <v>762</v>
      </c>
      <c r="F4414" s="45">
        <v>699000000</v>
      </c>
      <c r="G4414" s="42" t="s">
        <v>763</v>
      </c>
      <c r="H4414" s="42" t="s">
        <v>129</v>
      </c>
      <c r="I4414" s="42" t="s">
        <v>893</v>
      </c>
    </row>
    <row r="4415" spans="1:9">
      <c r="A4415" s="42" t="s">
        <v>1088</v>
      </c>
      <c r="B4415" s="42" t="s">
        <v>201</v>
      </c>
      <c r="C4415" s="42" t="s">
        <v>1099</v>
      </c>
      <c r="D4415" s="42" t="s">
        <v>691</v>
      </c>
      <c r="E4415" s="42" t="s">
        <v>762</v>
      </c>
      <c r="F4415" s="45">
        <v>287000000</v>
      </c>
      <c r="G4415" s="42" t="s">
        <v>763</v>
      </c>
      <c r="H4415" s="42" t="s">
        <v>129</v>
      </c>
      <c r="I4415" s="42" t="s">
        <v>893</v>
      </c>
    </row>
    <row r="4416" spans="1:9">
      <c r="A4416" s="42" t="s">
        <v>1088</v>
      </c>
      <c r="B4416" s="42" t="s">
        <v>202</v>
      </c>
      <c r="C4416" s="42" t="s">
        <v>1100</v>
      </c>
      <c r="D4416" s="42" t="s">
        <v>691</v>
      </c>
      <c r="E4416" s="42" t="s">
        <v>762</v>
      </c>
      <c r="F4416" s="45">
        <v>904000000</v>
      </c>
      <c r="G4416" s="42" t="s">
        <v>763</v>
      </c>
      <c r="H4416" s="42" t="s">
        <v>129</v>
      </c>
      <c r="I4416" s="42" t="s">
        <v>893</v>
      </c>
    </row>
    <row r="4417" spans="1:9">
      <c r="A4417" s="42" t="s">
        <v>1088</v>
      </c>
      <c r="B4417" s="42" t="s">
        <v>203</v>
      </c>
      <c r="C4417" s="42" t="s">
        <v>1129</v>
      </c>
      <c r="D4417" s="42" t="s">
        <v>691</v>
      </c>
      <c r="E4417" s="42" t="s">
        <v>762</v>
      </c>
      <c r="F4417" s="45">
        <v>-1408000000</v>
      </c>
      <c r="G4417" s="42" t="s">
        <v>763</v>
      </c>
      <c r="H4417" s="42" t="s">
        <v>129</v>
      </c>
      <c r="I4417" s="42" t="s">
        <v>893</v>
      </c>
    </row>
    <row r="4418" spans="1:9">
      <c r="A4418" s="42" t="s">
        <v>1088</v>
      </c>
      <c r="B4418" s="42" t="s">
        <v>225</v>
      </c>
      <c r="C4418" s="42" t="s">
        <v>1101</v>
      </c>
      <c r="D4418" s="42" t="s">
        <v>691</v>
      </c>
      <c r="E4418" s="42" t="s">
        <v>762</v>
      </c>
      <c r="F4418" s="45">
        <v>-1397544834.755642</v>
      </c>
      <c r="G4418" s="42" t="s">
        <v>763</v>
      </c>
      <c r="H4418" s="42" t="s">
        <v>108</v>
      </c>
      <c r="I4418" s="42" t="s">
        <v>864</v>
      </c>
    </row>
    <row r="4419" spans="1:9">
      <c r="A4419" s="42" t="s">
        <v>1088</v>
      </c>
      <c r="B4419" s="42" t="s">
        <v>204</v>
      </c>
      <c r="C4419" s="42" t="s">
        <v>1102</v>
      </c>
      <c r="D4419" s="42" t="s">
        <v>691</v>
      </c>
      <c r="E4419" s="42" t="s">
        <v>762</v>
      </c>
      <c r="F4419" s="45">
        <v>233000000</v>
      </c>
      <c r="G4419" s="42" t="s">
        <v>763</v>
      </c>
      <c r="H4419" s="42" t="s">
        <v>129</v>
      </c>
      <c r="I4419" s="42" t="s">
        <v>893</v>
      </c>
    </row>
    <row r="4420" spans="1:9">
      <c r="A4420" s="42" t="s">
        <v>1088</v>
      </c>
      <c r="B4420" s="42" t="s">
        <v>205</v>
      </c>
      <c r="C4420" s="42" t="s">
        <v>1103</v>
      </c>
      <c r="D4420" s="42" t="s">
        <v>691</v>
      </c>
      <c r="E4420" s="42" t="s">
        <v>762</v>
      </c>
      <c r="F4420" s="45">
        <v>-271000000</v>
      </c>
      <c r="G4420" s="42" t="s">
        <v>763</v>
      </c>
      <c r="H4420" s="42" t="s">
        <v>129</v>
      </c>
      <c r="I4420" s="42" t="s">
        <v>893</v>
      </c>
    </row>
    <row r="4421" spans="1:9">
      <c r="A4421" s="42" t="s">
        <v>1088</v>
      </c>
      <c r="B4421" s="42" t="s">
        <v>206</v>
      </c>
      <c r="C4421" s="42" t="s">
        <v>1104</v>
      </c>
      <c r="D4421" s="42" t="s">
        <v>691</v>
      </c>
      <c r="E4421" s="42" t="s">
        <v>762</v>
      </c>
      <c r="F4421" s="45">
        <v>715000000</v>
      </c>
      <c r="G4421" s="42" t="s">
        <v>763</v>
      </c>
      <c r="H4421" s="42" t="s">
        <v>129</v>
      </c>
      <c r="I4421" s="42" t="s">
        <v>893</v>
      </c>
    </row>
    <row r="4422" spans="1:9">
      <c r="A4422" s="42" t="s">
        <v>1088</v>
      </c>
      <c r="B4422" s="42" t="s">
        <v>207</v>
      </c>
      <c r="C4422" s="42" t="s">
        <v>1105</v>
      </c>
      <c r="D4422" s="42" t="s">
        <v>691</v>
      </c>
      <c r="E4422" s="42" t="s">
        <v>762</v>
      </c>
      <c r="F4422" s="45">
        <v>-699000000</v>
      </c>
      <c r="G4422" s="42" t="s">
        <v>763</v>
      </c>
      <c r="H4422" s="42" t="s">
        <v>129</v>
      </c>
      <c r="I4422" s="42" t="s">
        <v>893</v>
      </c>
    </row>
    <row r="4423" spans="1:9">
      <c r="A4423" s="42" t="s">
        <v>1088</v>
      </c>
      <c r="B4423" s="42" t="s">
        <v>226</v>
      </c>
      <c r="C4423" s="42" t="s">
        <v>1127</v>
      </c>
      <c r="D4423" s="42" t="s">
        <v>691</v>
      </c>
      <c r="E4423" s="42" t="s">
        <v>762</v>
      </c>
      <c r="F4423" s="45">
        <v>-8501085.781156339</v>
      </c>
      <c r="G4423" s="42" t="s">
        <v>763</v>
      </c>
      <c r="H4423" s="42" t="s">
        <v>108</v>
      </c>
      <c r="I4423" s="42" t="s">
        <v>822</v>
      </c>
    </row>
    <row r="4424" spans="1:9">
      <c r="A4424" s="42" t="s">
        <v>1088</v>
      </c>
      <c r="B4424" s="42" t="s">
        <v>208</v>
      </c>
      <c r="C4424" s="42" t="s">
        <v>1106</v>
      </c>
      <c r="D4424" s="42" t="s">
        <v>691</v>
      </c>
      <c r="E4424" s="42" t="s">
        <v>762</v>
      </c>
      <c r="F4424" s="45">
        <v>16000000</v>
      </c>
      <c r="G4424" s="42" t="s">
        <v>763</v>
      </c>
      <c r="H4424" s="42" t="s">
        <v>129</v>
      </c>
      <c r="I4424" s="42" t="s">
        <v>893</v>
      </c>
    </row>
    <row r="4425" spans="1:9">
      <c r="A4425" s="42" t="s">
        <v>1088</v>
      </c>
      <c r="B4425" s="42" t="s">
        <v>209</v>
      </c>
      <c r="C4425" s="42" t="s">
        <v>1130</v>
      </c>
      <c r="D4425" s="42" t="s">
        <v>691</v>
      </c>
      <c r="E4425" s="42" t="s">
        <v>762</v>
      </c>
      <c r="F4425" s="45">
        <v>-62000000</v>
      </c>
      <c r="G4425" s="42" t="s">
        <v>763</v>
      </c>
      <c r="H4425" s="42" t="s">
        <v>129</v>
      </c>
      <c r="I4425" s="42" t="s">
        <v>893</v>
      </c>
    </row>
    <row r="4426" spans="1:9">
      <c r="A4426" s="42" t="s">
        <v>1088</v>
      </c>
      <c r="B4426" s="42" t="s">
        <v>210</v>
      </c>
      <c r="C4426" s="42" t="s">
        <v>1124</v>
      </c>
      <c r="D4426" s="42" t="s">
        <v>691</v>
      </c>
      <c r="E4426" s="42" t="s">
        <v>762</v>
      </c>
      <c r="F4426" s="45">
        <v>177000000</v>
      </c>
      <c r="G4426" s="42" t="s">
        <v>763</v>
      </c>
      <c r="H4426" s="42" t="s">
        <v>129</v>
      </c>
      <c r="I4426" s="42" t="s">
        <v>893</v>
      </c>
    </row>
    <row r="4427" spans="1:9">
      <c r="A4427" s="42" t="s">
        <v>1088</v>
      </c>
      <c r="B4427" s="42" t="s">
        <v>227</v>
      </c>
      <c r="C4427" s="42" t="s">
        <v>1107</v>
      </c>
      <c r="D4427" s="42" t="s">
        <v>691</v>
      </c>
      <c r="E4427" s="42" t="s">
        <v>762</v>
      </c>
      <c r="F4427" s="45">
        <v>-79350481.38797167</v>
      </c>
      <c r="G4427" s="42" t="s">
        <v>763</v>
      </c>
      <c r="H4427" s="42" t="s">
        <v>108</v>
      </c>
      <c r="I4427" s="42" t="s">
        <v>864</v>
      </c>
    </row>
    <row r="4428" spans="1:9">
      <c r="A4428" s="42" t="s">
        <v>1088</v>
      </c>
      <c r="B4428" s="42" t="s">
        <v>211</v>
      </c>
      <c r="C4428" s="42" t="s">
        <v>1108</v>
      </c>
      <c r="D4428" s="42" t="s">
        <v>691</v>
      </c>
      <c r="E4428" s="42" t="s">
        <v>762</v>
      </c>
      <c r="F4428" s="45">
        <v>115000000</v>
      </c>
      <c r="G4428" s="42" t="s">
        <v>763</v>
      </c>
      <c r="H4428" s="42" t="s">
        <v>129</v>
      </c>
      <c r="I4428" s="42" t="s">
        <v>893</v>
      </c>
    </row>
    <row r="4429" spans="1:9">
      <c r="A4429" s="42" t="s">
        <v>1088</v>
      </c>
      <c r="B4429" s="42" t="s">
        <v>228</v>
      </c>
      <c r="C4429" s="42" t="s">
        <v>1109</v>
      </c>
      <c r="D4429" s="42" t="s">
        <v>691</v>
      </c>
      <c r="E4429" s="42" t="s">
        <v>762</v>
      </c>
      <c r="F4429" s="45">
        <v>1614248874.154747</v>
      </c>
      <c r="G4429" s="42" t="s">
        <v>763</v>
      </c>
      <c r="H4429" s="42" t="s">
        <v>127</v>
      </c>
      <c r="I4429" s="42" t="s">
        <v>884</v>
      </c>
    </row>
    <row r="4430" spans="1:9">
      <c r="A4430" s="42" t="s">
        <v>1088</v>
      </c>
      <c r="B4430" s="42" t="s">
        <v>212</v>
      </c>
      <c r="C4430" s="42" t="s">
        <v>1110</v>
      </c>
      <c r="D4430" s="42" t="s">
        <v>691</v>
      </c>
      <c r="E4430" s="42" t="s">
        <v>762</v>
      </c>
      <c r="F4430" s="45">
        <v>131000000</v>
      </c>
      <c r="G4430" s="42" t="s">
        <v>763</v>
      </c>
      <c r="H4430" s="42" t="s">
        <v>129</v>
      </c>
      <c r="I4430" s="42" t="s">
        <v>893</v>
      </c>
    </row>
    <row r="4431" spans="1:9">
      <c r="A4431" s="42" t="s">
        <v>1088</v>
      </c>
      <c r="B4431" s="42" t="s">
        <v>1111</v>
      </c>
      <c r="C4431" s="42" t="s">
        <v>1112</v>
      </c>
      <c r="D4431" s="42" t="s">
        <v>691</v>
      </c>
      <c r="E4431" s="42" t="s">
        <v>762</v>
      </c>
      <c r="F4431" s="45">
        <v>26000000</v>
      </c>
      <c r="G4431" s="42" t="s">
        <v>763</v>
      </c>
      <c r="H4431" s="42" t="s">
        <v>129</v>
      </c>
      <c r="I4431" s="42" t="s">
        <v>893</v>
      </c>
    </row>
    <row r="4432" spans="1:9">
      <c r="A4432" s="42" t="s">
        <v>1088</v>
      </c>
      <c r="B4432" s="42" t="s">
        <v>261</v>
      </c>
      <c r="C4432" s="42" t="s">
        <v>1113</v>
      </c>
      <c r="D4432" s="42" t="s">
        <v>691</v>
      </c>
      <c r="E4432" s="42" t="s">
        <v>762</v>
      </c>
      <c r="F4432" s="45">
        <v>-10000000</v>
      </c>
      <c r="G4432" s="42" t="s">
        <v>763</v>
      </c>
      <c r="H4432" s="42" t="s">
        <v>129</v>
      </c>
      <c r="I4432" s="42" t="s">
        <v>893</v>
      </c>
    </row>
    <row r="4433" spans="1:9">
      <c r="A4433" s="42" t="s">
        <v>1088</v>
      </c>
      <c r="B4433" s="42" t="s">
        <v>1111</v>
      </c>
      <c r="C4433" s="42" t="s">
        <v>1114</v>
      </c>
      <c r="D4433" s="42" t="s">
        <v>691</v>
      </c>
      <c r="E4433" s="42" t="s">
        <v>762</v>
      </c>
      <c r="F4433" s="45">
        <v>98000000</v>
      </c>
      <c r="G4433" s="42" t="s">
        <v>763</v>
      </c>
      <c r="H4433" s="42" t="s">
        <v>129</v>
      </c>
      <c r="I4433" s="42" t="s">
        <v>893</v>
      </c>
    </row>
    <row r="4434" spans="1:9">
      <c r="A4434" s="42" t="s">
        <v>1088</v>
      </c>
      <c r="B4434" s="42" t="s">
        <v>261</v>
      </c>
      <c r="C4434" s="42" t="s">
        <v>1125</v>
      </c>
      <c r="D4434" s="42" t="s">
        <v>691</v>
      </c>
      <c r="E4434" s="42" t="s">
        <v>762</v>
      </c>
      <c r="F4434" s="45">
        <v>17000000</v>
      </c>
      <c r="G4434" s="42" t="s">
        <v>763</v>
      </c>
      <c r="H4434" s="42" t="s">
        <v>129</v>
      </c>
      <c r="I4434" s="42" t="s">
        <v>893</v>
      </c>
    </row>
    <row r="4435" spans="1:9">
      <c r="A4435" s="42" t="s">
        <v>1088</v>
      </c>
      <c r="B4435" s="42" t="s">
        <v>1111</v>
      </c>
      <c r="C4435" s="42" t="s">
        <v>1115</v>
      </c>
      <c r="D4435" s="42" t="s">
        <v>691</v>
      </c>
      <c r="E4435" s="42" t="s">
        <v>762</v>
      </c>
      <c r="F4435" s="45">
        <v>124000000</v>
      </c>
      <c r="G4435" s="42" t="s">
        <v>763</v>
      </c>
      <c r="H4435" s="42" t="s">
        <v>129</v>
      </c>
      <c r="I4435" s="42" t="s">
        <v>893</v>
      </c>
    </row>
    <row r="4436" spans="1:9">
      <c r="A4436" s="42" t="s">
        <v>1088</v>
      </c>
      <c r="B4436" s="42" t="s">
        <v>261</v>
      </c>
      <c r="C4436" s="42" t="s">
        <v>1116</v>
      </c>
      <c r="D4436" s="42" t="s">
        <v>691</v>
      </c>
      <c r="E4436" s="42" t="s">
        <v>762</v>
      </c>
      <c r="F4436" s="45">
        <v>7000000</v>
      </c>
      <c r="G4436" s="42" t="s">
        <v>763</v>
      </c>
      <c r="H4436" s="42" t="s">
        <v>129</v>
      </c>
      <c r="I4436" s="42" t="s">
        <v>893</v>
      </c>
    </row>
    <row r="4437" spans="1:9">
      <c r="A4437" s="42" t="s">
        <v>1088</v>
      </c>
      <c r="B4437" s="42" t="s">
        <v>219</v>
      </c>
      <c r="C4437" s="42" t="s">
        <v>1117</v>
      </c>
      <c r="D4437" s="42" t="s">
        <v>691</v>
      </c>
      <c r="E4437" s="42" t="s">
        <v>762</v>
      </c>
      <c r="F4437" s="45">
        <v>70000</v>
      </c>
      <c r="G4437" s="42" t="s">
        <v>763</v>
      </c>
      <c r="H4437" s="42" t="s">
        <v>129</v>
      </c>
      <c r="I4437" s="42" t="s">
        <v>893</v>
      </c>
    </row>
    <row r="4438" spans="1:9">
      <c r="A4438" s="42" t="s">
        <v>1088</v>
      </c>
      <c r="B4438" s="42" t="s">
        <v>192</v>
      </c>
      <c r="C4438" s="42" t="s">
        <v>1089</v>
      </c>
      <c r="D4438" s="42" t="s">
        <v>163</v>
      </c>
      <c r="E4438" s="42" t="s">
        <v>808</v>
      </c>
      <c r="F4438" s="45">
        <v>2653491460.761909</v>
      </c>
      <c r="G4438" s="42" t="s">
        <v>763</v>
      </c>
      <c r="H4438" s="42" t="s">
        <v>110</v>
      </c>
      <c r="I4438" s="42" t="s">
        <v>893</v>
      </c>
    </row>
    <row r="4439" spans="1:9">
      <c r="A4439" s="42" t="s">
        <v>1088</v>
      </c>
      <c r="B4439" s="42" t="s">
        <v>193</v>
      </c>
      <c r="C4439" s="42" t="s">
        <v>1090</v>
      </c>
      <c r="D4439" s="42" t="s">
        <v>163</v>
      </c>
      <c r="E4439" s="42" t="s">
        <v>808</v>
      </c>
      <c r="F4439" s="45">
        <v>-2242753259.808942</v>
      </c>
      <c r="G4439" s="42" t="s">
        <v>763</v>
      </c>
      <c r="H4439" s="42" t="s">
        <v>110</v>
      </c>
      <c r="I4439" s="42" t="s">
        <v>893</v>
      </c>
    </row>
    <row r="4440" spans="1:9">
      <c r="A4440" s="42" t="s">
        <v>1088</v>
      </c>
      <c r="B4440" s="42" t="s">
        <v>194</v>
      </c>
      <c r="C4440" s="42" t="s">
        <v>1091</v>
      </c>
      <c r="D4440" s="42" t="s">
        <v>163</v>
      </c>
      <c r="E4440" s="42" t="s">
        <v>808</v>
      </c>
      <c r="F4440" s="45">
        <v>410738200.9529663</v>
      </c>
      <c r="G4440" s="42" t="s">
        <v>763</v>
      </c>
      <c r="H4440" s="42" t="s">
        <v>110</v>
      </c>
      <c r="I4440" s="42" t="s">
        <v>893</v>
      </c>
    </row>
    <row r="4441" spans="1:9">
      <c r="A4441" s="42" t="s">
        <v>1088</v>
      </c>
      <c r="B4441" s="42" t="s">
        <v>195</v>
      </c>
      <c r="C4441" s="42" t="s">
        <v>1092</v>
      </c>
      <c r="D4441" s="42" t="s">
        <v>163</v>
      </c>
      <c r="E4441" s="42" t="s">
        <v>808</v>
      </c>
      <c r="F4441" s="45">
        <v>-225313496.4659895</v>
      </c>
      <c r="G4441" s="42" t="s">
        <v>763</v>
      </c>
      <c r="H4441" s="42" t="s">
        <v>110</v>
      </c>
      <c r="I4441" s="42" t="s">
        <v>893</v>
      </c>
    </row>
    <row r="4442" spans="1:9">
      <c r="A4442" s="42" t="s">
        <v>1088</v>
      </c>
      <c r="B4442" s="42" t="s">
        <v>196</v>
      </c>
      <c r="C4442" s="42" t="s">
        <v>1093</v>
      </c>
      <c r="D4442" s="42" t="s">
        <v>163</v>
      </c>
      <c r="E4442" s="42" t="s">
        <v>808</v>
      </c>
      <c r="F4442" s="45">
        <v>-103082760.3535801</v>
      </c>
      <c r="G4442" s="42" t="s">
        <v>763</v>
      </c>
      <c r="H4442" s="42" t="s">
        <v>110</v>
      </c>
      <c r="I4442" s="42" t="s">
        <v>893</v>
      </c>
    </row>
    <row r="4443" spans="1:9">
      <c r="A4443" s="42" t="s">
        <v>1088</v>
      </c>
      <c r="B4443" s="42" t="s">
        <v>197</v>
      </c>
      <c r="C4443" s="42" t="s">
        <v>1094</v>
      </c>
      <c r="D4443" s="42" t="s">
        <v>163</v>
      </c>
      <c r="E4443" s="42" t="s">
        <v>808</v>
      </c>
      <c r="F4443" s="45">
        <v>-1796181.796845943</v>
      </c>
      <c r="G4443" s="42" t="s">
        <v>763</v>
      </c>
      <c r="H4443" s="42" t="s">
        <v>110</v>
      </c>
      <c r="I4443" s="42" t="s">
        <v>893</v>
      </c>
    </row>
    <row r="4444" spans="1:9">
      <c r="A4444" s="42" t="s">
        <v>1088</v>
      </c>
      <c r="B4444" s="42" t="s">
        <v>199</v>
      </c>
      <c r="C4444" s="42" t="s">
        <v>1097</v>
      </c>
      <c r="D4444" s="42" t="s">
        <v>163</v>
      </c>
      <c r="E4444" s="42" t="s">
        <v>808</v>
      </c>
      <c r="F4444" s="45">
        <v>-3117900.477543901</v>
      </c>
      <c r="G4444" s="42" t="s">
        <v>763</v>
      </c>
      <c r="H4444" s="42" t="s">
        <v>110</v>
      </c>
      <c r="I4444" s="42" t="s">
        <v>893</v>
      </c>
    </row>
    <row r="4445" spans="1:9">
      <c r="A4445" s="42" t="s">
        <v>1088</v>
      </c>
      <c r="B4445" s="42" t="s">
        <v>200</v>
      </c>
      <c r="C4445" s="42" t="s">
        <v>1098</v>
      </c>
      <c r="D4445" s="42" t="s">
        <v>163</v>
      </c>
      <c r="E4445" s="42" t="s">
        <v>808</v>
      </c>
      <c r="F4445" s="45">
        <v>77427861.85900687</v>
      </c>
      <c r="G4445" s="42" t="s">
        <v>763</v>
      </c>
      <c r="H4445" s="42" t="s">
        <v>110</v>
      </c>
      <c r="I4445" s="42" t="s">
        <v>893</v>
      </c>
    </row>
    <row r="4446" spans="1:9">
      <c r="A4446" s="42" t="s">
        <v>1088</v>
      </c>
      <c r="B4446" s="42" t="s">
        <v>201</v>
      </c>
      <c r="C4446" s="42" t="s">
        <v>1099</v>
      </c>
      <c r="D4446" s="42" t="s">
        <v>163</v>
      </c>
      <c r="E4446" s="42" t="s">
        <v>808</v>
      </c>
      <c r="F4446" s="45">
        <v>57794126.24316882</v>
      </c>
      <c r="G4446" s="42" t="s">
        <v>763</v>
      </c>
      <c r="H4446" s="42" t="s">
        <v>110</v>
      </c>
      <c r="I4446" s="42" t="s">
        <v>893</v>
      </c>
    </row>
    <row r="4447" spans="1:9">
      <c r="A4447" s="42" t="s">
        <v>1088</v>
      </c>
      <c r="B4447" s="42" t="s">
        <v>202</v>
      </c>
      <c r="C4447" s="42" t="s">
        <v>1100</v>
      </c>
      <c r="D4447" s="42" t="s">
        <v>163</v>
      </c>
      <c r="E4447" s="42" t="s">
        <v>808</v>
      </c>
      <c r="F4447" s="45">
        <v>252448268.01331</v>
      </c>
      <c r="G4447" s="42" t="s">
        <v>763</v>
      </c>
      <c r="H4447" s="42" t="s">
        <v>110</v>
      </c>
      <c r="I4447" s="42" t="s">
        <v>893</v>
      </c>
    </row>
    <row r="4448" spans="1:9">
      <c r="A4448" s="42" t="s">
        <v>1088</v>
      </c>
      <c r="B4448" s="42" t="s">
        <v>225</v>
      </c>
      <c r="C4448" s="42" t="s">
        <v>1101</v>
      </c>
      <c r="D4448" s="42" t="s">
        <v>163</v>
      </c>
      <c r="E4448" s="42" t="s">
        <v>808</v>
      </c>
      <c r="F4448" s="45">
        <v>-365144554.839317</v>
      </c>
      <c r="G4448" s="42" t="s">
        <v>763</v>
      </c>
      <c r="H4448" s="42" t="s">
        <v>110</v>
      </c>
      <c r="I4448" s="42" t="s">
        <v>864</v>
      </c>
    </row>
    <row r="4449" spans="1:9">
      <c r="A4449" s="42" t="s">
        <v>1088</v>
      </c>
      <c r="B4449" s="42" t="s">
        <v>204</v>
      </c>
      <c r="C4449" s="42" t="s">
        <v>1102</v>
      </c>
      <c r="D4449" s="42" t="s">
        <v>163</v>
      </c>
      <c r="E4449" s="42" t="s">
        <v>808</v>
      </c>
      <c r="F4449" s="45">
        <v>64221971.79288796</v>
      </c>
      <c r="G4449" s="42" t="s">
        <v>763</v>
      </c>
      <c r="H4449" s="42" t="s">
        <v>110</v>
      </c>
      <c r="I4449" s="42" t="s">
        <v>893</v>
      </c>
    </row>
    <row r="4450" spans="1:9">
      <c r="A4450" s="42" t="s">
        <v>1088</v>
      </c>
      <c r="B4450" s="42" t="s">
        <v>205</v>
      </c>
      <c r="C4450" s="42" t="s">
        <v>1103</v>
      </c>
      <c r="D4450" s="42" t="s">
        <v>163</v>
      </c>
      <c r="E4450" s="42" t="s">
        <v>808</v>
      </c>
      <c r="F4450" s="45">
        <v>-48474315.03311913</v>
      </c>
      <c r="G4450" s="42" t="s">
        <v>763</v>
      </c>
      <c r="H4450" s="42" t="s">
        <v>110</v>
      </c>
      <c r="I4450" s="42" t="s">
        <v>893</v>
      </c>
    </row>
    <row r="4451" spans="1:9">
      <c r="A4451" s="42" t="s">
        <v>1088</v>
      </c>
      <c r="B4451" s="42" t="s">
        <v>206</v>
      </c>
      <c r="C4451" s="42" t="s">
        <v>1104</v>
      </c>
      <c r="D4451" s="42" t="s">
        <v>163</v>
      </c>
      <c r="E4451" s="42" t="s">
        <v>808</v>
      </c>
      <c r="F4451" s="45">
        <v>86747673.06905657</v>
      </c>
      <c r="G4451" s="42" t="s">
        <v>763</v>
      </c>
      <c r="H4451" s="42" t="s">
        <v>110</v>
      </c>
      <c r="I4451" s="42" t="s">
        <v>893</v>
      </c>
    </row>
    <row r="4452" spans="1:9">
      <c r="A4452" s="42" t="s">
        <v>1088</v>
      </c>
      <c r="B4452" s="42" t="s">
        <v>207</v>
      </c>
      <c r="C4452" s="42" t="s">
        <v>1105</v>
      </c>
      <c r="D4452" s="42" t="s">
        <v>163</v>
      </c>
      <c r="E4452" s="42" t="s">
        <v>808</v>
      </c>
      <c r="F4452" s="45">
        <v>-112131449.7829738</v>
      </c>
      <c r="G4452" s="42" t="s">
        <v>763</v>
      </c>
      <c r="H4452" s="42" t="s">
        <v>110</v>
      </c>
      <c r="I4452" s="42" t="s">
        <v>893</v>
      </c>
    </row>
    <row r="4453" spans="1:9">
      <c r="A4453" s="42" t="s">
        <v>1088</v>
      </c>
      <c r="B4453" s="42" t="s">
        <v>208</v>
      </c>
      <c r="C4453" s="42" t="s">
        <v>1106</v>
      </c>
      <c r="D4453" s="42" t="s">
        <v>163</v>
      </c>
      <c r="E4453" s="42" t="s">
        <v>808</v>
      </c>
      <c r="F4453" s="45">
        <v>-25383776.71391719</v>
      </c>
      <c r="G4453" s="42" t="s">
        <v>763</v>
      </c>
      <c r="H4453" s="42" t="s">
        <v>110</v>
      </c>
      <c r="I4453" s="42" t="s">
        <v>893</v>
      </c>
    </row>
    <row r="4454" spans="1:9">
      <c r="A4454" s="42" t="s">
        <v>1088</v>
      </c>
      <c r="B4454" s="42" t="s">
        <v>210</v>
      </c>
      <c r="C4454" s="42" t="s">
        <v>1124</v>
      </c>
      <c r="D4454" s="42" t="s">
        <v>163</v>
      </c>
      <c r="E4454" s="42" t="s">
        <v>808</v>
      </c>
      <c r="F4454" s="45">
        <v>53128572.26771364</v>
      </c>
      <c r="G4454" s="42" t="s">
        <v>763</v>
      </c>
      <c r="H4454" s="42" t="s">
        <v>110</v>
      </c>
      <c r="I4454" s="42" t="s">
        <v>893</v>
      </c>
    </row>
    <row r="4455" spans="1:9">
      <c r="A4455" s="42" t="s">
        <v>1088</v>
      </c>
      <c r="B4455" s="42" t="s">
        <v>227</v>
      </c>
      <c r="C4455" s="42" t="s">
        <v>1107</v>
      </c>
      <c r="D4455" s="42" t="s">
        <v>163</v>
      </c>
      <c r="E4455" s="42" t="s">
        <v>808</v>
      </c>
      <c r="F4455" s="45">
        <v>-35754184.82400886</v>
      </c>
      <c r="G4455" s="42" t="s">
        <v>763</v>
      </c>
      <c r="H4455" s="42" t="s">
        <v>110</v>
      </c>
      <c r="I4455" s="42" t="s">
        <v>864</v>
      </c>
    </row>
    <row r="4456" spans="1:9">
      <c r="A4456" s="42" t="s">
        <v>1088</v>
      </c>
      <c r="B4456" s="42" t="s">
        <v>211</v>
      </c>
      <c r="C4456" s="42" t="s">
        <v>1108</v>
      </c>
      <c r="D4456" s="42" t="s">
        <v>163</v>
      </c>
      <c r="E4456" s="42" t="s">
        <v>808</v>
      </c>
      <c r="F4456" s="45">
        <v>741721411.4296284</v>
      </c>
      <c r="G4456" s="42" t="s">
        <v>763</v>
      </c>
      <c r="H4456" s="42" t="s">
        <v>110</v>
      </c>
      <c r="I4456" s="42" t="s">
        <v>893</v>
      </c>
    </row>
    <row r="4457" spans="1:9">
      <c r="A4457" s="42" t="s">
        <v>1088</v>
      </c>
      <c r="B4457" s="42" t="s">
        <v>228</v>
      </c>
      <c r="C4457" s="42" t="s">
        <v>1109</v>
      </c>
      <c r="D4457" s="42" t="s">
        <v>163</v>
      </c>
      <c r="E4457" s="42" t="s">
        <v>808</v>
      </c>
      <c r="F4457" s="45">
        <v>724347023.9859235</v>
      </c>
      <c r="G4457" s="42" t="s">
        <v>763</v>
      </c>
      <c r="H4457" s="42" t="s">
        <v>110</v>
      </c>
      <c r="I4457" s="42" t="s">
        <v>884</v>
      </c>
    </row>
    <row r="4458" spans="1:9">
      <c r="A4458" s="42" t="s">
        <v>1088</v>
      </c>
      <c r="B4458" s="42" t="s">
        <v>212</v>
      </c>
      <c r="C4458" s="42" t="s">
        <v>1110</v>
      </c>
      <c r="D4458" s="42" t="s">
        <v>163</v>
      </c>
      <c r="E4458" s="42" t="s">
        <v>808</v>
      </c>
      <c r="F4458" s="45">
        <v>716337634.7157111</v>
      </c>
      <c r="G4458" s="42" t="s">
        <v>763</v>
      </c>
      <c r="H4458" s="42" t="s">
        <v>110</v>
      </c>
      <c r="I4458" s="42" t="s">
        <v>893</v>
      </c>
    </row>
    <row r="4459" spans="1:9">
      <c r="A4459" s="42" t="s">
        <v>1088</v>
      </c>
      <c r="B4459" s="42" t="s">
        <v>1111</v>
      </c>
      <c r="C4459" s="42" t="s">
        <v>1112</v>
      </c>
      <c r="D4459" s="42" t="s">
        <v>163</v>
      </c>
      <c r="E4459" s="42" t="s">
        <v>808</v>
      </c>
      <c r="F4459" s="45">
        <v>-23339066.61813659</v>
      </c>
      <c r="G4459" s="42" t="s">
        <v>763</v>
      </c>
      <c r="H4459" s="42" t="s">
        <v>110</v>
      </c>
      <c r="I4459" s="42" t="s">
        <v>893</v>
      </c>
    </row>
    <row r="4460" spans="1:9">
      <c r="A4460" s="42" t="s">
        <v>1088</v>
      </c>
      <c r="B4460" s="42" t="s">
        <v>261</v>
      </c>
      <c r="C4460" s="42" t="s">
        <v>1113</v>
      </c>
      <c r="D4460" s="42" t="s">
        <v>163</v>
      </c>
      <c r="E4460" s="42" t="s">
        <v>808</v>
      </c>
      <c r="F4460" s="45">
        <v>-2044710.095780601</v>
      </c>
      <c r="G4460" s="42" t="s">
        <v>763</v>
      </c>
      <c r="H4460" s="42" t="s">
        <v>110</v>
      </c>
      <c r="I4460" s="42" t="s">
        <v>893</v>
      </c>
    </row>
    <row r="4461" spans="1:9">
      <c r="A4461" s="42" t="s">
        <v>1088</v>
      </c>
      <c r="B4461" s="42" t="s">
        <v>1111</v>
      </c>
      <c r="C4461" s="42" t="s">
        <v>1114</v>
      </c>
      <c r="D4461" s="42" t="s">
        <v>163</v>
      </c>
      <c r="E4461" s="42" t="s">
        <v>808</v>
      </c>
      <c r="F4461" s="45">
        <v>732819579.6314234</v>
      </c>
      <c r="G4461" s="42" t="s">
        <v>763</v>
      </c>
      <c r="H4461" s="42" t="s">
        <v>110</v>
      </c>
      <c r="I4461" s="42" t="s">
        <v>893</v>
      </c>
    </row>
    <row r="4462" spans="1:9">
      <c r="A4462" s="42" t="s">
        <v>1088</v>
      </c>
      <c r="B4462" s="42" t="s">
        <v>261</v>
      </c>
      <c r="C4462" s="42" t="s">
        <v>1125</v>
      </c>
      <c r="D4462" s="42" t="s">
        <v>163</v>
      </c>
      <c r="E4462" s="42" t="s">
        <v>808</v>
      </c>
      <c r="F4462" s="45">
        <v>8901831.79820505</v>
      </c>
      <c r="G4462" s="42" t="s">
        <v>763</v>
      </c>
      <c r="H4462" s="42" t="s">
        <v>110</v>
      </c>
      <c r="I4462" s="42" t="s">
        <v>893</v>
      </c>
    </row>
    <row r="4463" spans="1:9">
      <c r="A4463" s="42" t="s">
        <v>1088</v>
      </c>
      <c r="B4463" s="42" t="s">
        <v>1111</v>
      </c>
      <c r="C4463" s="42" t="s">
        <v>1115</v>
      </c>
      <c r="D4463" s="42" t="s">
        <v>163</v>
      </c>
      <c r="E4463" s="42" t="s">
        <v>808</v>
      </c>
      <c r="F4463" s="45">
        <v>709480513.0132868</v>
      </c>
      <c r="G4463" s="42" t="s">
        <v>763</v>
      </c>
      <c r="H4463" s="42" t="s">
        <v>110</v>
      </c>
      <c r="I4463" s="42" t="s">
        <v>893</v>
      </c>
    </row>
    <row r="4464" spans="1:9">
      <c r="A4464" s="42" t="s">
        <v>1088</v>
      </c>
      <c r="B4464" s="42" t="s">
        <v>261</v>
      </c>
      <c r="C4464" s="42" t="s">
        <v>1116</v>
      </c>
      <c r="D4464" s="42" t="s">
        <v>163</v>
      </c>
      <c r="E4464" s="42" t="s">
        <v>808</v>
      </c>
      <c r="F4464" s="45">
        <v>6857121.702424449</v>
      </c>
      <c r="G4464" s="42" t="s">
        <v>763</v>
      </c>
      <c r="H4464" s="42" t="s">
        <v>110</v>
      </c>
      <c r="I4464" s="42" t="s">
        <v>893</v>
      </c>
    </row>
    <row r="4465" spans="1:9">
      <c r="A4465" s="42" t="s">
        <v>1088</v>
      </c>
      <c r="B4465" s="42" t="s">
        <v>219</v>
      </c>
      <c r="C4465" s="42" t="s">
        <v>1117</v>
      </c>
      <c r="D4465" s="42" t="s">
        <v>163</v>
      </c>
      <c r="E4465" s="42" t="s">
        <v>808</v>
      </c>
      <c r="F4465" s="45">
        <v>-59420.85692710477</v>
      </c>
      <c r="G4465" s="42" t="s">
        <v>763</v>
      </c>
      <c r="H4465" s="42" t="s">
        <v>110</v>
      </c>
      <c r="I4465" s="42" t="s">
        <v>893</v>
      </c>
    </row>
    <row r="4466" spans="1:9">
      <c r="A4466" s="42" t="s">
        <v>1088</v>
      </c>
      <c r="B4466" s="42" t="s">
        <v>192</v>
      </c>
      <c r="C4466" s="42" t="s">
        <v>1089</v>
      </c>
      <c r="D4466" s="42" t="s">
        <v>164</v>
      </c>
      <c r="E4466" s="42" t="s">
        <v>808</v>
      </c>
      <c r="F4466" s="45">
        <v>3362132537.347887</v>
      </c>
      <c r="G4466" s="42" t="s">
        <v>763</v>
      </c>
      <c r="H4466" s="42" t="s">
        <v>112</v>
      </c>
      <c r="I4466" s="42" t="s">
        <v>893</v>
      </c>
    </row>
    <row r="4467" spans="1:9">
      <c r="A4467" s="42" t="s">
        <v>1088</v>
      </c>
      <c r="B4467" s="42" t="s">
        <v>193</v>
      </c>
      <c r="C4467" s="42" t="s">
        <v>1090</v>
      </c>
      <c r="D4467" s="42" t="s">
        <v>164</v>
      </c>
      <c r="E4467" s="42" t="s">
        <v>808</v>
      </c>
      <c r="F4467" s="45">
        <v>-2649701854.376231</v>
      </c>
      <c r="G4467" s="42" t="s">
        <v>763</v>
      </c>
      <c r="H4467" s="42" t="s">
        <v>112</v>
      </c>
      <c r="I4467" s="42" t="s">
        <v>893</v>
      </c>
    </row>
    <row r="4468" spans="1:9">
      <c r="A4468" s="42" t="s">
        <v>1088</v>
      </c>
      <c r="B4468" s="42" t="s">
        <v>194</v>
      </c>
      <c r="C4468" s="42" t="s">
        <v>1091</v>
      </c>
      <c r="D4468" s="42" t="s">
        <v>164</v>
      </c>
      <c r="E4468" s="42" t="s">
        <v>808</v>
      </c>
      <c r="F4468" s="45">
        <v>712430682.9716568</v>
      </c>
      <c r="G4468" s="42" t="s">
        <v>763</v>
      </c>
      <c r="H4468" s="42" t="s">
        <v>112</v>
      </c>
      <c r="I4468" s="42" t="s">
        <v>893</v>
      </c>
    </row>
    <row r="4469" spans="1:9">
      <c r="A4469" s="42" t="s">
        <v>1088</v>
      </c>
      <c r="B4469" s="42" t="s">
        <v>195</v>
      </c>
      <c r="C4469" s="42" t="s">
        <v>1092</v>
      </c>
      <c r="D4469" s="42" t="s">
        <v>164</v>
      </c>
      <c r="E4469" s="42" t="s">
        <v>808</v>
      </c>
      <c r="F4469" s="45">
        <v>-276965903.2406359</v>
      </c>
      <c r="G4469" s="42" t="s">
        <v>763</v>
      </c>
      <c r="H4469" s="42" t="s">
        <v>112</v>
      </c>
      <c r="I4469" s="42" t="s">
        <v>893</v>
      </c>
    </row>
    <row r="4470" spans="1:9">
      <c r="A4470" s="42" t="s">
        <v>1088</v>
      </c>
      <c r="B4470" s="42" t="s">
        <v>196</v>
      </c>
      <c r="C4470" s="42" t="s">
        <v>1093</v>
      </c>
      <c r="D4470" s="42" t="s">
        <v>164</v>
      </c>
      <c r="E4470" s="42" t="s">
        <v>808</v>
      </c>
      <c r="F4470" s="45">
        <v>-116146648.3287275</v>
      </c>
      <c r="G4470" s="42" t="s">
        <v>763</v>
      </c>
      <c r="H4470" s="42" t="s">
        <v>112</v>
      </c>
      <c r="I4470" s="42" t="s">
        <v>893</v>
      </c>
    </row>
    <row r="4471" spans="1:9">
      <c r="A4471" s="42" t="s">
        <v>1088</v>
      </c>
      <c r="B4471" s="42" t="s">
        <v>197</v>
      </c>
      <c r="C4471" s="42" t="s">
        <v>1094</v>
      </c>
      <c r="D4471" s="42" t="s">
        <v>164</v>
      </c>
      <c r="E4471" s="42" t="s">
        <v>808</v>
      </c>
      <c r="F4471" s="45">
        <v>-8557725.921581464</v>
      </c>
      <c r="G4471" s="42" t="s">
        <v>763</v>
      </c>
      <c r="H4471" s="42" t="s">
        <v>112</v>
      </c>
      <c r="I4471" s="42" t="s">
        <v>893</v>
      </c>
    </row>
    <row r="4472" spans="1:9">
      <c r="A4472" s="42" t="s">
        <v>1088</v>
      </c>
      <c r="B4472" s="42" t="s">
        <v>199</v>
      </c>
      <c r="C4472" s="42" t="s">
        <v>1097</v>
      </c>
      <c r="D4472" s="42" t="s">
        <v>164</v>
      </c>
      <c r="E4472" s="42" t="s">
        <v>808</v>
      </c>
      <c r="F4472" s="45">
        <v>-585416.5742375379</v>
      </c>
      <c r="G4472" s="42" t="s">
        <v>763</v>
      </c>
      <c r="H4472" s="42" t="s">
        <v>112</v>
      </c>
      <c r="I4472" s="42" t="s">
        <v>893</v>
      </c>
    </row>
    <row r="4473" spans="1:9">
      <c r="A4473" s="42" t="s">
        <v>1088</v>
      </c>
      <c r="B4473" s="42" t="s">
        <v>200</v>
      </c>
      <c r="C4473" s="42" t="s">
        <v>1098</v>
      </c>
      <c r="D4473" s="42" t="s">
        <v>164</v>
      </c>
      <c r="E4473" s="42" t="s">
        <v>808</v>
      </c>
      <c r="F4473" s="45">
        <v>310174988.9064744</v>
      </c>
      <c r="G4473" s="42" t="s">
        <v>763</v>
      </c>
      <c r="H4473" s="42" t="s">
        <v>112</v>
      </c>
      <c r="I4473" s="42" t="s">
        <v>893</v>
      </c>
    </row>
    <row r="4474" spans="1:9">
      <c r="A4474" s="42" t="s">
        <v>1088</v>
      </c>
      <c r="B4474" s="42" t="s">
        <v>201</v>
      </c>
      <c r="C4474" s="42" t="s">
        <v>1099</v>
      </c>
      <c r="D4474" s="42" t="s">
        <v>164</v>
      </c>
      <c r="E4474" s="42" t="s">
        <v>808</v>
      </c>
      <c r="F4474" s="45">
        <v>15316626.36959667</v>
      </c>
      <c r="G4474" s="42" t="s">
        <v>763</v>
      </c>
      <c r="H4474" s="42" t="s">
        <v>112</v>
      </c>
      <c r="I4474" s="42" t="s">
        <v>893</v>
      </c>
    </row>
    <row r="4475" spans="1:9">
      <c r="A4475" s="42" t="s">
        <v>1088</v>
      </c>
      <c r="B4475" s="42" t="s">
        <v>202</v>
      </c>
      <c r="C4475" s="42" t="s">
        <v>1100</v>
      </c>
      <c r="D4475" s="42" t="s">
        <v>164</v>
      </c>
      <c r="E4475" s="42" t="s">
        <v>808</v>
      </c>
      <c r="F4475" s="45">
        <v>205577012.9967965</v>
      </c>
      <c r="G4475" s="42" t="s">
        <v>763</v>
      </c>
      <c r="H4475" s="42" t="s">
        <v>112</v>
      </c>
      <c r="I4475" s="42" t="s">
        <v>893</v>
      </c>
    </row>
    <row r="4476" spans="1:9">
      <c r="A4476" s="42" t="s">
        <v>1088</v>
      </c>
      <c r="B4476" s="42" t="s">
        <v>225</v>
      </c>
      <c r="C4476" s="42" t="s">
        <v>1101</v>
      </c>
      <c r="D4476" s="42" t="s">
        <v>164</v>
      </c>
      <c r="E4476" s="42" t="s">
        <v>808</v>
      </c>
      <c r="F4476" s="45">
        <v>-377306304.0649499</v>
      </c>
      <c r="G4476" s="42" t="s">
        <v>763</v>
      </c>
      <c r="H4476" s="42" t="s">
        <v>112</v>
      </c>
      <c r="I4476" s="42" t="s">
        <v>864</v>
      </c>
    </row>
    <row r="4477" spans="1:9">
      <c r="A4477" s="42" t="s">
        <v>1088</v>
      </c>
      <c r="B4477" s="42" t="s">
        <v>204</v>
      </c>
      <c r="C4477" s="42" t="s">
        <v>1102</v>
      </c>
      <c r="D4477" s="42" t="s">
        <v>164</v>
      </c>
      <c r="E4477" s="42" t="s">
        <v>808</v>
      </c>
      <c r="F4477" s="45">
        <v>56008400.24796226</v>
      </c>
      <c r="G4477" s="42" t="s">
        <v>763</v>
      </c>
      <c r="H4477" s="42" t="s">
        <v>112</v>
      </c>
      <c r="I4477" s="42" t="s">
        <v>893</v>
      </c>
    </row>
    <row r="4478" spans="1:9">
      <c r="A4478" s="42" t="s">
        <v>1088</v>
      </c>
      <c r="B4478" s="42" t="s">
        <v>205</v>
      </c>
      <c r="C4478" s="42" t="s">
        <v>1103</v>
      </c>
      <c r="D4478" s="42" t="s">
        <v>164</v>
      </c>
      <c r="E4478" s="42" t="s">
        <v>808</v>
      </c>
      <c r="F4478" s="45">
        <v>-115720890.8201911</v>
      </c>
      <c r="G4478" s="42" t="s">
        <v>763</v>
      </c>
      <c r="H4478" s="42" t="s">
        <v>112</v>
      </c>
      <c r="I4478" s="42" t="s">
        <v>893</v>
      </c>
    </row>
    <row r="4479" spans="1:9">
      <c r="A4479" s="42" t="s">
        <v>1088</v>
      </c>
      <c r="B4479" s="42" t="s">
        <v>206</v>
      </c>
      <c r="C4479" s="42" t="s">
        <v>1104</v>
      </c>
      <c r="D4479" s="42" t="s">
        <v>164</v>
      </c>
      <c r="E4479" s="42" t="s">
        <v>808</v>
      </c>
      <c r="F4479" s="45">
        <v>209770724.4558799</v>
      </c>
      <c r="G4479" s="42" t="s">
        <v>763</v>
      </c>
      <c r="H4479" s="42" t="s">
        <v>112</v>
      </c>
      <c r="I4479" s="42" t="s">
        <v>893</v>
      </c>
    </row>
    <row r="4480" spans="1:9">
      <c r="A4480" s="42" t="s">
        <v>1088</v>
      </c>
      <c r="B4480" s="42" t="s">
        <v>207</v>
      </c>
      <c r="C4480" s="42" t="s">
        <v>1105</v>
      </c>
      <c r="D4480" s="42" t="s">
        <v>164</v>
      </c>
      <c r="E4480" s="42" t="s">
        <v>808</v>
      </c>
      <c r="F4480" s="45">
        <v>-702180570.9536432</v>
      </c>
      <c r="G4480" s="42" t="s">
        <v>763</v>
      </c>
      <c r="H4480" s="42" t="s">
        <v>112</v>
      </c>
      <c r="I4480" s="42" t="s">
        <v>893</v>
      </c>
    </row>
    <row r="4481" spans="1:9">
      <c r="A4481" s="42" t="s">
        <v>1088</v>
      </c>
      <c r="B4481" s="42" t="s">
        <v>226</v>
      </c>
      <c r="C4481" s="42" t="s">
        <v>1127</v>
      </c>
      <c r="D4481" s="42" t="s">
        <v>164</v>
      </c>
      <c r="E4481" s="42" t="s">
        <v>808</v>
      </c>
      <c r="F4481" s="45">
        <v>-492409846.4977632</v>
      </c>
      <c r="G4481" s="42" t="s">
        <v>763</v>
      </c>
      <c r="H4481" s="42" t="s">
        <v>102</v>
      </c>
      <c r="I4481" s="42" t="s">
        <v>822</v>
      </c>
    </row>
    <row r="4482" spans="1:9">
      <c r="A4482" s="42" t="s">
        <v>1088</v>
      </c>
      <c r="B4482" s="42" t="s">
        <v>208</v>
      </c>
      <c r="C4482" s="42" t="s">
        <v>1106</v>
      </c>
      <c r="D4482" s="42" t="s">
        <v>164</v>
      </c>
      <c r="E4482" s="42" t="s">
        <v>808</v>
      </c>
      <c r="F4482" s="45">
        <v>-492409846.4977632</v>
      </c>
      <c r="G4482" s="42" t="s">
        <v>763</v>
      </c>
      <c r="H4482" s="42" t="s">
        <v>112</v>
      </c>
      <c r="I4482" s="42" t="s">
        <v>893</v>
      </c>
    </row>
    <row r="4483" spans="1:9">
      <c r="A4483" s="42" t="s">
        <v>1088</v>
      </c>
      <c r="B4483" s="42" t="s">
        <v>210</v>
      </c>
      <c r="C4483" s="42" t="s">
        <v>1124</v>
      </c>
      <c r="D4483" s="42" t="s">
        <v>164</v>
      </c>
      <c r="E4483" s="42" t="s">
        <v>808</v>
      </c>
      <c r="F4483" s="45">
        <v>53805105.14128643</v>
      </c>
      <c r="G4483" s="42" t="s">
        <v>763</v>
      </c>
      <c r="H4483" s="42" t="s">
        <v>112</v>
      </c>
      <c r="I4483" s="42" t="s">
        <v>893</v>
      </c>
    </row>
    <row r="4484" spans="1:9">
      <c r="A4484" s="42" t="s">
        <v>1088</v>
      </c>
      <c r="B4484" s="42" t="s">
        <v>227</v>
      </c>
      <c r="C4484" s="42" t="s">
        <v>1107</v>
      </c>
      <c r="D4484" s="42" t="s">
        <v>164</v>
      </c>
      <c r="E4484" s="42" t="s">
        <v>808</v>
      </c>
      <c r="F4484" s="45">
        <v>-14326740.16224956</v>
      </c>
      <c r="G4484" s="42" t="s">
        <v>763</v>
      </c>
      <c r="H4484" s="42" t="s">
        <v>112</v>
      </c>
      <c r="I4484" s="42" t="s">
        <v>864</v>
      </c>
    </row>
    <row r="4485" spans="1:9">
      <c r="A4485" s="42" t="s">
        <v>1088</v>
      </c>
      <c r="B4485" s="42" t="s">
        <v>211</v>
      </c>
      <c r="C4485" s="42" t="s">
        <v>1108</v>
      </c>
      <c r="D4485" s="42" t="s">
        <v>164</v>
      </c>
      <c r="E4485" s="42" t="s">
        <v>808</v>
      </c>
      <c r="F4485" s="45">
        <v>371516001.9488549</v>
      </c>
      <c r="G4485" s="42" t="s">
        <v>763</v>
      </c>
      <c r="H4485" s="42" t="s">
        <v>112</v>
      </c>
      <c r="I4485" s="42" t="s">
        <v>893</v>
      </c>
    </row>
    <row r="4486" spans="1:9">
      <c r="A4486" s="42" t="s">
        <v>1088</v>
      </c>
      <c r="B4486" s="42" t="s">
        <v>228</v>
      </c>
      <c r="C4486" s="42" t="s">
        <v>1109</v>
      </c>
      <c r="D4486" s="42" t="s">
        <v>164</v>
      </c>
      <c r="E4486" s="42" t="s">
        <v>808</v>
      </c>
      <c r="F4486" s="45">
        <v>332037636.9698181</v>
      </c>
      <c r="G4486" s="42" t="s">
        <v>763</v>
      </c>
      <c r="H4486" s="42" t="s">
        <v>112</v>
      </c>
      <c r="I4486" s="42" t="s">
        <v>884</v>
      </c>
    </row>
    <row r="4487" spans="1:9">
      <c r="A4487" s="42" t="s">
        <v>1088</v>
      </c>
      <c r="B4487" s="42" t="s">
        <v>212</v>
      </c>
      <c r="C4487" s="42" t="s">
        <v>1110</v>
      </c>
      <c r="D4487" s="42" t="s">
        <v>164</v>
      </c>
      <c r="E4487" s="42" t="s">
        <v>808</v>
      </c>
      <c r="F4487" s="45">
        <v>-120893844.5489083</v>
      </c>
      <c r="G4487" s="42" t="s">
        <v>763</v>
      </c>
      <c r="H4487" s="42" t="s">
        <v>112</v>
      </c>
      <c r="I4487" s="42" t="s">
        <v>893</v>
      </c>
    </row>
    <row r="4488" spans="1:9">
      <c r="A4488" s="42" t="s">
        <v>1088</v>
      </c>
      <c r="B4488" s="42" t="s">
        <v>1111</v>
      </c>
      <c r="C4488" s="42" t="s">
        <v>1112</v>
      </c>
      <c r="D4488" s="42" t="s">
        <v>164</v>
      </c>
      <c r="E4488" s="42" t="s">
        <v>808</v>
      </c>
      <c r="F4488" s="45">
        <v>-479158144.0445681</v>
      </c>
      <c r="G4488" s="42" t="s">
        <v>763</v>
      </c>
      <c r="H4488" s="42" t="s">
        <v>112</v>
      </c>
      <c r="I4488" s="42" t="s">
        <v>893</v>
      </c>
    </row>
    <row r="4489" spans="1:9">
      <c r="A4489" s="42" t="s">
        <v>1088</v>
      </c>
      <c r="B4489" s="42" t="s">
        <v>261</v>
      </c>
      <c r="C4489" s="42" t="s">
        <v>1113</v>
      </c>
      <c r="D4489" s="42" t="s">
        <v>164</v>
      </c>
      <c r="E4489" s="42" t="s">
        <v>808</v>
      </c>
      <c r="F4489" s="45">
        <v>-13251702.45319518</v>
      </c>
      <c r="G4489" s="42" t="s">
        <v>763</v>
      </c>
      <c r="H4489" s="42" t="s">
        <v>112</v>
      </c>
      <c r="I4489" s="42" t="s">
        <v>893</v>
      </c>
    </row>
    <row r="4490" spans="1:9">
      <c r="A4490" s="42" t="s">
        <v>1088</v>
      </c>
      <c r="B4490" s="42" t="s">
        <v>1111</v>
      </c>
      <c r="C4490" s="42" t="s">
        <v>1114</v>
      </c>
      <c r="D4490" s="42" t="s">
        <v>164</v>
      </c>
      <c r="E4490" s="42" t="s">
        <v>808</v>
      </c>
      <c r="F4490" s="45">
        <v>363245662.3455356</v>
      </c>
      <c r="G4490" s="42" t="s">
        <v>763</v>
      </c>
      <c r="H4490" s="42" t="s">
        <v>112</v>
      </c>
      <c r="I4490" s="42" t="s">
        <v>893</v>
      </c>
    </row>
    <row r="4491" spans="1:9">
      <c r="A4491" s="42" t="s">
        <v>1088</v>
      </c>
      <c r="B4491" s="42" t="s">
        <v>261</v>
      </c>
      <c r="C4491" s="42" t="s">
        <v>1125</v>
      </c>
      <c r="D4491" s="42" t="s">
        <v>164</v>
      </c>
      <c r="E4491" s="42" t="s">
        <v>808</v>
      </c>
      <c r="F4491" s="45">
        <v>8270339.603319398</v>
      </c>
      <c r="G4491" s="42" t="s">
        <v>763</v>
      </c>
      <c r="H4491" s="42" t="s">
        <v>112</v>
      </c>
      <c r="I4491" s="42" t="s">
        <v>893</v>
      </c>
    </row>
    <row r="4492" spans="1:9">
      <c r="A4492" s="42" t="s">
        <v>1088</v>
      </c>
      <c r="B4492" s="42" t="s">
        <v>1111</v>
      </c>
      <c r="C4492" s="42" t="s">
        <v>1115</v>
      </c>
      <c r="D4492" s="42" t="s">
        <v>164</v>
      </c>
      <c r="E4492" s="42" t="s">
        <v>808</v>
      </c>
      <c r="F4492" s="45">
        <v>-115912481.6990325</v>
      </c>
      <c r="G4492" s="42" t="s">
        <v>763</v>
      </c>
      <c r="H4492" s="42" t="s">
        <v>112</v>
      </c>
      <c r="I4492" s="42" t="s">
        <v>893</v>
      </c>
    </row>
    <row r="4493" spans="1:9">
      <c r="A4493" s="42" t="s">
        <v>1088</v>
      </c>
      <c r="B4493" s="42" t="s">
        <v>261</v>
      </c>
      <c r="C4493" s="42" t="s">
        <v>1116</v>
      </c>
      <c r="D4493" s="42" t="s">
        <v>164</v>
      </c>
      <c r="E4493" s="42" t="s">
        <v>808</v>
      </c>
      <c r="F4493" s="45">
        <v>-4981362.849875777</v>
      </c>
      <c r="G4493" s="42" t="s">
        <v>763</v>
      </c>
      <c r="H4493" s="42" t="s">
        <v>112</v>
      </c>
      <c r="I4493" s="42" t="s">
        <v>893</v>
      </c>
    </row>
    <row r="4494" spans="1:9">
      <c r="A4494" s="42" t="s">
        <v>1088</v>
      </c>
      <c r="B4494" s="42" t="s">
        <v>219</v>
      </c>
      <c r="C4494" s="42" t="s">
        <v>1117</v>
      </c>
      <c r="D4494" s="42" t="s">
        <v>164</v>
      </c>
      <c r="E4494" s="42" t="s">
        <v>808</v>
      </c>
      <c r="F4494" s="45">
        <v>-1220540.337596699</v>
      </c>
      <c r="G4494" s="42" t="s">
        <v>763</v>
      </c>
      <c r="H4494" s="42" t="s">
        <v>112</v>
      </c>
      <c r="I4494" s="42" t="s">
        <v>893</v>
      </c>
    </row>
    <row r="4495" spans="1:9">
      <c r="A4495" s="42" t="s">
        <v>1088</v>
      </c>
      <c r="B4495" s="42" t="s">
        <v>192</v>
      </c>
      <c r="C4495" s="42" t="s">
        <v>1089</v>
      </c>
      <c r="D4495" s="42" t="s">
        <v>165</v>
      </c>
      <c r="E4495" s="42" t="s">
        <v>808</v>
      </c>
      <c r="F4495" s="45">
        <v>3637744974.305836</v>
      </c>
      <c r="G4495" s="42" t="s">
        <v>763</v>
      </c>
      <c r="H4495" s="42" t="s">
        <v>114</v>
      </c>
      <c r="I4495" s="42" t="s">
        <v>893</v>
      </c>
    </row>
    <row r="4496" spans="1:9">
      <c r="A4496" s="42" t="s">
        <v>1088</v>
      </c>
      <c r="B4496" s="42" t="s">
        <v>193</v>
      </c>
      <c r="C4496" s="42" t="s">
        <v>1090</v>
      </c>
      <c r="D4496" s="42" t="s">
        <v>165</v>
      </c>
      <c r="E4496" s="42" t="s">
        <v>808</v>
      </c>
      <c r="F4496" s="45">
        <v>-2833106957.429924</v>
      </c>
      <c r="G4496" s="42" t="s">
        <v>763</v>
      </c>
      <c r="H4496" s="42" t="s">
        <v>114</v>
      </c>
      <c r="I4496" s="42" t="s">
        <v>893</v>
      </c>
    </row>
    <row r="4497" spans="1:9">
      <c r="A4497" s="42" t="s">
        <v>1088</v>
      </c>
      <c r="B4497" s="42" t="s">
        <v>194</v>
      </c>
      <c r="C4497" s="42" t="s">
        <v>1091</v>
      </c>
      <c r="D4497" s="42" t="s">
        <v>165</v>
      </c>
      <c r="E4497" s="42" t="s">
        <v>808</v>
      </c>
      <c r="F4497" s="45">
        <v>804638016.8759117</v>
      </c>
      <c r="G4497" s="42" t="s">
        <v>763</v>
      </c>
      <c r="H4497" s="42" t="s">
        <v>114</v>
      </c>
      <c r="I4497" s="42" t="s">
        <v>893</v>
      </c>
    </row>
    <row r="4498" spans="1:9">
      <c r="A4498" s="42" t="s">
        <v>1088</v>
      </c>
      <c r="B4498" s="42" t="s">
        <v>195</v>
      </c>
      <c r="C4498" s="42" t="s">
        <v>1092</v>
      </c>
      <c r="D4498" s="42" t="s">
        <v>165</v>
      </c>
      <c r="E4498" s="42" t="s">
        <v>808</v>
      </c>
      <c r="F4498" s="45">
        <v>-281598612.3967677</v>
      </c>
      <c r="G4498" s="42" t="s">
        <v>763</v>
      </c>
      <c r="H4498" s="42" t="s">
        <v>114</v>
      </c>
      <c r="I4498" s="42" t="s">
        <v>893</v>
      </c>
    </row>
    <row r="4499" spans="1:9">
      <c r="A4499" s="42" t="s">
        <v>1088</v>
      </c>
      <c r="B4499" s="42" t="s">
        <v>196</v>
      </c>
      <c r="C4499" s="42" t="s">
        <v>1093</v>
      </c>
      <c r="D4499" s="42" t="s">
        <v>165</v>
      </c>
      <c r="E4499" s="42" t="s">
        <v>808</v>
      </c>
      <c r="F4499" s="45">
        <v>-118549424.9711556</v>
      </c>
      <c r="G4499" s="42" t="s">
        <v>763</v>
      </c>
      <c r="H4499" s="42" t="s">
        <v>114</v>
      </c>
      <c r="I4499" s="42" t="s">
        <v>893</v>
      </c>
    </row>
    <row r="4500" spans="1:9">
      <c r="A4500" s="42" t="s">
        <v>1088</v>
      </c>
      <c r="B4500" s="42" t="s">
        <v>197</v>
      </c>
      <c r="C4500" s="42" t="s">
        <v>1094</v>
      </c>
      <c r="D4500" s="42" t="s">
        <v>165</v>
      </c>
      <c r="E4500" s="42" t="s">
        <v>808</v>
      </c>
      <c r="F4500" s="45">
        <v>-9908270.807778412</v>
      </c>
      <c r="G4500" s="42" t="s">
        <v>763</v>
      </c>
      <c r="H4500" s="42" t="s">
        <v>114</v>
      </c>
      <c r="I4500" s="42" t="s">
        <v>893</v>
      </c>
    </row>
    <row r="4501" spans="1:9">
      <c r="A4501" s="42" t="s">
        <v>1088</v>
      </c>
      <c r="B4501" s="42" t="s">
        <v>199</v>
      </c>
      <c r="C4501" s="42" t="s">
        <v>1097</v>
      </c>
      <c r="D4501" s="42" t="s">
        <v>165</v>
      </c>
      <c r="E4501" s="42" t="s">
        <v>808</v>
      </c>
      <c r="F4501" s="45">
        <v>33809530.50296974</v>
      </c>
      <c r="G4501" s="42" t="s">
        <v>763</v>
      </c>
      <c r="H4501" s="42" t="s">
        <v>114</v>
      </c>
      <c r="I4501" s="42" t="s">
        <v>893</v>
      </c>
    </row>
    <row r="4502" spans="1:9">
      <c r="A4502" s="42" t="s">
        <v>1088</v>
      </c>
      <c r="B4502" s="42" t="s">
        <v>200</v>
      </c>
      <c r="C4502" s="42" t="s">
        <v>1098</v>
      </c>
      <c r="D4502" s="42" t="s">
        <v>165</v>
      </c>
      <c r="E4502" s="42" t="s">
        <v>808</v>
      </c>
      <c r="F4502" s="45">
        <v>428391239.2031796</v>
      </c>
      <c r="G4502" s="42" t="s">
        <v>763</v>
      </c>
      <c r="H4502" s="42" t="s">
        <v>114</v>
      </c>
      <c r="I4502" s="42" t="s">
        <v>893</v>
      </c>
    </row>
    <row r="4503" spans="1:9">
      <c r="A4503" s="42" t="s">
        <v>1088</v>
      </c>
      <c r="B4503" s="42" t="s">
        <v>201</v>
      </c>
      <c r="C4503" s="42" t="s">
        <v>1099</v>
      </c>
      <c r="D4503" s="42" t="s">
        <v>165</v>
      </c>
      <c r="E4503" s="42" t="s">
        <v>808</v>
      </c>
      <c r="F4503" s="45">
        <v>44839298.21422464</v>
      </c>
      <c r="G4503" s="42" t="s">
        <v>763</v>
      </c>
      <c r="H4503" s="42" t="s">
        <v>114</v>
      </c>
      <c r="I4503" s="42" t="s">
        <v>893</v>
      </c>
    </row>
    <row r="4504" spans="1:9">
      <c r="A4504" s="42" t="s">
        <v>1088</v>
      </c>
      <c r="B4504" s="42" t="s">
        <v>202</v>
      </c>
      <c r="C4504" s="42" t="s">
        <v>1100</v>
      </c>
      <c r="D4504" s="42" t="s">
        <v>165</v>
      </c>
      <c r="E4504" s="42" t="s">
        <v>808</v>
      </c>
      <c r="F4504" s="45">
        <v>158182508.2022693</v>
      </c>
      <c r="G4504" s="42" t="s">
        <v>763</v>
      </c>
      <c r="H4504" s="42" t="s">
        <v>114</v>
      </c>
      <c r="I4504" s="42" t="s">
        <v>893</v>
      </c>
    </row>
    <row r="4505" spans="1:9">
      <c r="A4505" s="42" t="s">
        <v>1088</v>
      </c>
      <c r="B4505" s="42" t="s">
        <v>225</v>
      </c>
      <c r="C4505" s="42" t="s">
        <v>1101</v>
      </c>
      <c r="D4505" s="42" t="s">
        <v>165</v>
      </c>
      <c r="E4505" s="42" t="s">
        <v>808</v>
      </c>
      <c r="F4505" s="45">
        <v>-307248995.7028857</v>
      </c>
      <c r="G4505" s="42" t="s">
        <v>763</v>
      </c>
      <c r="H4505" s="42" t="s">
        <v>114</v>
      </c>
      <c r="I4505" s="42" t="s">
        <v>864</v>
      </c>
    </row>
    <row r="4506" spans="1:9">
      <c r="A4506" s="42" t="s">
        <v>1088</v>
      </c>
      <c r="B4506" s="42" t="s">
        <v>204</v>
      </c>
      <c r="C4506" s="42" t="s">
        <v>1102</v>
      </c>
      <c r="D4506" s="42" t="s">
        <v>165</v>
      </c>
      <c r="E4506" s="42" t="s">
        <v>808</v>
      </c>
      <c r="F4506" s="45">
        <v>67238369.39650252</v>
      </c>
      <c r="G4506" s="42" t="s">
        <v>763</v>
      </c>
      <c r="H4506" s="42" t="s">
        <v>114</v>
      </c>
      <c r="I4506" s="42" t="s">
        <v>893</v>
      </c>
    </row>
    <row r="4507" spans="1:9">
      <c r="A4507" s="42" t="s">
        <v>1088</v>
      </c>
      <c r="B4507" s="42" t="s">
        <v>205</v>
      </c>
      <c r="C4507" s="42" t="s">
        <v>1103</v>
      </c>
      <c r="D4507" s="42" t="s">
        <v>165</v>
      </c>
      <c r="E4507" s="42" t="s">
        <v>808</v>
      </c>
      <c r="F4507" s="45">
        <v>-81828118.10411392</v>
      </c>
      <c r="G4507" s="42" t="s">
        <v>763</v>
      </c>
      <c r="H4507" s="42" t="s">
        <v>114</v>
      </c>
      <c r="I4507" s="42" t="s">
        <v>893</v>
      </c>
    </row>
    <row r="4508" spans="1:9">
      <c r="A4508" s="42" t="s">
        <v>1088</v>
      </c>
      <c r="B4508" s="42" t="s">
        <v>206</v>
      </c>
      <c r="C4508" s="42" t="s">
        <v>1104</v>
      </c>
      <c r="D4508" s="42" t="s">
        <v>165</v>
      </c>
      <c r="E4508" s="42" t="s">
        <v>808</v>
      </c>
      <c r="F4508" s="45">
        <v>391402419.3132903</v>
      </c>
      <c r="G4508" s="42" t="s">
        <v>763</v>
      </c>
      <c r="H4508" s="42" t="s">
        <v>114</v>
      </c>
      <c r="I4508" s="42" t="s">
        <v>893</v>
      </c>
    </row>
    <row r="4509" spans="1:9">
      <c r="A4509" s="42" t="s">
        <v>1088</v>
      </c>
      <c r="B4509" s="42" t="s">
        <v>207</v>
      </c>
      <c r="C4509" s="42" t="s">
        <v>1105</v>
      </c>
      <c r="D4509" s="42" t="s">
        <v>165</v>
      </c>
      <c r="E4509" s="42" t="s">
        <v>808</v>
      </c>
      <c r="F4509" s="45">
        <v>-155054663.6274358</v>
      </c>
      <c r="G4509" s="42" t="s">
        <v>763</v>
      </c>
      <c r="H4509" s="42" t="s">
        <v>114</v>
      </c>
      <c r="I4509" s="42" t="s">
        <v>893</v>
      </c>
    </row>
    <row r="4510" spans="1:9">
      <c r="A4510" s="42" t="s">
        <v>1088</v>
      </c>
      <c r="B4510" s="42" t="s">
        <v>208</v>
      </c>
      <c r="C4510" s="42" t="s">
        <v>1106</v>
      </c>
      <c r="D4510" s="42" t="s">
        <v>165</v>
      </c>
      <c r="E4510" s="42" t="s">
        <v>808</v>
      </c>
      <c r="F4510" s="45">
        <v>236347755.6858545</v>
      </c>
      <c r="G4510" s="42" t="s">
        <v>763</v>
      </c>
      <c r="H4510" s="42" t="s">
        <v>114</v>
      </c>
      <c r="I4510" s="42" t="s">
        <v>893</v>
      </c>
    </row>
    <row r="4511" spans="1:9">
      <c r="A4511" s="42" t="s">
        <v>1088</v>
      </c>
      <c r="B4511" s="42" t="s">
        <v>210</v>
      </c>
      <c r="C4511" s="42" t="s">
        <v>1124</v>
      </c>
      <c r="D4511" s="42" t="s">
        <v>165</v>
      </c>
      <c r="E4511" s="42" t="s">
        <v>808</v>
      </c>
      <c r="F4511" s="45">
        <v>48296389.586409</v>
      </c>
      <c r="G4511" s="42" t="s">
        <v>763</v>
      </c>
      <c r="H4511" s="42" t="s">
        <v>114</v>
      </c>
      <c r="I4511" s="42" t="s">
        <v>893</v>
      </c>
    </row>
    <row r="4512" spans="1:9">
      <c r="A4512" s="42" t="s">
        <v>1088</v>
      </c>
      <c r="B4512" s="42" t="s">
        <v>227</v>
      </c>
      <c r="C4512" s="42" t="s">
        <v>1107</v>
      </c>
      <c r="D4512" s="42" t="s">
        <v>165</v>
      </c>
      <c r="E4512" s="42" t="s">
        <v>808</v>
      </c>
      <c r="F4512" s="45">
        <v>-12871491.98393644</v>
      </c>
      <c r="G4512" s="42" t="s">
        <v>763</v>
      </c>
      <c r="H4512" s="42" t="s">
        <v>114</v>
      </c>
      <c r="I4512" s="42" t="s">
        <v>864</v>
      </c>
    </row>
    <row r="4513" spans="1:9">
      <c r="A4513" s="42" t="s">
        <v>1088</v>
      </c>
      <c r="B4513" s="42" t="s">
        <v>211</v>
      </c>
      <c r="C4513" s="42" t="s">
        <v>1108</v>
      </c>
      <c r="D4513" s="42" t="s">
        <v>165</v>
      </c>
      <c r="E4513" s="42" t="s">
        <v>808</v>
      </c>
      <c r="F4513" s="45">
        <v>275548702.4954451</v>
      </c>
      <c r="G4513" s="42" t="s">
        <v>763</v>
      </c>
      <c r="H4513" s="42" t="s">
        <v>114</v>
      </c>
      <c r="I4513" s="42" t="s">
        <v>893</v>
      </c>
    </row>
    <row r="4514" spans="1:9">
      <c r="A4514" s="42" t="s">
        <v>1088</v>
      </c>
      <c r="B4514" s="42" t="s">
        <v>228</v>
      </c>
      <c r="C4514" s="42" t="s">
        <v>1109</v>
      </c>
      <c r="D4514" s="42" t="s">
        <v>165</v>
      </c>
      <c r="E4514" s="42" t="s">
        <v>808</v>
      </c>
      <c r="F4514" s="45">
        <v>240123804.8929726</v>
      </c>
      <c r="G4514" s="42" t="s">
        <v>763</v>
      </c>
      <c r="H4514" s="42" t="s">
        <v>114</v>
      </c>
      <c r="I4514" s="42" t="s">
        <v>884</v>
      </c>
    </row>
    <row r="4515" spans="1:9">
      <c r="A4515" s="42" t="s">
        <v>1088</v>
      </c>
      <c r="B4515" s="42" t="s">
        <v>212</v>
      </c>
      <c r="C4515" s="42" t="s">
        <v>1110</v>
      </c>
      <c r="D4515" s="42" t="s">
        <v>165</v>
      </c>
      <c r="E4515" s="42" t="s">
        <v>808</v>
      </c>
      <c r="F4515" s="45">
        <v>511896458.1812996</v>
      </c>
      <c r="G4515" s="42" t="s">
        <v>763</v>
      </c>
      <c r="H4515" s="42" t="s">
        <v>114</v>
      </c>
      <c r="I4515" s="42" t="s">
        <v>893</v>
      </c>
    </row>
    <row r="4516" spans="1:9">
      <c r="A4516" s="42" t="s">
        <v>1088</v>
      </c>
      <c r="B4516" s="42" t="s">
        <v>1111</v>
      </c>
      <c r="C4516" s="42" t="s">
        <v>1112</v>
      </c>
      <c r="D4516" s="42" t="s">
        <v>165</v>
      </c>
      <c r="E4516" s="42" t="s">
        <v>808</v>
      </c>
      <c r="F4516" s="45">
        <v>231501654.3873461</v>
      </c>
      <c r="G4516" s="42" t="s">
        <v>763</v>
      </c>
      <c r="H4516" s="42" t="s">
        <v>114</v>
      </c>
      <c r="I4516" s="42" t="s">
        <v>893</v>
      </c>
    </row>
    <row r="4517" spans="1:9">
      <c r="A4517" s="42" t="s">
        <v>1088</v>
      </c>
      <c r="B4517" s="42" t="s">
        <v>261</v>
      </c>
      <c r="C4517" s="42" t="s">
        <v>1113</v>
      </c>
      <c r="D4517" s="42" t="s">
        <v>165</v>
      </c>
      <c r="E4517" s="42" t="s">
        <v>808</v>
      </c>
      <c r="F4517" s="45">
        <v>4846101.298508445</v>
      </c>
      <c r="G4517" s="42" t="s">
        <v>763</v>
      </c>
      <c r="H4517" s="42" t="s">
        <v>114</v>
      </c>
      <c r="I4517" s="42" t="s">
        <v>893</v>
      </c>
    </row>
    <row r="4518" spans="1:9">
      <c r="A4518" s="42" t="s">
        <v>1088</v>
      </c>
      <c r="B4518" s="42" t="s">
        <v>1111</v>
      </c>
      <c r="C4518" s="42" t="s">
        <v>1114</v>
      </c>
      <c r="D4518" s="42" t="s">
        <v>165</v>
      </c>
      <c r="E4518" s="42" t="s">
        <v>808</v>
      </c>
      <c r="F4518" s="45">
        <v>268377295.690646</v>
      </c>
      <c r="G4518" s="42" t="s">
        <v>763</v>
      </c>
      <c r="H4518" s="42" t="s">
        <v>114</v>
      </c>
      <c r="I4518" s="42" t="s">
        <v>893</v>
      </c>
    </row>
    <row r="4519" spans="1:9">
      <c r="A4519" s="42" t="s">
        <v>1088</v>
      </c>
      <c r="B4519" s="42" t="s">
        <v>261</v>
      </c>
      <c r="C4519" s="42" t="s">
        <v>1125</v>
      </c>
      <c r="D4519" s="42" t="s">
        <v>165</v>
      </c>
      <c r="E4519" s="42" t="s">
        <v>808</v>
      </c>
      <c r="F4519" s="45">
        <v>7171406.804799121</v>
      </c>
      <c r="G4519" s="42" t="s">
        <v>763</v>
      </c>
      <c r="H4519" s="42" t="s">
        <v>114</v>
      </c>
      <c r="I4519" s="42" t="s">
        <v>893</v>
      </c>
    </row>
    <row r="4520" spans="1:9">
      <c r="A4520" s="42" t="s">
        <v>1088</v>
      </c>
      <c r="B4520" s="42" t="s">
        <v>1111</v>
      </c>
      <c r="C4520" s="42" t="s">
        <v>1115</v>
      </c>
      <c r="D4520" s="42" t="s">
        <v>165</v>
      </c>
      <c r="E4520" s="42" t="s">
        <v>808</v>
      </c>
      <c r="F4520" s="45">
        <v>499878950.0779921</v>
      </c>
      <c r="G4520" s="42" t="s">
        <v>763</v>
      </c>
      <c r="H4520" s="42" t="s">
        <v>114</v>
      </c>
      <c r="I4520" s="42" t="s">
        <v>893</v>
      </c>
    </row>
    <row r="4521" spans="1:9">
      <c r="A4521" s="42" t="s">
        <v>1088</v>
      </c>
      <c r="B4521" s="42" t="s">
        <v>261</v>
      </c>
      <c r="C4521" s="42" t="s">
        <v>1116</v>
      </c>
      <c r="D4521" s="42" t="s">
        <v>165</v>
      </c>
      <c r="E4521" s="42" t="s">
        <v>808</v>
      </c>
      <c r="F4521" s="45">
        <v>12017508.10330756</v>
      </c>
      <c r="G4521" s="42" t="s">
        <v>763</v>
      </c>
      <c r="H4521" s="42" t="s">
        <v>114</v>
      </c>
      <c r="I4521" s="42" t="s">
        <v>893</v>
      </c>
    </row>
    <row r="4522" spans="1:9">
      <c r="A4522" s="42" t="s">
        <v>1088</v>
      </c>
      <c r="B4522" s="42" t="s">
        <v>219</v>
      </c>
      <c r="C4522" s="42" t="s">
        <v>1117</v>
      </c>
      <c r="D4522" s="42" t="s">
        <v>165</v>
      </c>
      <c r="E4522" s="42" t="s">
        <v>808</v>
      </c>
      <c r="F4522" s="45">
        <v>589866.2153789578</v>
      </c>
      <c r="G4522" s="42" t="s">
        <v>763</v>
      </c>
      <c r="H4522" s="42" t="s">
        <v>114</v>
      </c>
      <c r="I4522" s="42" t="s">
        <v>893</v>
      </c>
    </row>
    <row r="4523" spans="1:9">
      <c r="A4523" s="42" t="s">
        <v>1088</v>
      </c>
      <c r="B4523" s="42" t="s">
        <v>192</v>
      </c>
      <c r="C4523" s="42" t="s">
        <v>1089</v>
      </c>
      <c r="D4523" s="42" t="s">
        <v>166</v>
      </c>
      <c r="E4523" s="42" t="s">
        <v>808</v>
      </c>
      <c r="F4523" s="45">
        <v>3653261796.651667</v>
      </c>
      <c r="G4523" s="42" t="s">
        <v>1025</v>
      </c>
      <c r="H4523" s="42" t="s">
        <v>1044</v>
      </c>
      <c r="I4523" s="42" t="s">
        <v>893</v>
      </c>
    </row>
    <row r="4524" spans="1:9">
      <c r="A4524" s="42" t="s">
        <v>1088</v>
      </c>
      <c r="B4524" s="42" t="s">
        <v>193</v>
      </c>
      <c r="C4524" s="42" t="s">
        <v>1090</v>
      </c>
      <c r="D4524" s="42" t="s">
        <v>166</v>
      </c>
      <c r="E4524" s="42" t="s">
        <v>808</v>
      </c>
      <c r="F4524" s="45">
        <v>-3039548773.780941</v>
      </c>
      <c r="G4524" s="42" t="s">
        <v>1025</v>
      </c>
      <c r="H4524" s="42" t="s">
        <v>1044</v>
      </c>
      <c r="I4524" s="42" t="s">
        <v>893</v>
      </c>
    </row>
    <row r="4525" spans="1:9">
      <c r="A4525" s="42" t="s">
        <v>1088</v>
      </c>
      <c r="B4525" s="42" t="s">
        <v>194</v>
      </c>
      <c r="C4525" s="42" t="s">
        <v>1091</v>
      </c>
      <c r="D4525" s="42" t="s">
        <v>166</v>
      </c>
      <c r="E4525" s="42" t="s">
        <v>808</v>
      </c>
      <c r="F4525" s="45">
        <v>613713022.8707249</v>
      </c>
      <c r="G4525" s="42" t="s">
        <v>1025</v>
      </c>
      <c r="H4525" s="42" t="s">
        <v>1044</v>
      </c>
      <c r="I4525" s="42" t="s">
        <v>893</v>
      </c>
    </row>
    <row r="4526" spans="1:9">
      <c r="A4526" s="42" t="s">
        <v>1088</v>
      </c>
      <c r="B4526" s="42" t="s">
        <v>195</v>
      </c>
      <c r="C4526" s="42" t="s">
        <v>1092</v>
      </c>
      <c r="D4526" s="42" t="s">
        <v>166</v>
      </c>
      <c r="E4526" s="42" t="s">
        <v>808</v>
      </c>
      <c r="F4526" s="45">
        <v>-285027065.5088127</v>
      </c>
      <c r="G4526" s="42" t="s">
        <v>1025</v>
      </c>
      <c r="H4526" s="42" t="s">
        <v>1044</v>
      </c>
      <c r="I4526" s="42" t="s">
        <v>893</v>
      </c>
    </row>
    <row r="4527" spans="1:9">
      <c r="A4527" s="42" t="s">
        <v>1088</v>
      </c>
      <c r="B4527" s="42" t="s">
        <v>196</v>
      </c>
      <c r="C4527" s="42" t="s">
        <v>1093</v>
      </c>
      <c r="D4527" s="42" t="s">
        <v>166</v>
      </c>
      <c r="E4527" s="42" t="s">
        <v>808</v>
      </c>
      <c r="F4527" s="45">
        <v>-142712615.7085928</v>
      </c>
      <c r="G4527" s="42" t="s">
        <v>1025</v>
      </c>
      <c r="H4527" s="42" t="s">
        <v>1044</v>
      </c>
      <c r="I4527" s="42" t="s">
        <v>893</v>
      </c>
    </row>
    <row r="4528" spans="1:9">
      <c r="A4528" s="42" t="s">
        <v>1088</v>
      </c>
      <c r="B4528" s="42" t="s">
        <v>197</v>
      </c>
      <c r="C4528" s="42" t="s">
        <v>1094</v>
      </c>
      <c r="D4528" s="42" t="s">
        <v>166</v>
      </c>
      <c r="E4528" s="42" t="s">
        <v>808</v>
      </c>
      <c r="F4528" s="45">
        <v>-6748912.146922365</v>
      </c>
      <c r="G4528" s="42" t="s">
        <v>1025</v>
      </c>
      <c r="H4528" s="42" t="s">
        <v>1044</v>
      </c>
      <c r="I4528" s="42" t="s">
        <v>893</v>
      </c>
    </row>
    <row r="4529" spans="1:9">
      <c r="A4529" s="42" t="s">
        <v>1088</v>
      </c>
      <c r="B4529" s="42" t="s">
        <v>199</v>
      </c>
      <c r="C4529" s="42" t="s">
        <v>1097</v>
      </c>
      <c r="D4529" s="42" t="s">
        <v>166</v>
      </c>
      <c r="E4529" s="42" t="s">
        <v>808</v>
      </c>
      <c r="F4529" s="45">
        <v>-260878303.1659901</v>
      </c>
      <c r="G4529" s="42" t="s">
        <v>1025</v>
      </c>
      <c r="H4529" s="42" t="s">
        <v>1044</v>
      </c>
      <c r="I4529" s="42" t="s">
        <v>893</v>
      </c>
    </row>
    <row r="4530" spans="1:9">
      <c r="A4530" s="42" t="s">
        <v>1088</v>
      </c>
      <c r="B4530" s="42" t="s">
        <v>200</v>
      </c>
      <c r="C4530" s="42" t="s">
        <v>1098</v>
      </c>
      <c r="D4530" s="42" t="s">
        <v>166</v>
      </c>
      <c r="E4530" s="42" t="s">
        <v>808</v>
      </c>
      <c r="F4530" s="45">
        <v>-193717668.5711742</v>
      </c>
      <c r="G4530" s="42" t="s">
        <v>1025</v>
      </c>
      <c r="H4530" s="42" t="s">
        <v>1044</v>
      </c>
      <c r="I4530" s="42" t="s">
        <v>893</v>
      </c>
    </row>
    <row r="4531" spans="1:9">
      <c r="A4531" s="42" t="s">
        <v>1088</v>
      </c>
      <c r="B4531" s="42" t="s">
        <v>201</v>
      </c>
      <c r="C4531" s="42" t="s">
        <v>1099</v>
      </c>
      <c r="D4531" s="42" t="s">
        <v>166</v>
      </c>
      <c r="E4531" s="42" t="s">
        <v>808</v>
      </c>
      <c r="F4531" s="45">
        <v>159903428.8025971</v>
      </c>
      <c r="G4531" s="42" t="s">
        <v>1025</v>
      </c>
      <c r="H4531" s="42" t="s">
        <v>1044</v>
      </c>
      <c r="I4531" s="42" t="s">
        <v>893</v>
      </c>
    </row>
    <row r="4532" spans="1:9">
      <c r="A4532" s="42" t="s">
        <v>1088</v>
      </c>
      <c r="B4532" s="42" t="s">
        <v>202</v>
      </c>
      <c r="C4532" s="42" t="s">
        <v>1100</v>
      </c>
      <c r="D4532" s="42" t="s">
        <v>166</v>
      </c>
      <c r="E4532" s="42" t="s">
        <v>808</v>
      </c>
      <c r="F4532" s="45">
        <v>300525673.4922317</v>
      </c>
      <c r="G4532" s="42" t="s">
        <v>1025</v>
      </c>
      <c r="H4532" s="42" t="s">
        <v>1044</v>
      </c>
      <c r="I4532" s="42" t="s">
        <v>893</v>
      </c>
    </row>
    <row r="4533" spans="1:9">
      <c r="A4533" s="42" t="s">
        <v>1088</v>
      </c>
      <c r="B4533" s="42" t="s">
        <v>225</v>
      </c>
      <c r="C4533" s="42" t="s">
        <v>1101</v>
      </c>
      <c r="D4533" s="42" t="s">
        <v>166</v>
      </c>
      <c r="E4533" s="42" t="s">
        <v>808</v>
      </c>
      <c r="F4533" s="45">
        <v>-350376045.2205314</v>
      </c>
      <c r="G4533" s="42" t="s">
        <v>1025</v>
      </c>
      <c r="H4533" s="42" t="s">
        <v>1044</v>
      </c>
      <c r="I4533" s="42" t="s">
        <v>864</v>
      </c>
    </row>
    <row r="4534" spans="1:9">
      <c r="A4534" s="42" t="s">
        <v>1088</v>
      </c>
      <c r="B4534" s="42" t="s">
        <v>204</v>
      </c>
      <c r="C4534" s="42" t="s">
        <v>1102</v>
      </c>
      <c r="D4534" s="42" t="s">
        <v>166</v>
      </c>
      <c r="E4534" s="42" t="s">
        <v>808</v>
      </c>
      <c r="F4534" s="45">
        <v>65478383.63193999</v>
      </c>
      <c r="G4534" s="42" t="s">
        <v>1025</v>
      </c>
      <c r="H4534" s="42" t="s">
        <v>1044</v>
      </c>
      <c r="I4534" s="42" t="s">
        <v>893</v>
      </c>
    </row>
    <row r="4535" spans="1:9">
      <c r="A4535" s="42" t="s">
        <v>1088</v>
      </c>
      <c r="B4535" s="42" t="s">
        <v>205</v>
      </c>
      <c r="C4535" s="42" t="s">
        <v>1103</v>
      </c>
      <c r="D4535" s="42" t="s">
        <v>166</v>
      </c>
      <c r="E4535" s="42" t="s">
        <v>808</v>
      </c>
      <c r="F4535" s="45">
        <v>15628011.90364028</v>
      </c>
      <c r="G4535" s="42" t="s">
        <v>1025</v>
      </c>
      <c r="H4535" s="42" t="s">
        <v>1044</v>
      </c>
      <c r="I4535" s="42" t="s">
        <v>893</v>
      </c>
    </row>
    <row r="4536" spans="1:9">
      <c r="A4536" s="42" t="s">
        <v>1088</v>
      </c>
      <c r="B4536" s="42" t="s">
        <v>206</v>
      </c>
      <c r="C4536" s="42" t="s">
        <v>1104</v>
      </c>
      <c r="D4536" s="42" t="s">
        <v>166</v>
      </c>
      <c r="E4536" s="42" t="s">
        <v>808</v>
      </c>
      <c r="F4536" s="45">
        <v>-18186227.86493681</v>
      </c>
      <c r="G4536" s="42" t="s">
        <v>1025</v>
      </c>
      <c r="H4536" s="42" t="s">
        <v>1044</v>
      </c>
      <c r="I4536" s="42" t="s">
        <v>893</v>
      </c>
    </row>
    <row r="4537" spans="1:9">
      <c r="A4537" s="42" t="s">
        <v>1088</v>
      </c>
      <c r="B4537" s="42" t="s">
        <v>207</v>
      </c>
      <c r="C4537" s="42" t="s">
        <v>1105</v>
      </c>
      <c r="D4537" s="42" t="s">
        <v>166</v>
      </c>
      <c r="E4537" s="42" t="s">
        <v>808</v>
      </c>
      <c r="F4537" s="45">
        <v>264352300.7165446</v>
      </c>
      <c r="G4537" s="42" t="s">
        <v>1025</v>
      </c>
      <c r="H4537" s="42" t="s">
        <v>1044</v>
      </c>
      <c r="I4537" s="42" t="s">
        <v>893</v>
      </c>
    </row>
    <row r="4538" spans="1:9">
      <c r="A4538" s="42" t="s">
        <v>1088</v>
      </c>
      <c r="B4538" s="42" t="s">
        <v>208</v>
      </c>
      <c r="C4538" s="42" t="s">
        <v>1106</v>
      </c>
      <c r="D4538" s="42" t="s">
        <v>166</v>
      </c>
      <c r="E4538" s="42" t="s">
        <v>808</v>
      </c>
      <c r="F4538" s="45">
        <v>246166072.8516078</v>
      </c>
      <c r="G4538" s="42" t="s">
        <v>1025</v>
      </c>
      <c r="H4538" s="42" t="s">
        <v>1065</v>
      </c>
      <c r="I4538" s="42" t="s">
        <v>893</v>
      </c>
    </row>
    <row r="4539" spans="1:9">
      <c r="A4539" s="42" t="s">
        <v>1088</v>
      </c>
      <c r="B4539" s="42" t="s">
        <v>210</v>
      </c>
      <c r="C4539" s="42" t="s">
        <v>1124</v>
      </c>
      <c r="D4539" s="42" t="s">
        <v>166</v>
      </c>
      <c r="E4539" s="42" t="s">
        <v>808</v>
      </c>
      <c r="F4539" s="45">
        <v>50497391.32940583</v>
      </c>
      <c r="G4539" s="42" t="s">
        <v>1025</v>
      </c>
      <c r="H4539" s="42" t="s">
        <v>1044</v>
      </c>
      <c r="I4539" s="42" t="s">
        <v>893</v>
      </c>
    </row>
    <row r="4540" spans="1:9">
      <c r="A4540" s="42" t="s">
        <v>1088</v>
      </c>
      <c r="B4540" s="42" t="s">
        <v>227</v>
      </c>
      <c r="C4540" s="42" t="s">
        <v>1107</v>
      </c>
      <c r="D4540" s="42" t="s">
        <v>166</v>
      </c>
      <c r="E4540" s="42" t="s">
        <v>808</v>
      </c>
      <c r="F4540" s="45">
        <v>-17718382.92259854</v>
      </c>
      <c r="G4540" s="42" t="s">
        <v>1025</v>
      </c>
      <c r="H4540" s="42" t="s">
        <v>1044</v>
      </c>
      <c r="I4540" s="42" t="s">
        <v>864</v>
      </c>
    </row>
    <row r="4541" spans="1:9">
      <c r="A4541" s="42" t="s">
        <v>1088</v>
      </c>
      <c r="B4541" s="42" t="s">
        <v>211</v>
      </c>
      <c r="C4541" s="42" t="s">
        <v>1108</v>
      </c>
      <c r="D4541" s="42" t="s">
        <v>166</v>
      </c>
      <c r="E4541" s="42" t="s">
        <v>808</v>
      </c>
      <c r="F4541" s="45">
        <v>378944449.1462942</v>
      </c>
      <c r="G4541" s="42" t="s">
        <v>1025</v>
      </c>
      <c r="H4541" s="42" t="s">
        <v>1044</v>
      </c>
      <c r="I4541" s="42" t="s">
        <v>893</v>
      </c>
    </row>
    <row r="4542" spans="1:9">
      <c r="A4542" s="42" t="s">
        <v>1088</v>
      </c>
      <c r="B4542" s="42" t="s">
        <v>228</v>
      </c>
      <c r="C4542" s="42" t="s">
        <v>1109</v>
      </c>
      <c r="D4542" s="42" t="s">
        <v>166</v>
      </c>
      <c r="E4542" s="42" t="s">
        <v>808</v>
      </c>
      <c r="F4542" s="45">
        <v>346165440.7394869</v>
      </c>
      <c r="G4542" s="42" t="s">
        <v>1025</v>
      </c>
      <c r="H4542" s="42" t="s">
        <v>1044</v>
      </c>
      <c r="I4542" s="42" t="s">
        <v>884</v>
      </c>
    </row>
    <row r="4543" spans="1:9">
      <c r="A4543" s="42" t="s">
        <v>1088</v>
      </c>
      <c r="B4543" s="42" t="s">
        <v>212</v>
      </c>
      <c r="C4543" s="42" t="s">
        <v>1110</v>
      </c>
      <c r="D4543" s="42" t="s">
        <v>166</v>
      </c>
      <c r="E4543" s="42" t="s">
        <v>808</v>
      </c>
      <c r="F4543" s="45">
        <v>625110521.9979019</v>
      </c>
      <c r="G4543" s="42" t="s">
        <v>1025</v>
      </c>
      <c r="H4543" s="42" t="s">
        <v>1044</v>
      </c>
      <c r="I4543" s="42" t="s">
        <v>893</v>
      </c>
    </row>
    <row r="4544" spans="1:9">
      <c r="A4544" s="42" t="s">
        <v>1088</v>
      </c>
      <c r="B4544" s="42" t="s">
        <v>1111</v>
      </c>
      <c r="C4544" s="42" t="s">
        <v>1112</v>
      </c>
      <c r="D4544" s="42" t="s">
        <v>166</v>
      </c>
      <c r="E4544" s="42" t="s">
        <v>808</v>
      </c>
      <c r="F4544" s="45">
        <v>247261029.0996335</v>
      </c>
      <c r="G4544" s="42" t="s">
        <v>1025</v>
      </c>
      <c r="H4544" s="42" t="s">
        <v>1044</v>
      </c>
      <c r="I4544" s="42" t="s">
        <v>893</v>
      </c>
    </row>
    <row r="4545" spans="1:9">
      <c r="A4545" s="42" t="s">
        <v>1088</v>
      </c>
      <c r="B4545" s="42" t="s">
        <v>261</v>
      </c>
      <c r="C4545" s="42" t="s">
        <v>1113</v>
      </c>
      <c r="D4545" s="42" t="s">
        <v>166</v>
      </c>
      <c r="E4545" s="42" t="s">
        <v>808</v>
      </c>
      <c r="F4545" s="45">
        <v>-1094956.248025752</v>
      </c>
      <c r="G4545" s="42" t="s">
        <v>1025</v>
      </c>
      <c r="H4545" s="42" t="s">
        <v>1044</v>
      </c>
      <c r="I4545" s="42" t="s">
        <v>893</v>
      </c>
    </row>
    <row r="4546" spans="1:9">
      <c r="A4546" s="42" t="s">
        <v>1088</v>
      </c>
      <c r="B4546" s="42" t="s">
        <v>1111</v>
      </c>
      <c r="C4546" s="42" t="s">
        <v>1114</v>
      </c>
      <c r="D4546" s="42" t="s">
        <v>166</v>
      </c>
      <c r="E4546" s="42" t="s">
        <v>808</v>
      </c>
      <c r="F4546" s="45">
        <v>370344065.5254374</v>
      </c>
      <c r="G4546" s="42" t="s">
        <v>1025</v>
      </c>
      <c r="H4546" s="42" t="s">
        <v>1044</v>
      </c>
      <c r="I4546" s="42" t="s">
        <v>893</v>
      </c>
    </row>
    <row r="4547" spans="1:9">
      <c r="A4547" s="42" t="s">
        <v>1088</v>
      </c>
      <c r="B4547" s="42" t="s">
        <v>261</v>
      </c>
      <c r="C4547" s="42" t="s">
        <v>1125</v>
      </c>
      <c r="D4547" s="42" t="s">
        <v>166</v>
      </c>
      <c r="E4547" s="42" t="s">
        <v>808</v>
      </c>
      <c r="F4547" s="45">
        <v>8600383.620856818</v>
      </c>
      <c r="G4547" s="42" t="s">
        <v>1025</v>
      </c>
      <c r="H4547" s="42" t="s">
        <v>1044</v>
      </c>
      <c r="I4547" s="42" t="s">
        <v>893</v>
      </c>
    </row>
    <row r="4548" spans="1:9">
      <c r="A4548" s="42" t="s">
        <v>1088</v>
      </c>
      <c r="B4548" s="42" t="s">
        <v>1111</v>
      </c>
      <c r="C4548" s="42" t="s">
        <v>1115</v>
      </c>
      <c r="D4548" s="42" t="s">
        <v>166</v>
      </c>
      <c r="E4548" s="42" t="s">
        <v>808</v>
      </c>
      <c r="F4548" s="45">
        <v>617605094.6250709</v>
      </c>
      <c r="G4548" s="42" t="s">
        <v>1025</v>
      </c>
      <c r="H4548" s="42" t="s">
        <v>1044</v>
      </c>
      <c r="I4548" s="42" t="s">
        <v>893</v>
      </c>
    </row>
    <row r="4549" spans="1:9">
      <c r="A4549" s="42" t="s">
        <v>1088</v>
      </c>
      <c r="B4549" s="42" t="s">
        <v>261</v>
      </c>
      <c r="C4549" s="42" t="s">
        <v>1116</v>
      </c>
      <c r="D4549" s="42" t="s">
        <v>166</v>
      </c>
      <c r="E4549" s="42" t="s">
        <v>808</v>
      </c>
      <c r="F4549" s="45">
        <v>7505427.372831065</v>
      </c>
      <c r="G4549" s="42" t="s">
        <v>1025</v>
      </c>
      <c r="H4549" s="42" t="s">
        <v>1044</v>
      </c>
      <c r="I4549" s="42" t="s">
        <v>893</v>
      </c>
    </row>
    <row r="4550" spans="1:9">
      <c r="A4550" s="42" t="s">
        <v>1088</v>
      </c>
      <c r="B4550" s="42" t="s">
        <v>192</v>
      </c>
      <c r="C4550" s="42" t="s">
        <v>1089</v>
      </c>
      <c r="D4550" s="42" t="s">
        <v>867</v>
      </c>
      <c r="E4550" s="42" t="s">
        <v>762</v>
      </c>
      <c r="F4550" s="45">
        <v>18757000000</v>
      </c>
      <c r="G4550" s="42" t="s">
        <v>763</v>
      </c>
      <c r="H4550" s="42" t="s">
        <v>139</v>
      </c>
      <c r="I4550" s="42" t="s">
        <v>893</v>
      </c>
    </row>
    <row r="4551" spans="1:9">
      <c r="A4551" s="42" t="s">
        <v>1088</v>
      </c>
      <c r="B4551" s="42" t="s">
        <v>193</v>
      </c>
      <c r="C4551" s="42" t="s">
        <v>1090</v>
      </c>
      <c r="D4551" s="42" t="s">
        <v>867</v>
      </c>
      <c r="E4551" s="42" t="s">
        <v>762</v>
      </c>
      <c r="F4551" s="45">
        <v>-13684000000</v>
      </c>
      <c r="G4551" s="42" t="s">
        <v>763</v>
      </c>
      <c r="H4551" s="42" t="s">
        <v>139</v>
      </c>
      <c r="I4551" s="42" t="s">
        <v>893</v>
      </c>
    </row>
    <row r="4552" spans="1:9">
      <c r="A4552" s="42" t="s">
        <v>1088</v>
      </c>
      <c r="B4552" s="42" t="s">
        <v>194</v>
      </c>
      <c r="C4552" s="42" t="s">
        <v>1091</v>
      </c>
      <c r="D4552" s="42" t="s">
        <v>867</v>
      </c>
      <c r="E4552" s="42" t="s">
        <v>762</v>
      </c>
      <c r="F4552" s="45">
        <v>5073000000</v>
      </c>
      <c r="G4552" s="42" t="s">
        <v>763</v>
      </c>
      <c r="H4552" s="42" t="s">
        <v>139</v>
      </c>
      <c r="I4552" s="42" t="s">
        <v>893</v>
      </c>
    </row>
    <row r="4553" spans="1:9">
      <c r="A4553" s="42" t="s">
        <v>1088</v>
      </c>
      <c r="B4553" s="42" t="s">
        <v>195</v>
      </c>
      <c r="C4553" s="42" t="s">
        <v>1092</v>
      </c>
      <c r="D4553" s="42" t="s">
        <v>867</v>
      </c>
      <c r="E4553" s="42" t="s">
        <v>762</v>
      </c>
      <c r="F4553" s="45">
        <v>-1896000000</v>
      </c>
      <c r="G4553" s="42" t="s">
        <v>763</v>
      </c>
      <c r="H4553" s="42" t="s">
        <v>139</v>
      </c>
      <c r="I4553" s="42" t="s">
        <v>893</v>
      </c>
    </row>
    <row r="4554" spans="1:9">
      <c r="A4554" s="42" t="s">
        <v>1088</v>
      </c>
      <c r="B4554" s="42" t="s">
        <v>196</v>
      </c>
      <c r="C4554" s="42" t="s">
        <v>1093</v>
      </c>
      <c r="D4554" s="42" t="s">
        <v>867</v>
      </c>
      <c r="E4554" s="42" t="s">
        <v>762</v>
      </c>
      <c r="F4554" s="45">
        <v>-657000000</v>
      </c>
      <c r="G4554" s="42" t="s">
        <v>763</v>
      </c>
      <c r="H4554" s="42" t="s">
        <v>139</v>
      </c>
      <c r="I4554" s="42" t="s">
        <v>893</v>
      </c>
    </row>
    <row r="4555" spans="1:9">
      <c r="A4555" s="42" t="s">
        <v>1088</v>
      </c>
      <c r="B4555" s="42" t="s">
        <v>197</v>
      </c>
      <c r="C4555" s="42" t="s">
        <v>1094</v>
      </c>
      <c r="D4555" s="42" t="s">
        <v>867</v>
      </c>
      <c r="E4555" s="42" t="s">
        <v>762</v>
      </c>
      <c r="F4555" s="45">
        <v>-65000000</v>
      </c>
      <c r="G4555" s="42" t="s">
        <v>763</v>
      </c>
      <c r="H4555" s="42" t="s">
        <v>139</v>
      </c>
      <c r="I4555" s="42" t="s">
        <v>893</v>
      </c>
    </row>
    <row r="4556" spans="1:9">
      <c r="A4556" s="42" t="s">
        <v>1088</v>
      </c>
      <c r="B4556" s="42" t="s">
        <v>198</v>
      </c>
      <c r="C4556" s="42" t="s">
        <v>1131</v>
      </c>
      <c r="D4556" s="42" t="s">
        <v>867</v>
      </c>
      <c r="E4556" s="42" t="s">
        <v>762</v>
      </c>
      <c r="F4556" s="45">
        <v>-123000000</v>
      </c>
      <c r="G4556" s="42" t="s">
        <v>763</v>
      </c>
      <c r="H4556" s="42" t="s">
        <v>139</v>
      </c>
      <c r="I4556" s="42" t="s">
        <v>893</v>
      </c>
    </row>
    <row r="4557" spans="1:9">
      <c r="A4557" s="42" t="s">
        <v>1088</v>
      </c>
      <c r="B4557" s="42" t="s">
        <v>223</v>
      </c>
      <c r="C4557" s="42" t="s">
        <v>1128</v>
      </c>
      <c r="D4557" s="42" t="s">
        <v>867</v>
      </c>
      <c r="E4557" s="42" t="s">
        <v>762</v>
      </c>
      <c r="F4557" s="45">
        <v>-123000000</v>
      </c>
      <c r="G4557" s="42" t="s">
        <v>763</v>
      </c>
      <c r="H4557" s="42" t="s">
        <v>129</v>
      </c>
      <c r="I4557" s="42" t="s">
        <v>861</v>
      </c>
    </row>
    <row r="4558" spans="1:9">
      <c r="A4558" s="42" t="s">
        <v>1088</v>
      </c>
      <c r="B4558" s="42" t="s">
        <v>224</v>
      </c>
      <c r="C4558" s="42" t="s">
        <v>1126</v>
      </c>
      <c r="D4558" s="42" t="s">
        <v>867</v>
      </c>
      <c r="E4558" s="42" t="s">
        <v>762</v>
      </c>
      <c r="F4558" s="45">
        <v>-123000000</v>
      </c>
      <c r="G4558" s="42" t="s">
        <v>763</v>
      </c>
      <c r="H4558" s="42" t="s">
        <v>119</v>
      </c>
      <c r="I4558" s="42" t="s">
        <v>854</v>
      </c>
    </row>
    <row r="4559" spans="1:9">
      <c r="A4559" s="42" t="s">
        <v>1088</v>
      </c>
      <c r="B4559" s="42" t="s">
        <v>199</v>
      </c>
      <c r="C4559" s="42" t="s">
        <v>1097</v>
      </c>
      <c r="D4559" s="42" t="s">
        <v>867</v>
      </c>
      <c r="E4559" s="42" t="s">
        <v>762</v>
      </c>
      <c r="F4559" s="45">
        <v>150000000</v>
      </c>
      <c r="G4559" s="42" t="s">
        <v>763</v>
      </c>
      <c r="H4559" s="42" t="s">
        <v>139</v>
      </c>
      <c r="I4559" s="42" t="s">
        <v>893</v>
      </c>
    </row>
    <row r="4560" spans="1:9">
      <c r="A4560" s="42" t="s">
        <v>1088</v>
      </c>
      <c r="B4560" s="42" t="s">
        <v>200</v>
      </c>
      <c r="C4560" s="42" t="s">
        <v>1098</v>
      </c>
      <c r="D4560" s="42" t="s">
        <v>867</v>
      </c>
      <c r="E4560" s="42" t="s">
        <v>762</v>
      </c>
      <c r="F4560" s="45">
        <v>2482000000</v>
      </c>
      <c r="G4560" s="42" t="s">
        <v>763</v>
      </c>
      <c r="H4560" s="42" t="s">
        <v>139</v>
      </c>
      <c r="I4560" s="42" t="s">
        <v>893</v>
      </c>
    </row>
    <row r="4561" spans="1:9">
      <c r="A4561" s="42" t="s">
        <v>1088</v>
      </c>
      <c r="B4561" s="42" t="s">
        <v>201</v>
      </c>
      <c r="C4561" s="42" t="s">
        <v>1099</v>
      </c>
      <c r="D4561" s="42" t="s">
        <v>867</v>
      </c>
      <c r="E4561" s="42" t="s">
        <v>762</v>
      </c>
      <c r="F4561" s="45">
        <v>446000000</v>
      </c>
      <c r="G4561" s="42" t="s">
        <v>763</v>
      </c>
      <c r="H4561" s="42" t="s">
        <v>139</v>
      </c>
      <c r="I4561" s="42" t="s">
        <v>893</v>
      </c>
    </row>
    <row r="4562" spans="1:9">
      <c r="A4562" s="42" t="s">
        <v>1088</v>
      </c>
      <c r="B4562" s="42" t="s">
        <v>202</v>
      </c>
      <c r="C4562" s="42" t="s">
        <v>1100</v>
      </c>
      <c r="D4562" s="42" t="s">
        <v>867</v>
      </c>
      <c r="E4562" s="42" t="s">
        <v>762</v>
      </c>
      <c r="F4562" s="45">
        <v>320000000</v>
      </c>
      <c r="G4562" s="42" t="s">
        <v>763</v>
      </c>
      <c r="H4562" s="42" t="s">
        <v>139</v>
      </c>
      <c r="I4562" s="42" t="s">
        <v>893</v>
      </c>
    </row>
    <row r="4563" spans="1:9">
      <c r="A4563" s="42" t="s">
        <v>1088</v>
      </c>
      <c r="B4563" s="42" t="s">
        <v>203</v>
      </c>
      <c r="C4563" s="42" t="s">
        <v>1129</v>
      </c>
      <c r="D4563" s="42" t="s">
        <v>867</v>
      </c>
      <c r="E4563" s="42" t="s">
        <v>762</v>
      </c>
      <c r="F4563" s="45">
        <v>-988000000</v>
      </c>
      <c r="G4563" s="42" t="s">
        <v>763</v>
      </c>
      <c r="H4563" s="42" t="s">
        <v>139</v>
      </c>
      <c r="I4563" s="42" t="s">
        <v>893</v>
      </c>
    </row>
    <row r="4564" spans="1:9">
      <c r="A4564" s="42" t="s">
        <v>1088</v>
      </c>
      <c r="B4564" s="42" t="s">
        <v>204</v>
      </c>
      <c r="C4564" s="42" t="s">
        <v>1102</v>
      </c>
      <c r="D4564" s="42" t="s">
        <v>867</v>
      </c>
      <c r="E4564" s="42" t="s">
        <v>762</v>
      </c>
      <c r="F4564" s="45">
        <v>796000000</v>
      </c>
      <c r="G4564" s="42" t="s">
        <v>763</v>
      </c>
      <c r="H4564" s="42" t="s">
        <v>139</v>
      </c>
      <c r="I4564" s="42" t="s">
        <v>893</v>
      </c>
    </row>
    <row r="4565" spans="1:9">
      <c r="A4565" s="42" t="s">
        <v>1088</v>
      </c>
      <c r="B4565" s="42" t="s">
        <v>205</v>
      </c>
      <c r="C4565" s="42" t="s">
        <v>1103</v>
      </c>
      <c r="D4565" s="42" t="s">
        <v>867</v>
      </c>
      <c r="E4565" s="42" t="s">
        <v>762</v>
      </c>
      <c r="F4565" s="45">
        <v>128000000</v>
      </c>
      <c r="G4565" s="42" t="s">
        <v>763</v>
      </c>
      <c r="H4565" s="42" t="s">
        <v>139</v>
      </c>
      <c r="I4565" s="42" t="s">
        <v>893</v>
      </c>
    </row>
    <row r="4566" spans="1:9">
      <c r="A4566" s="42" t="s">
        <v>1088</v>
      </c>
      <c r="B4566" s="42" t="s">
        <v>206</v>
      </c>
      <c r="C4566" s="42" t="s">
        <v>1104</v>
      </c>
      <c r="D4566" s="42" t="s">
        <v>867</v>
      </c>
      <c r="E4566" s="42" t="s">
        <v>762</v>
      </c>
      <c r="F4566" s="45">
        <v>3056000000</v>
      </c>
      <c r="G4566" s="42" t="s">
        <v>763</v>
      </c>
      <c r="H4566" s="42" t="s">
        <v>139</v>
      </c>
      <c r="I4566" s="42" t="s">
        <v>893</v>
      </c>
    </row>
    <row r="4567" spans="1:9">
      <c r="A4567" s="42" t="s">
        <v>1088</v>
      </c>
      <c r="B4567" s="42" t="s">
        <v>207</v>
      </c>
      <c r="C4567" s="42" t="s">
        <v>1105</v>
      </c>
      <c r="D4567" s="42" t="s">
        <v>867</v>
      </c>
      <c r="E4567" s="42" t="s">
        <v>762</v>
      </c>
      <c r="F4567" s="45">
        <v>-822000000</v>
      </c>
      <c r="G4567" s="42" t="s">
        <v>763</v>
      </c>
      <c r="H4567" s="42" t="s">
        <v>139</v>
      </c>
      <c r="I4567" s="42" t="s">
        <v>893</v>
      </c>
    </row>
    <row r="4568" spans="1:9">
      <c r="A4568" s="42" t="s">
        <v>1088</v>
      </c>
      <c r="B4568" s="42" t="s">
        <v>208</v>
      </c>
      <c r="C4568" s="42" t="s">
        <v>1106</v>
      </c>
      <c r="D4568" s="42" t="s">
        <v>867</v>
      </c>
      <c r="E4568" s="42" t="s">
        <v>762</v>
      </c>
      <c r="F4568" s="45">
        <v>2234000000</v>
      </c>
      <c r="G4568" s="42" t="s">
        <v>763</v>
      </c>
      <c r="H4568" s="42" t="s">
        <v>139</v>
      </c>
      <c r="I4568" s="42" t="s">
        <v>893</v>
      </c>
    </row>
    <row r="4569" spans="1:9">
      <c r="A4569" s="42" t="s">
        <v>1088</v>
      </c>
      <c r="B4569" s="42" t="s">
        <v>209</v>
      </c>
      <c r="C4569" s="42" t="s">
        <v>1130</v>
      </c>
      <c r="D4569" s="42" t="s">
        <v>867</v>
      </c>
      <c r="E4569" s="42" t="s">
        <v>762</v>
      </c>
      <c r="F4569" s="45">
        <v>-194000000</v>
      </c>
      <c r="G4569" s="42" t="s">
        <v>763</v>
      </c>
      <c r="H4569" s="42" t="s">
        <v>139</v>
      </c>
      <c r="I4569" s="42" t="s">
        <v>893</v>
      </c>
    </row>
    <row r="4570" spans="1:9">
      <c r="A4570" s="42" t="s">
        <v>1088</v>
      </c>
      <c r="B4570" s="42" t="s">
        <v>210</v>
      </c>
      <c r="C4570" s="42" t="s">
        <v>1124</v>
      </c>
      <c r="D4570" s="42" t="s">
        <v>867</v>
      </c>
      <c r="E4570" s="42" t="s">
        <v>762</v>
      </c>
      <c r="F4570" s="45">
        <v>276000000</v>
      </c>
      <c r="G4570" s="42" t="s">
        <v>763</v>
      </c>
      <c r="H4570" s="42" t="s">
        <v>139</v>
      </c>
      <c r="I4570" s="42" t="s">
        <v>893</v>
      </c>
    </row>
    <row r="4571" spans="1:9">
      <c r="A4571" s="42" t="s">
        <v>1088</v>
      </c>
      <c r="B4571" s="42" t="s">
        <v>211</v>
      </c>
      <c r="C4571" s="42" t="s">
        <v>1108</v>
      </c>
      <c r="D4571" s="42" t="s">
        <v>867</v>
      </c>
      <c r="E4571" s="42" t="s">
        <v>762</v>
      </c>
      <c r="F4571" s="45">
        <v>82000000</v>
      </c>
      <c r="G4571" s="42" t="s">
        <v>763</v>
      </c>
      <c r="H4571" s="42" t="s">
        <v>139</v>
      </c>
      <c r="I4571" s="42" t="s">
        <v>893</v>
      </c>
    </row>
    <row r="4572" spans="1:9">
      <c r="A4572" s="42" t="s">
        <v>1088</v>
      </c>
      <c r="B4572" s="42" t="s">
        <v>228</v>
      </c>
      <c r="C4572" s="42" t="s">
        <v>1109</v>
      </c>
      <c r="D4572" s="42" t="s">
        <v>867</v>
      </c>
      <c r="E4572" s="42" t="s">
        <v>762</v>
      </c>
      <c r="F4572" s="45">
        <v>5470608037.380843</v>
      </c>
      <c r="G4572" s="42" t="s">
        <v>763</v>
      </c>
      <c r="H4572" s="42" t="s">
        <v>137</v>
      </c>
      <c r="I4572" s="42" t="s">
        <v>884</v>
      </c>
    </row>
    <row r="4573" spans="1:9">
      <c r="A4573" s="42" t="s">
        <v>1088</v>
      </c>
      <c r="B4573" s="42" t="s">
        <v>212</v>
      </c>
      <c r="C4573" s="42" t="s">
        <v>1110</v>
      </c>
      <c r="D4573" s="42" t="s">
        <v>867</v>
      </c>
      <c r="E4573" s="42" t="s">
        <v>762</v>
      </c>
      <c r="F4573" s="45">
        <v>2316000000</v>
      </c>
      <c r="G4573" s="42" t="s">
        <v>763</v>
      </c>
      <c r="H4573" s="42" t="s">
        <v>139</v>
      </c>
      <c r="I4573" s="42" t="s">
        <v>893</v>
      </c>
    </row>
    <row r="4574" spans="1:9">
      <c r="A4574" s="42" t="s">
        <v>1088</v>
      </c>
      <c r="B4574" s="42" t="s">
        <v>1111</v>
      </c>
      <c r="C4574" s="42" t="s">
        <v>1112</v>
      </c>
      <c r="D4574" s="42" t="s">
        <v>867</v>
      </c>
      <c r="E4574" s="42" t="s">
        <v>762</v>
      </c>
      <c r="F4574" s="45">
        <v>2228000000</v>
      </c>
      <c r="G4574" s="42" t="s">
        <v>763</v>
      </c>
      <c r="H4574" s="42" t="s">
        <v>139</v>
      </c>
      <c r="I4574" s="42" t="s">
        <v>893</v>
      </c>
    </row>
    <row r="4575" spans="1:9">
      <c r="A4575" s="42" t="s">
        <v>1088</v>
      </c>
      <c r="B4575" s="42" t="s">
        <v>261</v>
      </c>
      <c r="C4575" s="42" t="s">
        <v>1113</v>
      </c>
      <c r="D4575" s="42" t="s">
        <v>867</v>
      </c>
      <c r="E4575" s="42" t="s">
        <v>762</v>
      </c>
      <c r="F4575" s="45">
        <v>6000000</v>
      </c>
      <c r="G4575" s="42" t="s">
        <v>763</v>
      </c>
      <c r="H4575" s="42" t="s">
        <v>139</v>
      </c>
      <c r="I4575" s="42" t="s">
        <v>893</v>
      </c>
    </row>
    <row r="4576" spans="1:9">
      <c r="A4576" s="42" t="s">
        <v>1088</v>
      </c>
      <c r="B4576" s="42" t="s">
        <v>1111</v>
      </c>
      <c r="C4576" s="42" t="s">
        <v>1114</v>
      </c>
      <c r="D4576" s="42" t="s">
        <v>867</v>
      </c>
      <c r="E4576" s="42" t="s">
        <v>762</v>
      </c>
      <c r="F4576" s="45">
        <v>70000000</v>
      </c>
      <c r="G4576" s="42" t="s">
        <v>763</v>
      </c>
      <c r="H4576" s="42" t="s">
        <v>139</v>
      </c>
      <c r="I4576" s="42" t="s">
        <v>893</v>
      </c>
    </row>
    <row r="4577" spans="1:9">
      <c r="A4577" s="42" t="s">
        <v>1088</v>
      </c>
      <c r="B4577" s="42" t="s">
        <v>261</v>
      </c>
      <c r="C4577" s="42" t="s">
        <v>1125</v>
      </c>
      <c r="D4577" s="42" t="s">
        <v>867</v>
      </c>
      <c r="E4577" s="42" t="s">
        <v>762</v>
      </c>
      <c r="F4577" s="45">
        <v>12000000</v>
      </c>
      <c r="G4577" s="42" t="s">
        <v>763</v>
      </c>
      <c r="H4577" s="42" t="s">
        <v>139</v>
      </c>
      <c r="I4577" s="42" t="s">
        <v>893</v>
      </c>
    </row>
    <row r="4578" spans="1:9">
      <c r="A4578" s="42" t="s">
        <v>1088</v>
      </c>
      <c r="B4578" s="42" t="s">
        <v>1111</v>
      </c>
      <c r="C4578" s="42" t="s">
        <v>1115</v>
      </c>
      <c r="D4578" s="42" t="s">
        <v>867</v>
      </c>
      <c r="E4578" s="42" t="s">
        <v>762</v>
      </c>
      <c r="F4578" s="45">
        <v>2298000000</v>
      </c>
      <c r="G4578" s="42" t="s">
        <v>763</v>
      </c>
      <c r="H4578" s="42" t="s">
        <v>139</v>
      </c>
      <c r="I4578" s="42" t="s">
        <v>893</v>
      </c>
    </row>
    <row r="4579" spans="1:9">
      <c r="A4579" s="42" t="s">
        <v>1088</v>
      </c>
      <c r="B4579" s="42" t="s">
        <v>261</v>
      </c>
      <c r="C4579" s="42" t="s">
        <v>1116</v>
      </c>
      <c r="D4579" s="42" t="s">
        <v>867</v>
      </c>
      <c r="E4579" s="42" t="s">
        <v>762</v>
      </c>
      <c r="F4579" s="45">
        <v>18000000</v>
      </c>
      <c r="G4579" s="42" t="s">
        <v>763</v>
      </c>
      <c r="H4579" s="42" t="s">
        <v>139</v>
      </c>
      <c r="I4579" s="42" t="s">
        <v>893</v>
      </c>
    </row>
    <row r="4580" spans="1:9">
      <c r="A4580" s="42" t="s">
        <v>1088</v>
      </c>
      <c r="B4580" s="42" t="s">
        <v>219</v>
      </c>
      <c r="C4580" s="42" t="s">
        <v>1117</v>
      </c>
      <c r="D4580" s="42" t="s">
        <v>867</v>
      </c>
      <c r="E4580" s="42" t="s">
        <v>762</v>
      </c>
      <c r="F4580" s="45">
        <v>5670000</v>
      </c>
      <c r="G4580" s="42" t="s">
        <v>763</v>
      </c>
      <c r="H4580" s="42" t="s">
        <v>139</v>
      </c>
      <c r="I4580" s="42" t="s">
        <v>893</v>
      </c>
    </row>
    <row r="4581" spans="1:9">
      <c r="A4581" s="42" t="s">
        <v>1088</v>
      </c>
      <c r="B4581" s="42" t="s">
        <v>192</v>
      </c>
      <c r="C4581" s="42" t="s">
        <v>1089</v>
      </c>
      <c r="D4581" s="42" t="s">
        <v>167</v>
      </c>
      <c r="E4581" s="42" t="s">
        <v>808</v>
      </c>
      <c r="F4581" s="45">
        <v>3765506889.226378</v>
      </c>
      <c r="G4581" s="42" t="s">
        <v>763</v>
      </c>
      <c r="H4581" s="42" t="s">
        <v>121</v>
      </c>
      <c r="I4581" s="42" t="s">
        <v>893</v>
      </c>
    </row>
    <row r="4582" spans="1:9">
      <c r="A4582" s="42" t="s">
        <v>1088</v>
      </c>
      <c r="B4582" s="42" t="s">
        <v>193</v>
      </c>
      <c r="C4582" s="42" t="s">
        <v>1090</v>
      </c>
      <c r="D4582" s="42" t="s">
        <v>167</v>
      </c>
      <c r="E4582" s="42" t="s">
        <v>808</v>
      </c>
      <c r="F4582" s="45">
        <v>-2843393812.479886</v>
      </c>
      <c r="G4582" s="42" t="s">
        <v>763</v>
      </c>
      <c r="H4582" s="42" t="s">
        <v>121</v>
      </c>
      <c r="I4582" s="42" t="s">
        <v>893</v>
      </c>
    </row>
    <row r="4583" spans="1:9">
      <c r="A4583" s="42" t="s">
        <v>1088</v>
      </c>
      <c r="B4583" s="42" t="s">
        <v>194</v>
      </c>
      <c r="C4583" s="42" t="s">
        <v>1091</v>
      </c>
      <c r="D4583" s="42" t="s">
        <v>167</v>
      </c>
      <c r="E4583" s="42" t="s">
        <v>808</v>
      </c>
      <c r="F4583" s="45">
        <v>922113076.7464921</v>
      </c>
      <c r="G4583" s="42" t="s">
        <v>763</v>
      </c>
      <c r="H4583" s="42" t="s">
        <v>121</v>
      </c>
      <c r="I4583" s="42" t="s">
        <v>893</v>
      </c>
    </row>
    <row r="4584" spans="1:9">
      <c r="A4584" s="42" t="s">
        <v>1088</v>
      </c>
      <c r="B4584" s="42" t="s">
        <v>195</v>
      </c>
      <c r="C4584" s="42" t="s">
        <v>1092</v>
      </c>
      <c r="D4584" s="42" t="s">
        <v>167</v>
      </c>
      <c r="E4584" s="42" t="s">
        <v>808</v>
      </c>
      <c r="F4584" s="45">
        <v>-379935837.8855792</v>
      </c>
      <c r="G4584" s="42" t="s">
        <v>763</v>
      </c>
      <c r="H4584" s="42" t="s">
        <v>121</v>
      </c>
      <c r="I4584" s="42" t="s">
        <v>893</v>
      </c>
    </row>
    <row r="4585" spans="1:9">
      <c r="A4585" s="42" t="s">
        <v>1088</v>
      </c>
      <c r="B4585" s="42" t="s">
        <v>196</v>
      </c>
      <c r="C4585" s="42" t="s">
        <v>1093</v>
      </c>
      <c r="D4585" s="42" t="s">
        <v>167</v>
      </c>
      <c r="E4585" s="42" t="s">
        <v>808</v>
      </c>
      <c r="F4585" s="45">
        <v>-138576311.3840307</v>
      </c>
      <c r="G4585" s="42" t="s">
        <v>763</v>
      </c>
      <c r="H4585" s="42" t="s">
        <v>121</v>
      </c>
      <c r="I4585" s="42" t="s">
        <v>893</v>
      </c>
    </row>
    <row r="4586" spans="1:9">
      <c r="A4586" s="42" t="s">
        <v>1088</v>
      </c>
      <c r="B4586" s="42" t="s">
        <v>197</v>
      </c>
      <c r="C4586" s="42" t="s">
        <v>1094</v>
      </c>
      <c r="D4586" s="42" t="s">
        <v>167</v>
      </c>
      <c r="E4586" s="42" t="s">
        <v>808</v>
      </c>
      <c r="F4586" s="45">
        <v>-10533450.49981498</v>
      </c>
      <c r="G4586" s="42" t="s">
        <v>763</v>
      </c>
      <c r="H4586" s="42" t="s">
        <v>121</v>
      </c>
      <c r="I4586" s="42" t="s">
        <v>893</v>
      </c>
    </row>
    <row r="4587" spans="1:9">
      <c r="A4587" s="42" t="s">
        <v>1088</v>
      </c>
      <c r="B4587" s="42" t="s">
        <v>199</v>
      </c>
      <c r="C4587" s="42" t="s">
        <v>1097</v>
      </c>
      <c r="D4587" s="42" t="s">
        <v>167</v>
      </c>
      <c r="E4587" s="42" t="s">
        <v>808</v>
      </c>
      <c r="F4587" s="45">
        <v>-13666284.39735567</v>
      </c>
      <c r="G4587" s="42" t="s">
        <v>763</v>
      </c>
      <c r="H4587" s="42" t="s">
        <v>121</v>
      </c>
      <c r="I4587" s="42" t="s">
        <v>893</v>
      </c>
    </row>
    <row r="4588" spans="1:9">
      <c r="A4588" s="42" t="s">
        <v>1088</v>
      </c>
      <c r="B4588" s="42" t="s">
        <v>200</v>
      </c>
      <c r="C4588" s="42" t="s">
        <v>1098</v>
      </c>
      <c r="D4588" s="42" t="s">
        <v>167</v>
      </c>
      <c r="E4588" s="42" t="s">
        <v>808</v>
      </c>
      <c r="F4588" s="45">
        <v>379401192.5797116</v>
      </c>
      <c r="G4588" s="42" t="s">
        <v>763</v>
      </c>
      <c r="H4588" s="42" t="s">
        <v>121</v>
      </c>
      <c r="I4588" s="42" t="s">
        <v>893</v>
      </c>
    </row>
    <row r="4589" spans="1:9">
      <c r="A4589" s="42" t="s">
        <v>1088</v>
      </c>
      <c r="B4589" s="42" t="s">
        <v>201</v>
      </c>
      <c r="C4589" s="42" t="s">
        <v>1099</v>
      </c>
      <c r="D4589" s="42" t="s">
        <v>167</v>
      </c>
      <c r="E4589" s="42" t="s">
        <v>808</v>
      </c>
      <c r="F4589" s="45">
        <v>114704867.4641473</v>
      </c>
      <c r="G4589" s="42" t="s">
        <v>763</v>
      </c>
      <c r="H4589" s="42" t="s">
        <v>121</v>
      </c>
      <c r="I4589" s="42" t="s">
        <v>893</v>
      </c>
    </row>
    <row r="4590" spans="1:9">
      <c r="A4590" s="42" t="s">
        <v>1088</v>
      </c>
      <c r="B4590" s="42" t="s">
        <v>202</v>
      </c>
      <c r="C4590" s="42" t="s">
        <v>1100</v>
      </c>
      <c r="D4590" s="42" t="s">
        <v>167</v>
      </c>
      <c r="E4590" s="42" t="s">
        <v>808</v>
      </c>
      <c r="F4590" s="45">
        <v>301183522.3054844</v>
      </c>
      <c r="G4590" s="42" t="s">
        <v>763</v>
      </c>
      <c r="H4590" s="42" t="s">
        <v>121</v>
      </c>
      <c r="I4590" s="42" t="s">
        <v>893</v>
      </c>
    </row>
    <row r="4591" spans="1:9">
      <c r="A4591" s="42" t="s">
        <v>1088</v>
      </c>
      <c r="B4591" s="42" t="s">
        <v>203</v>
      </c>
      <c r="C4591" s="42" t="s">
        <v>1129</v>
      </c>
      <c r="D4591" s="42" t="s">
        <v>167</v>
      </c>
      <c r="E4591" s="42" t="s">
        <v>808</v>
      </c>
      <c r="F4591" s="45">
        <v>-403675965.4145478</v>
      </c>
      <c r="G4591" s="42" t="s">
        <v>763</v>
      </c>
      <c r="H4591" s="42" t="s">
        <v>121</v>
      </c>
      <c r="I4591" s="42" t="s">
        <v>893</v>
      </c>
    </row>
    <row r="4592" spans="1:9">
      <c r="A4592" s="42" t="s">
        <v>1088</v>
      </c>
      <c r="B4592" s="42" t="s">
        <v>225</v>
      </c>
      <c r="C4592" s="42" t="s">
        <v>1101</v>
      </c>
      <c r="D4592" s="42" t="s">
        <v>167</v>
      </c>
      <c r="E4592" s="42" t="s">
        <v>808</v>
      </c>
      <c r="F4592" s="45">
        <v>-403675965.4145478</v>
      </c>
      <c r="G4592" s="42" t="s">
        <v>763</v>
      </c>
      <c r="H4592" s="42" t="s">
        <v>110</v>
      </c>
      <c r="I4592" s="42" t="s">
        <v>864</v>
      </c>
    </row>
    <row r="4593" spans="1:9">
      <c r="A4593" s="42" t="s">
        <v>1088</v>
      </c>
      <c r="B4593" s="42" t="s">
        <v>204</v>
      </c>
      <c r="C4593" s="42" t="s">
        <v>1102</v>
      </c>
      <c r="D4593" s="42" t="s">
        <v>167</v>
      </c>
      <c r="E4593" s="42" t="s">
        <v>808</v>
      </c>
      <c r="F4593" s="45">
        <v>59392527.66235836</v>
      </c>
      <c r="G4593" s="42" t="s">
        <v>763</v>
      </c>
      <c r="H4593" s="42" t="s">
        <v>121</v>
      </c>
      <c r="I4593" s="42" t="s">
        <v>893</v>
      </c>
    </row>
    <row r="4594" spans="1:9">
      <c r="A4594" s="42" t="s">
        <v>1088</v>
      </c>
      <c r="B4594" s="42" t="s">
        <v>205</v>
      </c>
      <c r="C4594" s="42" t="s">
        <v>1103</v>
      </c>
      <c r="D4594" s="42" t="s">
        <v>167</v>
      </c>
      <c r="E4594" s="42" t="s">
        <v>808</v>
      </c>
      <c r="F4594" s="45">
        <v>-43099915.4467051</v>
      </c>
      <c r="G4594" s="42" t="s">
        <v>763</v>
      </c>
      <c r="H4594" s="42" t="s">
        <v>121</v>
      </c>
      <c r="I4594" s="42" t="s">
        <v>893</v>
      </c>
    </row>
    <row r="4595" spans="1:9">
      <c r="A4595" s="42" t="s">
        <v>1088</v>
      </c>
      <c r="B4595" s="42" t="s">
        <v>206</v>
      </c>
      <c r="C4595" s="42" t="s">
        <v>1104</v>
      </c>
      <c r="D4595" s="42" t="s">
        <v>167</v>
      </c>
      <c r="E4595" s="42" t="s">
        <v>808</v>
      </c>
      <c r="F4595" s="45">
        <v>451006144.5971537</v>
      </c>
      <c r="G4595" s="42" t="s">
        <v>763</v>
      </c>
      <c r="H4595" s="42" t="s">
        <v>121</v>
      </c>
      <c r="I4595" s="42" t="s">
        <v>893</v>
      </c>
    </row>
    <row r="4596" spans="1:9">
      <c r="A4596" s="42" t="s">
        <v>1088</v>
      </c>
      <c r="B4596" s="42" t="s">
        <v>207</v>
      </c>
      <c r="C4596" s="42" t="s">
        <v>1105</v>
      </c>
      <c r="D4596" s="42" t="s">
        <v>167</v>
      </c>
      <c r="E4596" s="42" t="s">
        <v>808</v>
      </c>
      <c r="F4596" s="45">
        <v>-203221494.6829843</v>
      </c>
      <c r="G4596" s="42" t="s">
        <v>763</v>
      </c>
      <c r="H4596" s="42" t="s">
        <v>121</v>
      </c>
      <c r="I4596" s="42" t="s">
        <v>893</v>
      </c>
    </row>
    <row r="4597" spans="1:9">
      <c r="A4597" s="42" t="s">
        <v>1088</v>
      </c>
      <c r="B4597" s="42" t="s">
        <v>208</v>
      </c>
      <c r="C4597" s="42" t="s">
        <v>1106</v>
      </c>
      <c r="D4597" s="42" t="s">
        <v>167</v>
      </c>
      <c r="E4597" s="42" t="s">
        <v>808</v>
      </c>
      <c r="F4597" s="45">
        <v>247784649.9141695</v>
      </c>
      <c r="G4597" s="42" t="s">
        <v>763</v>
      </c>
      <c r="H4597" s="42" t="s">
        <v>121</v>
      </c>
      <c r="I4597" s="42" t="s">
        <v>893</v>
      </c>
    </row>
    <row r="4598" spans="1:9">
      <c r="A4598" s="42" t="s">
        <v>1088</v>
      </c>
      <c r="B4598" s="42" t="s">
        <v>209</v>
      </c>
      <c r="C4598" s="42" t="s">
        <v>1130</v>
      </c>
      <c r="D4598" s="42" t="s">
        <v>167</v>
      </c>
      <c r="E4598" s="42" t="s">
        <v>808</v>
      </c>
      <c r="F4598" s="45">
        <v>-35971311.36846878</v>
      </c>
      <c r="G4598" s="42" t="s">
        <v>763</v>
      </c>
      <c r="H4598" s="42" t="s">
        <v>121</v>
      </c>
      <c r="I4598" s="42" t="s">
        <v>893</v>
      </c>
    </row>
    <row r="4599" spans="1:9">
      <c r="A4599" s="42" t="s">
        <v>1088</v>
      </c>
      <c r="B4599" s="42" t="s">
        <v>210</v>
      </c>
      <c r="C4599" s="42" t="s">
        <v>1124</v>
      </c>
      <c r="D4599" s="42" t="s">
        <v>167</v>
      </c>
      <c r="E4599" s="42" t="s">
        <v>808</v>
      </c>
      <c r="F4599" s="45">
        <v>78583480.22034718</v>
      </c>
      <c r="G4599" s="42" t="s">
        <v>763</v>
      </c>
      <c r="H4599" s="42" t="s">
        <v>121</v>
      </c>
      <c r="I4599" s="42" t="s">
        <v>893</v>
      </c>
    </row>
    <row r="4600" spans="1:9">
      <c r="A4600" s="42" t="s">
        <v>1088</v>
      </c>
      <c r="B4600" s="42" t="s">
        <v>227</v>
      </c>
      <c r="C4600" s="42" t="s">
        <v>1107</v>
      </c>
      <c r="D4600" s="42" t="s">
        <v>167</v>
      </c>
      <c r="E4600" s="42" t="s">
        <v>808</v>
      </c>
      <c r="F4600" s="45">
        <v>-35971311.36846878</v>
      </c>
      <c r="G4600" s="42" t="s">
        <v>763</v>
      </c>
      <c r="H4600" s="42" t="s">
        <v>110</v>
      </c>
      <c r="I4600" s="42" t="s">
        <v>864</v>
      </c>
    </row>
    <row r="4601" spans="1:9">
      <c r="A4601" s="42" t="s">
        <v>1088</v>
      </c>
      <c r="B4601" s="42" t="s">
        <v>211</v>
      </c>
      <c r="C4601" s="42" t="s">
        <v>1108</v>
      </c>
      <c r="D4601" s="42" t="s">
        <v>167</v>
      </c>
      <c r="E4601" s="42" t="s">
        <v>808</v>
      </c>
      <c r="F4601" s="45">
        <v>712382040.9710131</v>
      </c>
      <c r="G4601" s="42" t="s">
        <v>763</v>
      </c>
      <c r="H4601" s="42" t="s">
        <v>121</v>
      </c>
      <c r="I4601" s="42" t="s">
        <v>893</v>
      </c>
    </row>
    <row r="4602" spans="1:9">
      <c r="A4602" s="42" t="s">
        <v>1088</v>
      </c>
      <c r="B4602" s="42" t="s">
        <v>228</v>
      </c>
      <c r="C4602" s="42" t="s">
        <v>1109</v>
      </c>
      <c r="D4602" s="42" t="s">
        <v>167</v>
      </c>
      <c r="E4602" s="42" t="s">
        <v>808</v>
      </c>
      <c r="F4602" s="45">
        <v>669769872.1191348</v>
      </c>
      <c r="G4602" s="42" t="s">
        <v>763</v>
      </c>
      <c r="H4602" s="42" t="s">
        <v>121</v>
      </c>
      <c r="I4602" s="42" t="s">
        <v>884</v>
      </c>
    </row>
    <row r="4603" spans="1:9">
      <c r="A4603" s="42" t="s">
        <v>1088</v>
      </c>
      <c r="B4603" s="42" t="s">
        <v>212</v>
      </c>
      <c r="C4603" s="42" t="s">
        <v>1110</v>
      </c>
      <c r="D4603" s="42" t="s">
        <v>167</v>
      </c>
      <c r="E4603" s="42" t="s">
        <v>808</v>
      </c>
      <c r="F4603" s="45">
        <v>960166690.8851826</v>
      </c>
      <c r="G4603" s="42" t="s">
        <v>763</v>
      </c>
      <c r="H4603" s="42" t="s">
        <v>121</v>
      </c>
      <c r="I4603" s="42" t="s">
        <v>893</v>
      </c>
    </row>
    <row r="4604" spans="1:9">
      <c r="A4604" s="42" t="s">
        <v>1088</v>
      </c>
      <c r="B4604" s="42" t="s">
        <v>1111</v>
      </c>
      <c r="C4604" s="42" t="s">
        <v>1112</v>
      </c>
      <c r="D4604" s="42" t="s">
        <v>167</v>
      </c>
      <c r="E4604" s="42" t="s">
        <v>808</v>
      </c>
      <c r="F4604" s="45">
        <v>249529281.9648957</v>
      </c>
      <c r="G4604" s="42" t="s">
        <v>763</v>
      </c>
      <c r="H4604" s="42" t="s">
        <v>121</v>
      </c>
      <c r="I4604" s="42" t="s">
        <v>893</v>
      </c>
    </row>
    <row r="4605" spans="1:9">
      <c r="A4605" s="42" t="s">
        <v>1088</v>
      </c>
      <c r="B4605" s="42" t="s">
        <v>261</v>
      </c>
      <c r="C4605" s="42" t="s">
        <v>1113</v>
      </c>
      <c r="D4605" s="42" t="s">
        <v>167</v>
      </c>
      <c r="E4605" s="42" t="s">
        <v>808</v>
      </c>
      <c r="F4605" s="45">
        <v>-1744632.050726257</v>
      </c>
      <c r="G4605" s="42" t="s">
        <v>763</v>
      </c>
      <c r="H4605" s="42" t="s">
        <v>121</v>
      </c>
      <c r="I4605" s="42" t="s">
        <v>893</v>
      </c>
    </row>
    <row r="4606" spans="1:9">
      <c r="A4606" s="42" t="s">
        <v>1088</v>
      </c>
      <c r="B4606" s="42" t="s">
        <v>1111</v>
      </c>
      <c r="C4606" s="42" t="s">
        <v>1114</v>
      </c>
      <c r="D4606" s="42" t="s">
        <v>167</v>
      </c>
      <c r="E4606" s="42" t="s">
        <v>808</v>
      </c>
      <c r="F4606" s="45">
        <v>700150857.1315129</v>
      </c>
      <c r="G4606" s="42" t="s">
        <v>763</v>
      </c>
      <c r="H4606" s="42" t="s">
        <v>121</v>
      </c>
      <c r="I4606" s="42" t="s">
        <v>893</v>
      </c>
    </row>
    <row r="4607" spans="1:9">
      <c r="A4607" s="42" t="s">
        <v>1088</v>
      </c>
      <c r="B4607" s="42" t="s">
        <v>261</v>
      </c>
      <c r="C4607" s="42" t="s">
        <v>1125</v>
      </c>
      <c r="D4607" s="42" t="s">
        <v>167</v>
      </c>
      <c r="E4607" s="42" t="s">
        <v>808</v>
      </c>
      <c r="F4607" s="45">
        <v>12231183.83950021</v>
      </c>
      <c r="G4607" s="42" t="s">
        <v>763</v>
      </c>
      <c r="H4607" s="42" t="s">
        <v>121</v>
      </c>
      <c r="I4607" s="42" t="s">
        <v>893</v>
      </c>
    </row>
    <row r="4608" spans="1:9">
      <c r="A4608" s="42" t="s">
        <v>1088</v>
      </c>
      <c r="B4608" s="42" t="s">
        <v>1111</v>
      </c>
      <c r="C4608" s="42" t="s">
        <v>1115</v>
      </c>
      <c r="D4608" s="42" t="s">
        <v>167</v>
      </c>
      <c r="E4608" s="42" t="s">
        <v>808</v>
      </c>
      <c r="F4608" s="45">
        <v>949680139.0964086</v>
      </c>
      <c r="G4608" s="42" t="s">
        <v>763</v>
      </c>
      <c r="H4608" s="42" t="s">
        <v>121</v>
      </c>
      <c r="I4608" s="42" t="s">
        <v>893</v>
      </c>
    </row>
    <row r="4609" spans="1:9">
      <c r="A4609" s="42" t="s">
        <v>1088</v>
      </c>
      <c r="B4609" s="42" t="s">
        <v>261</v>
      </c>
      <c r="C4609" s="42" t="s">
        <v>1116</v>
      </c>
      <c r="D4609" s="42" t="s">
        <v>167</v>
      </c>
      <c r="E4609" s="42" t="s">
        <v>808</v>
      </c>
      <c r="F4609" s="45">
        <v>10486551.78877395</v>
      </c>
      <c r="G4609" s="42" t="s">
        <v>763</v>
      </c>
      <c r="H4609" s="42" t="s">
        <v>121</v>
      </c>
      <c r="I4609" s="42" t="s">
        <v>893</v>
      </c>
    </row>
    <row r="4610" spans="1:9">
      <c r="A4610" s="42" t="s">
        <v>1088</v>
      </c>
      <c r="B4610" s="42" t="s">
        <v>219</v>
      </c>
      <c r="C4610" s="42" t="s">
        <v>1117</v>
      </c>
      <c r="D4610" s="42" t="s">
        <v>167</v>
      </c>
      <c r="E4610" s="42" t="s">
        <v>808</v>
      </c>
      <c r="F4610" s="45">
        <v>634914.7500734425</v>
      </c>
      <c r="G4610" s="42" t="s">
        <v>763</v>
      </c>
      <c r="H4610" s="42" t="s">
        <v>121</v>
      </c>
      <c r="I4610" s="42" t="s">
        <v>893</v>
      </c>
    </row>
    <row r="4611" spans="1:9">
      <c r="A4611" s="42" t="s">
        <v>1088</v>
      </c>
      <c r="B4611" s="42" t="s">
        <v>192</v>
      </c>
      <c r="C4611" s="42" t="s">
        <v>1089</v>
      </c>
      <c r="D4611" s="42" t="s">
        <v>168</v>
      </c>
      <c r="E4611" s="42" t="s">
        <v>808</v>
      </c>
      <c r="F4611" s="45">
        <v>5052263277.063681</v>
      </c>
      <c r="G4611" s="42" t="s">
        <v>763</v>
      </c>
      <c r="H4611" s="42" t="s">
        <v>123</v>
      </c>
      <c r="I4611" s="42" t="s">
        <v>893</v>
      </c>
    </row>
    <row r="4612" spans="1:9">
      <c r="A4612" s="42" t="s">
        <v>1088</v>
      </c>
      <c r="B4612" s="42" t="s">
        <v>193</v>
      </c>
      <c r="C4612" s="42" t="s">
        <v>1090</v>
      </c>
      <c r="D4612" s="42" t="s">
        <v>168</v>
      </c>
      <c r="E4612" s="42" t="s">
        <v>808</v>
      </c>
      <c r="F4612" s="45">
        <v>-3481032032.497527</v>
      </c>
      <c r="G4612" s="42" t="s">
        <v>763</v>
      </c>
      <c r="H4612" s="42" t="s">
        <v>123</v>
      </c>
      <c r="I4612" s="42" t="s">
        <v>893</v>
      </c>
    </row>
    <row r="4613" spans="1:9">
      <c r="A4613" s="42" t="s">
        <v>1088</v>
      </c>
      <c r="B4613" s="42" t="s">
        <v>194</v>
      </c>
      <c r="C4613" s="42" t="s">
        <v>1091</v>
      </c>
      <c r="D4613" s="42" t="s">
        <v>168</v>
      </c>
      <c r="E4613" s="42" t="s">
        <v>808</v>
      </c>
      <c r="F4613" s="45">
        <v>1571231244.566154</v>
      </c>
      <c r="G4613" s="42" t="s">
        <v>763</v>
      </c>
      <c r="H4613" s="42" t="s">
        <v>123</v>
      </c>
      <c r="I4613" s="42" t="s">
        <v>893</v>
      </c>
    </row>
    <row r="4614" spans="1:9">
      <c r="A4614" s="42" t="s">
        <v>1088</v>
      </c>
      <c r="B4614" s="42" t="s">
        <v>195</v>
      </c>
      <c r="C4614" s="42" t="s">
        <v>1092</v>
      </c>
      <c r="D4614" s="42" t="s">
        <v>168</v>
      </c>
      <c r="E4614" s="42" t="s">
        <v>808</v>
      </c>
      <c r="F4614" s="45">
        <v>-532777807.8990908</v>
      </c>
      <c r="G4614" s="42" t="s">
        <v>763</v>
      </c>
      <c r="H4614" s="42" t="s">
        <v>123</v>
      </c>
      <c r="I4614" s="42" t="s">
        <v>893</v>
      </c>
    </row>
    <row r="4615" spans="1:9">
      <c r="A4615" s="42" t="s">
        <v>1088</v>
      </c>
      <c r="B4615" s="42" t="s">
        <v>196</v>
      </c>
      <c r="C4615" s="42" t="s">
        <v>1093</v>
      </c>
      <c r="D4615" s="42" t="s">
        <v>168</v>
      </c>
      <c r="E4615" s="42" t="s">
        <v>808</v>
      </c>
      <c r="F4615" s="45">
        <v>-162918260.4134601</v>
      </c>
      <c r="G4615" s="42" t="s">
        <v>763</v>
      </c>
      <c r="H4615" s="42" t="s">
        <v>123</v>
      </c>
      <c r="I4615" s="42" t="s">
        <v>893</v>
      </c>
    </row>
    <row r="4616" spans="1:9">
      <c r="A4616" s="42" t="s">
        <v>1088</v>
      </c>
      <c r="B4616" s="42" t="s">
        <v>197</v>
      </c>
      <c r="C4616" s="42" t="s">
        <v>1094</v>
      </c>
      <c r="D4616" s="42" t="s">
        <v>168</v>
      </c>
      <c r="E4616" s="42" t="s">
        <v>808</v>
      </c>
      <c r="F4616" s="45">
        <v>-13165368.84286104</v>
      </c>
      <c r="G4616" s="42" t="s">
        <v>763</v>
      </c>
      <c r="H4616" s="42" t="s">
        <v>123</v>
      </c>
      <c r="I4616" s="42" t="s">
        <v>893</v>
      </c>
    </row>
    <row r="4617" spans="1:9">
      <c r="A4617" s="42" t="s">
        <v>1088</v>
      </c>
      <c r="B4617" s="42" t="s">
        <v>199</v>
      </c>
      <c r="C4617" s="42" t="s">
        <v>1097</v>
      </c>
      <c r="D4617" s="42" t="s">
        <v>168</v>
      </c>
      <c r="E4617" s="42" t="s">
        <v>808</v>
      </c>
      <c r="F4617" s="45">
        <v>-11614008.57354773</v>
      </c>
      <c r="G4617" s="42" t="s">
        <v>763</v>
      </c>
      <c r="H4617" s="42" t="s">
        <v>123</v>
      </c>
      <c r="I4617" s="42" t="s">
        <v>893</v>
      </c>
    </row>
    <row r="4618" spans="1:9">
      <c r="A4618" s="42" t="s">
        <v>1088</v>
      </c>
      <c r="B4618" s="42" t="s">
        <v>200</v>
      </c>
      <c r="C4618" s="42" t="s">
        <v>1098</v>
      </c>
      <c r="D4618" s="42" t="s">
        <v>168</v>
      </c>
      <c r="E4618" s="42" t="s">
        <v>808</v>
      </c>
      <c r="F4618" s="45">
        <v>850755798.8371944</v>
      </c>
      <c r="G4618" s="42" t="s">
        <v>763</v>
      </c>
      <c r="H4618" s="42" t="s">
        <v>123</v>
      </c>
      <c r="I4618" s="42" t="s">
        <v>893</v>
      </c>
    </row>
    <row r="4619" spans="1:9">
      <c r="A4619" s="42" t="s">
        <v>1088</v>
      </c>
      <c r="B4619" s="42" t="s">
        <v>201</v>
      </c>
      <c r="C4619" s="42" t="s">
        <v>1099</v>
      </c>
      <c r="D4619" s="42" t="s">
        <v>168</v>
      </c>
      <c r="E4619" s="42" t="s">
        <v>808</v>
      </c>
      <c r="F4619" s="45">
        <v>131102658.824756</v>
      </c>
      <c r="G4619" s="42" t="s">
        <v>763</v>
      </c>
      <c r="H4619" s="42" t="s">
        <v>123</v>
      </c>
      <c r="I4619" s="42" t="s">
        <v>893</v>
      </c>
    </row>
    <row r="4620" spans="1:9">
      <c r="A4620" s="42" t="s">
        <v>1088</v>
      </c>
      <c r="B4620" s="42" t="s">
        <v>202</v>
      </c>
      <c r="C4620" s="42" t="s">
        <v>1100</v>
      </c>
      <c r="D4620" s="42" t="s">
        <v>168</v>
      </c>
      <c r="E4620" s="42" t="s">
        <v>808</v>
      </c>
      <c r="F4620" s="45">
        <v>455540412.195738</v>
      </c>
      <c r="G4620" s="42" t="s">
        <v>763</v>
      </c>
      <c r="H4620" s="42" t="s">
        <v>123</v>
      </c>
      <c r="I4620" s="42" t="s">
        <v>893</v>
      </c>
    </row>
    <row r="4621" spans="1:9">
      <c r="A4621" s="42" t="s">
        <v>1088</v>
      </c>
      <c r="B4621" s="42" t="s">
        <v>203</v>
      </c>
      <c r="C4621" s="42" t="s">
        <v>1129</v>
      </c>
      <c r="D4621" s="42" t="s">
        <v>168</v>
      </c>
      <c r="E4621" s="42" t="s">
        <v>808</v>
      </c>
      <c r="F4621" s="45">
        <v>-516780994.63027</v>
      </c>
      <c r="G4621" s="42" t="s">
        <v>763</v>
      </c>
      <c r="H4621" s="42" t="s">
        <v>123</v>
      </c>
      <c r="I4621" s="42" t="s">
        <v>893</v>
      </c>
    </row>
    <row r="4622" spans="1:9">
      <c r="A4622" s="42" t="s">
        <v>1088</v>
      </c>
      <c r="B4622" s="42" t="s">
        <v>225</v>
      </c>
      <c r="C4622" s="42" t="s">
        <v>1101</v>
      </c>
      <c r="D4622" s="42" t="s">
        <v>168</v>
      </c>
      <c r="E4622" s="42" t="s">
        <v>808</v>
      </c>
      <c r="F4622" s="45">
        <v>-516780994.63027</v>
      </c>
      <c r="G4622" s="42" t="s">
        <v>763</v>
      </c>
      <c r="H4622" s="42" t="s">
        <v>112</v>
      </c>
      <c r="I4622" s="42" t="s">
        <v>864</v>
      </c>
    </row>
    <row r="4623" spans="1:9">
      <c r="A4623" s="42" t="s">
        <v>1088</v>
      </c>
      <c r="B4623" s="42" t="s">
        <v>204</v>
      </c>
      <c r="C4623" s="42" t="s">
        <v>1102</v>
      </c>
      <c r="D4623" s="42" t="s">
        <v>168</v>
      </c>
      <c r="E4623" s="42" t="s">
        <v>808</v>
      </c>
      <c r="F4623" s="45">
        <v>59485765.08071858</v>
      </c>
      <c r="G4623" s="42" t="s">
        <v>763</v>
      </c>
      <c r="H4623" s="42" t="s">
        <v>123</v>
      </c>
      <c r="I4623" s="42" t="s">
        <v>893</v>
      </c>
    </row>
    <row r="4624" spans="1:9">
      <c r="A4624" s="42" t="s">
        <v>1088</v>
      </c>
      <c r="B4624" s="42" t="s">
        <v>205</v>
      </c>
      <c r="C4624" s="42" t="s">
        <v>1103</v>
      </c>
      <c r="D4624" s="42" t="s">
        <v>168</v>
      </c>
      <c r="E4624" s="42" t="s">
        <v>808</v>
      </c>
      <c r="F4624" s="45">
        <v>-1754817.353813417</v>
      </c>
      <c r="G4624" s="42" t="s">
        <v>763</v>
      </c>
      <c r="H4624" s="42" t="s">
        <v>123</v>
      </c>
      <c r="I4624" s="42" t="s">
        <v>893</v>
      </c>
    </row>
    <row r="4625" spans="1:9">
      <c r="A4625" s="42" t="s">
        <v>1088</v>
      </c>
      <c r="B4625" s="42" t="s">
        <v>206</v>
      </c>
      <c r="C4625" s="42" t="s">
        <v>1104</v>
      </c>
      <c r="D4625" s="42" t="s">
        <v>168</v>
      </c>
      <c r="E4625" s="42" t="s">
        <v>808</v>
      </c>
      <c r="F4625" s="45">
        <v>980103640.3081371</v>
      </c>
      <c r="G4625" s="42" t="s">
        <v>763</v>
      </c>
      <c r="H4625" s="42" t="s">
        <v>123</v>
      </c>
      <c r="I4625" s="42" t="s">
        <v>893</v>
      </c>
    </row>
    <row r="4626" spans="1:9">
      <c r="A4626" s="42" t="s">
        <v>1088</v>
      </c>
      <c r="B4626" s="42" t="s">
        <v>207</v>
      </c>
      <c r="C4626" s="42" t="s">
        <v>1105</v>
      </c>
      <c r="D4626" s="42" t="s">
        <v>168</v>
      </c>
      <c r="E4626" s="42" t="s">
        <v>808</v>
      </c>
      <c r="F4626" s="45">
        <v>-182695984.5025746</v>
      </c>
      <c r="G4626" s="42" t="s">
        <v>763</v>
      </c>
      <c r="H4626" s="42" t="s">
        <v>123</v>
      </c>
      <c r="I4626" s="42" t="s">
        <v>893</v>
      </c>
    </row>
    <row r="4627" spans="1:9">
      <c r="A4627" s="42" t="s">
        <v>1088</v>
      </c>
      <c r="B4627" s="42" t="s">
        <v>208</v>
      </c>
      <c r="C4627" s="42" t="s">
        <v>1106</v>
      </c>
      <c r="D4627" s="42" t="s">
        <v>168</v>
      </c>
      <c r="E4627" s="42" t="s">
        <v>808</v>
      </c>
      <c r="F4627" s="45">
        <v>797407655.8055624</v>
      </c>
      <c r="G4627" s="42" t="s">
        <v>763</v>
      </c>
      <c r="H4627" s="42" t="s">
        <v>123</v>
      </c>
      <c r="I4627" s="42" t="s">
        <v>893</v>
      </c>
    </row>
    <row r="4628" spans="1:9">
      <c r="A4628" s="42" t="s">
        <v>1088</v>
      </c>
      <c r="B4628" s="42" t="s">
        <v>209</v>
      </c>
      <c r="C4628" s="42" t="s">
        <v>1130</v>
      </c>
      <c r="D4628" s="42" t="s">
        <v>168</v>
      </c>
      <c r="E4628" s="42" t="s">
        <v>808</v>
      </c>
      <c r="F4628" s="45">
        <v>-58324364.2233638</v>
      </c>
      <c r="G4628" s="42" t="s">
        <v>763</v>
      </c>
      <c r="H4628" s="42" t="s">
        <v>123</v>
      </c>
      <c r="I4628" s="42" t="s">
        <v>893</v>
      </c>
    </row>
    <row r="4629" spans="1:9">
      <c r="A4629" s="42" t="s">
        <v>1088</v>
      </c>
      <c r="B4629" s="42" t="s">
        <v>210</v>
      </c>
      <c r="C4629" s="42" t="s">
        <v>1124</v>
      </c>
      <c r="D4629" s="42" t="s">
        <v>168</v>
      </c>
      <c r="E4629" s="42" t="s">
        <v>808</v>
      </c>
      <c r="F4629" s="45">
        <v>91759145.10954794</v>
      </c>
      <c r="G4629" s="42" t="s">
        <v>763</v>
      </c>
      <c r="H4629" s="42" t="s">
        <v>123</v>
      </c>
      <c r="I4629" s="42" t="s">
        <v>893</v>
      </c>
    </row>
    <row r="4630" spans="1:9">
      <c r="A4630" s="42" t="s">
        <v>1088</v>
      </c>
      <c r="B4630" s="42" t="s">
        <v>227</v>
      </c>
      <c r="C4630" s="42" t="s">
        <v>1107</v>
      </c>
      <c r="D4630" s="42" t="s">
        <v>168</v>
      </c>
      <c r="E4630" s="42" t="s">
        <v>808</v>
      </c>
      <c r="F4630" s="45">
        <v>-58324364.2233638</v>
      </c>
      <c r="G4630" s="42" t="s">
        <v>763</v>
      </c>
      <c r="H4630" s="42" t="s">
        <v>112</v>
      </c>
      <c r="I4630" s="42" t="s">
        <v>864</v>
      </c>
    </row>
    <row r="4631" spans="1:9">
      <c r="A4631" s="42" t="s">
        <v>1088</v>
      </c>
      <c r="B4631" s="42" t="s">
        <v>211</v>
      </c>
      <c r="C4631" s="42" t="s">
        <v>1108</v>
      </c>
      <c r="D4631" s="42" t="s">
        <v>168</v>
      </c>
      <c r="E4631" s="42" t="s">
        <v>808</v>
      </c>
      <c r="F4631" s="45">
        <v>1116674208.278833</v>
      </c>
      <c r="G4631" s="42" t="s">
        <v>763</v>
      </c>
      <c r="H4631" s="42" t="s">
        <v>123</v>
      </c>
      <c r="I4631" s="42" t="s">
        <v>893</v>
      </c>
    </row>
    <row r="4632" spans="1:9">
      <c r="A4632" s="42" t="s">
        <v>1088</v>
      </c>
      <c r="B4632" s="42" t="s">
        <v>228</v>
      </c>
      <c r="C4632" s="42" t="s">
        <v>1109</v>
      </c>
      <c r="D4632" s="42" t="s">
        <v>168</v>
      </c>
      <c r="E4632" s="42" t="s">
        <v>808</v>
      </c>
      <c r="F4632" s="45">
        <v>1083239427.392649</v>
      </c>
      <c r="G4632" s="42" t="s">
        <v>763</v>
      </c>
      <c r="H4632" s="42" t="s">
        <v>123</v>
      </c>
      <c r="I4632" s="42" t="s">
        <v>884</v>
      </c>
    </row>
    <row r="4633" spans="1:9">
      <c r="A4633" s="42" t="s">
        <v>1088</v>
      </c>
      <c r="B4633" s="42" t="s">
        <v>212</v>
      </c>
      <c r="C4633" s="42" t="s">
        <v>1110</v>
      </c>
      <c r="D4633" s="42" t="s">
        <v>168</v>
      </c>
      <c r="E4633" s="42" t="s">
        <v>808</v>
      </c>
      <c r="F4633" s="45">
        <v>1914081864.084396</v>
      </c>
      <c r="G4633" s="42" t="s">
        <v>763</v>
      </c>
      <c r="H4633" s="42" t="s">
        <v>123</v>
      </c>
      <c r="I4633" s="42" t="s">
        <v>893</v>
      </c>
    </row>
    <row r="4634" spans="1:9">
      <c r="A4634" s="42" t="s">
        <v>1088</v>
      </c>
      <c r="B4634" s="42" t="s">
        <v>1111</v>
      </c>
      <c r="C4634" s="42" t="s">
        <v>1112</v>
      </c>
      <c r="D4634" s="42" t="s">
        <v>168</v>
      </c>
      <c r="E4634" s="42" t="s">
        <v>808</v>
      </c>
      <c r="F4634" s="45">
        <v>789133734.3692247</v>
      </c>
      <c r="G4634" s="42" t="s">
        <v>763</v>
      </c>
      <c r="H4634" s="42" t="s">
        <v>123</v>
      </c>
      <c r="I4634" s="42" t="s">
        <v>893</v>
      </c>
    </row>
    <row r="4635" spans="1:9">
      <c r="A4635" s="42" t="s">
        <v>1088</v>
      </c>
      <c r="B4635" s="42" t="s">
        <v>261</v>
      </c>
      <c r="C4635" s="42" t="s">
        <v>1113</v>
      </c>
      <c r="D4635" s="42" t="s">
        <v>168</v>
      </c>
      <c r="E4635" s="42" t="s">
        <v>808</v>
      </c>
      <c r="F4635" s="45">
        <v>8273921.436337655</v>
      </c>
      <c r="G4635" s="42" t="s">
        <v>763</v>
      </c>
      <c r="H4635" s="42" t="s">
        <v>123</v>
      </c>
      <c r="I4635" s="42" t="s">
        <v>893</v>
      </c>
    </row>
    <row r="4636" spans="1:9">
      <c r="A4636" s="42" t="s">
        <v>1088</v>
      </c>
      <c r="B4636" s="42" t="s">
        <v>1111</v>
      </c>
      <c r="C4636" s="42" t="s">
        <v>1114</v>
      </c>
      <c r="D4636" s="42" t="s">
        <v>168</v>
      </c>
      <c r="E4636" s="42" t="s">
        <v>808</v>
      </c>
      <c r="F4636" s="45">
        <v>1102364393.335659</v>
      </c>
      <c r="G4636" s="42" t="s">
        <v>763</v>
      </c>
      <c r="H4636" s="42" t="s">
        <v>123</v>
      </c>
      <c r="I4636" s="42" t="s">
        <v>893</v>
      </c>
    </row>
    <row r="4637" spans="1:9">
      <c r="A4637" s="42" t="s">
        <v>1088</v>
      </c>
      <c r="B4637" s="42" t="s">
        <v>261</v>
      </c>
      <c r="C4637" s="42" t="s">
        <v>1125</v>
      </c>
      <c r="D4637" s="42" t="s">
        <v>168</v>
      </c>
      <c r="E4637" s="42" t="s">
        <v>808</v>
      </c>
      <c r="F4637" s="45">
        <v>14309814.94317414</v>
      </c>
      <c r="G4637" s="42" t="s">
        <v>763</v>
      </c>
      <c r="H4637" s="42" t="s">
        <v>123</v>
      </c>
      <c r="I4637" s="42" t="s">
        <v>893</v>
      </c>
    </row>
    <row r="4638" spans="1:9">
      <c r="A4638" s="42" t="s">
        <v>1088</v>
      </c>
      <c r="B4638" s="42" t="s">
        <v>1111</v>
      </c>
      <c r="C4638" s="42" t="s">
        <v>1115</v>
      </c>
      <c r="D4638" s="42" t="s">
        <v>168</v>
      </c>
      <c r="E4638" s="42" t="s">
        <v>808</v>
      </c>
      <c r="F4638" s="45">
        <v>1891498127.704884</v>
      </c>
      <c r="G4638" s="42" t="s">
        <v>763</v>
      </c>
      <c r="H4638" s="42" t="s">
        <v>123</v>
      </c>
      <c r="I4638" s="42" t="s">
        <v>893</v>
      </c>
    </row>
    <row r="4639" spans="1:9">
      <c r="A4639" s="42" t="s">
        <v>1088</v>
      </c>
      <c r="B4639" s="42" t="s">
        <v>261</v>
      </c>
      <c r="C4639" s="42" t="s">
        <v>1116</v>
      </c>
      <c r="D4639" s="42" t="s">
        <v>168</v>
      </c>
      <c r="E4639" s="42" t="s">
        <v>808</v>
      </c>
      <c r="F4639" s="45">
        <v>22583736.3795118</v>
      </c>
      <c r="G4639" s="42" t="s">
        <v>763</v>
      </c>
      <c r="H4639" s="42" t="s">
        <v>123</v>
      </c>
      <c r="I4639" s="42" t="s">
        <v>893</v>
      </c>
    </row>
    <row r="4640" spans="1:9">
      <c r="A4640" s="42" t="s">
        <v>1088</v>
      </c>
      <c r="B4640" s="42" t="s">
        <v>219</v>
      </c>
      <c r="C4640" s="42" t="s">
        <v>1117</v>
      </c>
      <c r="D4640" s="42" t="s">
        <v>168</v>
      </c>
      <c r="E4640" s="42" t="s">
        <v>808</v>
      </c>
      <c r="F4640" s="45">
        <v>2007782.328875216</v>
      </c>
      <c r="G4640" s="42" t="s">
        <v>763</v>
      </c>
      <c r="H4640" s="42" t="s">
        <v>123</v>
      </c>
      <c r="I4640" s="42" t="s">
        <v>893</v>
      </c>
    </row>
    <row r="4641" spans="1:9">
      <c r="A4641" s="42" t="s">
        <v>1088</v>
      </c>
      <c r="B4641" s="42" t="s">
        <v>192</v>
      </c>
      <c r="C4641" s="42" t="s">
        <v>1089</v>
      </c>
      <c r="D4641" s="42" t="s">
        <v>169</v>
      </c>
      <c r="E4641" s="42" t="s">
        <v>808</v>
      </c>
      <c r="F4641" s="45">
        <v>5477322614.516336</v>
      </c>
      <c r="G4641" s="42" t="s">
        <v>763</v>
      </c>
      <c r="H4641" s="42" t="s">
        <v>125</v>
      </c>
      <c r="I4641" s="42" t="s">
        <v>893</v>
      </c>
    </row>
    <row r="4642" spans="1:9">
      <c r="A4642" s="42" t="s">
        <v>1088</v>
      </c>
      <c r="B4642" s="42" t="s">
        <v>193</v>
      </c>
      <c r="C4642" s="42" t="s">
        <v>1090</v>
      </c>
      <c r="D4642" s="42" t="s">
        <v>169</v>
      </c>
      <c r="E4642" s="42" t="s">
        <v>808</v>
      </c>
      <c r="F4642" s="45">
        <v>-3889836442.722435</v>
      </c>
      <c r="G4642" s="42" t="s">
        <v>763</v>
      </c>
      <c r="H4642" s="42" t="s">
        <v>125</v>
      </c>
      <c r="I4642" s="42" t="s">
        <v>893</v>
      </c>
    </row>
    <row r="4643" spans="1:9">
      <c r="A4643" s="42" t="s">
        <v>1088</v>
      </c>
      <c r="B4643" s="42" t="s">
        <v>194</v>
      </c>
      <c r="C4643" s="42" t="s">
        <v>1091</v>
      </c>
      <c r="D4643" s="42" t="s">
        <v>169</v>
      </c>
      <c r="E4643" s="42" t="s">
        <v>808</v>
      </c>
      <c r="F4643" s="45">
        <v>1587486171.7939</v>
      </c>
      <c r="G4643" s="42" t="s">
        <v>763</v>
      </c>
      <c r="H4643" s="42" t="s">
        <v>125</v>
      </c>
      <c r="I4643" s="42" t="s">
        <v>893</v>
      </c>
    </row>
    <row r="4644" spans="1:9">
      <c r="A4644" s="42" t="s">
        <v>1088</v>
      </c>
      <c r="B4644" s="42" t="s">
        <v>195</v>
      </c>
      <c r="C4644" s="42" t="s">
        <v>1092</v>
      </c>
      <c r="D4644" s="42" t="s">
        <v>169</v>
      </c>
      <c r="E4644" s="42" t="s">
        <v>808</v>
      </c>
      <c r="F4644" s="45">
        <v>-562409720.4556692</v>
      </c>
      <c r="G4644" s="42" t="s">
        <v>763</v>
      </c>
      <c r="H4644" s="42" t="s">
        <v>125</v>
      </c>
      <c r="I4644" s="42" t="s">
        <v>893</v>
      </c>
    </row>
    <row r="4645" spans="1:9">
      <c r="A4645" s="42" t="s">
        <v>1088</v>
      </c>
      <c r="B4645" s="42" t="s">
        <v>196</v>
      </c>
      <c r="C4645" s="42" t="s">
        <v>1093</v>
      </c>
      <c r="D4645" s="42" t="s">
        <v>169</v>
      </c>
      <c r="E4645" s="42" t="s">
        <v>808</v>
      </c>
      <c r="F4645" s="45">
        <v>-179813256.679754</v>
      </c>
      <c r="G4645" s="42" t="s">
        <v>763</v>
      </c>
      <c r="H4645" s="42" t="s">
        <v>125</v>
      </c>
      <c r="I4645" s="42" t="s">
        <v>893</v>
      </c>
    </row>
    <row r="4646" spans="1:9">
      <c r="A4646" s="42" t="s">
        <v>1088</v>
      </c>
      <c r="B4646" s="42" t="s">
        <v>197</v>
      </c>
      <c r="C4646" s="42" t="s">
        <v>1094</v>
      </c>
      <c r="D4646" s="42" t="s">
        <v>169</v>
      </c>
      <c r="E4646" s="42" t="s">
        <v>808</v>
      </c>
      <c r="F4646" s="45">
        <v>-19126872.64924323</v>
      </c>
      <c r="G4646" s="42" t="s">
        <v>763</v>
      </c>
      <c r="H4646" s="42" t="s">
        <v>125</v>
      </c>
      <c r="I4646" s="42" t="s">
        <v>893</v>
      </c>
    </row>
    <row r="4647" spans="1:9">
      <c r="A4647" s="42" t="s">
        <v>1088</v>
      </c>
      <c r="B4647" s="42" t="s">
        <v>198</v>
      </c>
      <c r="C4647" s="42" t="s">
        <v>1131</v>
      </c>
      <c r="D4647" s="42" t="s">
        <v>169</v>
      </c>
      <c r="E4647" s="42" t="s">
        <v>808</v>
      </c>
      <c r="F4647" s="45">
        <v>-104065530.0175563</v>
      </c>
      <c r="G4647" s="42" t="s">
        <v>763</v>
      </c>
      <c r="H4647" s="42" t="s">
        <v>125</v>
      </c>
      <c r="I4647" s="42" t="s">
        <v>893</v>
      </c>
    </row>
    <row r="4648" spans="1:9">
      <c r="A4648" s="42" t="s">
        <v>1088</v>
      </c>
      <c r="B4648" s="42" t="s">
        <v>199</v>
      </c>
      <c r="C4648" s="42" t="s">
        <v>1097</v>
      </c>
      <c r="D4648" s="42" t="s">
        <v>169</v>
      </c>
      <c r="E4648" s="42" t="s">
        <v>808</v>
      </c>
      <c r="F4648" s="45">
        <v>-18278592.5278923</v>
      </c>
      <c r="G4648" s="42" t="s">
        <v>763</v>
      </c>
      <c r="H4648" s="42" t="s">
        <v>125</v>
      </c>
      <c r="I4648" s="42" t="s">
        <v>893</v>
      </c>
    </row>
    <row r="4649" spans="1:9">
      <c r="A4649" s="42" t="s">
        <v>1088</v>
      </c>
      <c r="B4649" s="42" t="s">
        <v>200</v>
      </c>
      <c r="C4649" s="42" t="s">
        <v>1098</v>
      </c>
      <c r="D4649" s="42" t="s">
        <v>169</v>
      </c>
      <c r="E4649" s="42" t="s">
        <v>808</v>
      </c>
      <c r="F4649" s="45">
        <v>703792199.4637852</v>
      </c>
      <c r="G4649" s="42" t="s">
        <v>763</v>
      </c>
      <c r="H4649" s="42" t="s">
        <v>125</v>
      </c>
      <c r="I4649" s="42" t="s">
        <v>893</v>
      </c>
    </row>
    <row r="4650" spans="1:9">
      <c r="A4650" s="42" t="s">
        <v>1088</v>
      </c>
      <c r="B4650" s="42" t="s">
        <v>201</v>
      </c>
      <c r="C4650" s="42" t="s">
        <v>1099</v>
      </c>
      <c r="D4650" s="42" t="s">
        <v>169</v>
      </c>
      <c r="E4650" s="42" t="s">
        <v>808</v>
      </c>
      <c r="F4650" s="45">
        <v>140430930.0024268</v>
      </c>
      <c r="G4650" s="42" t="s">
        <v>763</v>
      </c>
      <c r="H4650" s="42" t="s">
        <v>125</v>
      </c>
      <c r="I4650" s="42" t="s">
        <v>893</v>
      </c>
    </row>
    <row r="4651" spans="1:9">
      <c r="A4651" s="42" t="s">
        <v>1088</v>
      </c>
      <c r="B4651" s="42" t="s">
        <v>202</v>
      </c>
      <c r="C4651" s="42" t="s">
        <v>1100</v>
      </c>
      <c r="D4651" s="42" t="s">
        <v>169</v>
      </c>
      <c r="E4651" s="42" t="s">
        <v>808</v>
      </c>
      <c r="F4651" s="45">
        <v>643851988.4542401</v>
      </c>
      <c r="G4651" s="42" t="s">
        <v>763</v>
      </c>
      <c r="H4651" s="42" t="s">
        <v>125</v>
      </c>
      <c r="I4651" s="42" t="s">
        <v>893</v>
      </c>
    </row>
    <row r="4652" spans="1:9">
      <c r="A4652" s="42" t="s">
        <v>1088</v>
      </c>
      <c r="B4652" s="42" t="s">
        <v>203</v>
      </c>
      <c r="C4652" s="42" t="s">
        <v>1129</v>
      </c>
      <c r="D4652" s="42" t="s">
        <v>169</v>
      </c>
      <c r="E4652" s="42" t="s">
        <v>808</v>
      </c>
      <c r="F4652" s="45">
        <v>-634557788.8637865</v>
      </c>
      <c r="G4652" s="42" t="s">
        <v>763</v>
      </c>
      <c r="H4652" s="42" t="s">
        <v>125</v>
      </c>
      <c r="I4652" s="42" t="s">
        <v>893</v>
      </c>
    </row>
    <row r="4653" spans="1:9">
      <c r="A4653" s="42" t="s">
        <v>1088</v>
      </c>
      <c r="B4653" s="42" t="s">
        <v>225</v>
      </c>
      <c r="C4653" s="42" t="s">
        <v>1101</v>
      </c>
      <c r="D4653" s="42" t="s">
        <v>169</v>
      </c>
      <c r="E4653" s="42" t="s">
        <v>808</v>
      </c>
      <c r="F4653" s="45">
        <v>-634557788.8637865</v>
      </c>
      <c r="G4653" s="42" t="s">
        <v>763</v>
      </c>
      <c r="H4653" s="42" t="s">
        <v>114</v>
      </c>
      <c r="I4653" s="42" t="s">
        <v>864</v>
      </c>
    </row>
    <row r="4654" spans="1:9">
      <c r="A4654" s="42" t="s">
        <v>1088</v>
      </c>
      <c r="B4654" s="42" t="s">
        <v>204</v>
      </c>
      <c r="C4654" s="42" t="s">
        <v>1102</v>
      </c>
      <c r="D4654" s="42" t="s">
        <v>169</v>
      </c>
      <c r="E4654" s="42" t="s">
        <v>808</v>
      </c>
      <c r="F4654" s="45">
        <v>114171127.9849544</v>
      </c>
      <c r="G4654" s="42" t="s">
        <v>763</v>
      </c>
      <c r="H4654" s="42" t="s">
        <v>125</v>
      </c>
      <c r="I4654" s="42" t="s">
        <v>893</v>
      </c>
    </row>
    <row r="4655" spans="1:9">
      <c r="A4655" s="42" t="s">
        <v>1088</v>
      </c>
      <c r="B4655" s="42" t="s">
        <v>205</v>
      </c>
      <c r="C4655" s="42" t="s">
        <v>1103</v>
      </c>
      <c r="D4655" s="42" t="s">
        <v>169</v>
      </c>
      <c r="E4655" s="42" t="s">
        <v>808</v>
      </c>
      <c r="F4655" s="45">
        <v>123465327.5754081</v>
      </c>
      <c r="G4655" s="42" t="s">
        <v>763</v>
      </c>
      <c r="H4655" s="42" t="s">
        <v>125</v>
      </c>
      <c r="I4655" s="42" t="s">
        <v>893</v>
      </c>
    </row>
    <row r="4656" spans="1:9">
      <c r="A4656" s="42" t="s">
        <v>1088</v>
      </c>
      <c r="B4656" s="42" t="s">
        <v>206</v>
      </c>
      <c r="C4656" s="42" t="s">
        <v>1104</v>
      </c>
      <c r="D4656" s="42" t="s">
        <v>169</v>
      </c>
      <c r="E4656" s="42" t="s">
        <v>808</v>
      </c>
      <c r="F4656" s="45">
        <v>967688457.04162</v>
      </c>
      <c r="G4656" s="42" t="s">
        <v>763</v>
      </c>
      <c r="H4656" s="42" t="s">
        <v>125</v>
      </c>
      <c r="I4656" s="42" t="s">
        <v>893</v>
      </c>
    </row>
    <row r="4657" spans="1:9">
      <c r="A4657" s="42" t="s">
        <v>1088</v>
      </c>
      <c r="B4657" s="42" t="s">
        <v>207</v>
      </c>
      <c r="C4657" s="42" t="s">
        <v>1105</v>
      </c>
      <c r="D4657" s="42" t="s">
        <v>169</v>
      </c>
      <c r="E4657" s="42" t="s">
        <v>808</v>
      </c>
      <c r="F4657" s="45">
        <v>-287721864.4644741</v>
      </c>
      <c r="G4657" s="42" t="s">
        <v>763</v>
      </c>
      <c r="H4657" s="42" t="s">
        <v>125</v>
      </c>
      <c r="I4657" s="42" t="s">
        <v>893</v>
      </c>
    </row>
    <row r="4658" spans="1:9">
      <c r="A4658" s="42" t="s">
        <v>1088</v>
      </c>
      <c r="B4658" s="42" t="s">
        <v>208</v>
      </c>
      <c r="C4658" s="42" t="s">
        <v>1106</v>
      </c>
      <c r="D4658" s="42" t="s">
        <v>169</v>
      </c>
      <c r="E4658" s="42" t="s">
        <v>808</v>
      </c>
      <c r="F4658" s="45">
        <v>679966592.5771459</v>
      </c>
      <c r="G4658" s="42" t="s">
        <v>763</v>
      </c>
      <c r="H4658" s="42" t="s">
        <v>125</v>
      </c>
      <c r="I4658" s="42" t="s">
        <v>893</v>
      </c>
    </row>
    <row r="4659" spans="1:9">
      <c r="A4659" s="42" t="s">
        <v>1088</v>
      </c>
      <c r="B4659" s="42" t="s">
        <v>209</v>
      </c>
      <c r="C4659" s="42" t="s">
        <v>1130</v>
      </c>
      <c r="D4659" s="42" t="s">
        <v>169</v>
      </c>
      <c r="E4659" s="42" t="s">
        <v>808</v>
      </c>
      <c r="F4659" s="45">
        <v>-78779406.05241716</v>
      </c>
      <c r="G4659" s="42" t="s">
        <v>763</v>
      </c>
      <c r="H4659" s="42" t="s">
        <v>125</v>
      </c>
      <c r="I4659" s="42" t="s">
        <v>893</v>
      </c>
    </row>
    <row r="4660" spans="1:9">
      <c r="A4660" s="42" t="s">
        <v>1088</v>
      </c>
      <c r="B4660" s="42" t="s">
        <v>210</v>
      </c>
      <c r="C4660" s="42" t="s">
        <v>1124</v>
      </c>
      <c r="D4660" s="42" t="s">
        <v>169</v>
      </c>
      <c r="E4660" s="42" t="s">
        <v>808</v>
      </c>
      <c r="F4660" s="45">
        <v>129587697.1468974</v>
      </c>
      <c r="G4660" s="42" t="s">
        <v>763</v>
      </c>
      <c r="H4660" s="42" t="s">
        <v>125</v>
      </c>
      <c r="I4660" s="42" t="s">
        <v>893</v>
      </c>
    </row>
    <row r="4661" spans="1:9">
      <c r="A4661" s="42" t="s">
        <v>1088</v>
      </c>
      <c r="B4661" s="42" t="s">
        <v>227</v>
      </c>
      <c r="C4661" s="42" t="s">
        <v>1107</v>
      </c>
      <c r="D4661" s="42" t="s">
        <v>169</v>
      </c>
      <c r="E4661" s="42" t="s">
        <v>808</v>
      </c>
      <c r="F4661" s="45">
        <v>-78779406.05241716</v>
      </c>
      <c r="G4661" s="42" t="s">
        <v>763</v>
      </c>
      <c r="H4661" s="42" t="s">
        <v>114</v>
      </c>
      <c r="I4661" s="42" t="s">
        <v>864</v>
      </c>
    </row>
    <row r="4662" spans="1:9">
      <c r="A4662" s="42" t="s">
        <v>1088</v>
      </c>
      <c r="B4662" s="42" t="s">
        <v>211</v>
      </c>
      <c r="C4662" s="42" t="s">
        <v>1108</v>
      </c>
      <c r="D4662" s="42" t="s">
        <v>169</v>
      </c>
      <c r="E4662" s="42" t="s">
        <v>808</v>
      </c>
      <c r="F4662" s="45">
        <v>1638080548.770822</v>
      </c>
      <c r="G4662" s="42" t="s">
        <v>763</v>
      </c>
      <c r="H4662" s="42" t="s">
        <v>125</v>
      </c>
      <c r="I4662" s="42" t="s">
        <v>893</v>
      </c>
    </row>
    <row r="4663" spans="1:9">
      <c r="A4663" s="42" t="s">
        <v>1088</v>
      </c>
      <c r="B4663" s="42" t="s">
        <v>228</v>
      </c>
      <c r="C4663" s="42" t="s">
        <v>1109</v>
      </c>
      <c r="D4663" s="42" t="s">
        <v>169</v>
      </c>
      <c r="E4663" s="42" t="s">
        <v>808</v>
      </c>
      <c r="F4663" s="45">
        <v>1587272257.676342</v>
      </c>
      <c r="G4663" s="42" t="s">
        <v>763</v>
      </c>
      <c r="H4663" s="42" t="s">
        <v>125</v>
      </c>
      <c r="I4663" s="42" t="s">
        <v>884</v>
      </c>
    </row>
    <row r="4664" spans="1:9">
      <c r="A4664" s="42" t="s">
        <v>1088</v>
      </c>
      <c r="B4664" s="42" t="s">
        <v>212</v>
      </c>
      <c r="C4664" s="42" t="s">
        <v>1110</v>
      </c>
      <c r="D4664" s="42" t="s">
        <v>169</v>
      </c>
      <c r="E4664" s="42" t="s">
        <v>808</v>
      </c>
      <c r="F4664" s="45">
        <v>2318047141.347968</v>
      </c>
      <c r="G4664" s="42" t="s">
        <v>763</v>
      </c>
      <c r="H4664" s="42" t="s">
        <v>125</v>
      </c>
      <c r="I4664" s="42" t="s">
        <v>893</v>
      </c>
    </row>
    <row r="4665" spans="1:9">
      <c r="A4665" s="42" t="s">
        <v>1088</v>
      </c>
      <c r="B4665" s="42" t="s">
        <v>1111</v>
      </c>
      <c r="C4665" s="42" t="s">
        <v>1112</v>
      </c>
      <c r="D4665" s="42" t="s">
        <v>169</v>
      </c>
      <c r="E4665" s="42" t="s">
        <v>808</v>
      </c>
      <c r="F4665" s="45">
        <v>677856956.7970905</v>
      </c>
      <c r="G4665" s="42" t="s">
        <v>763</v>
      </c>
      <c r="H4665" s="42" t="s">
        <v>125</v>
      </c>
      <c r="I4665" s="42" t="s">
        <v>893</v>
      </c>
    </row>
    <row r="4666" spans="1:9">
      <c r="A4666" s="42" t="s">
        <v>1088</v>
      </c>
      <c r="B4666" s="42" t="s">
        <v>261</v>
      </c>
      <c r="C4666" s="42" t="s">
        <v>1113</v>
      </c>
      <c r="D4666" s="42" t="s">
        <v>169</v>
      </c>
      <c r="E4666" s="42" t="s">
        <v>808</v>
      </c>
      <c r="F4666" s="45">
        <v>2109635.780055366</v>
      </c>
      <c r="G4666" s="42" t="s">
        <v>763</v>
      </c>
      <c r="H4666" s="42" t="s">
        <v>125</v>
      </c>
      <c r="I4666" s="42" t="s">
        <v>893</v>
      </c>
    </row>
    <row r="4667" spans="1:9">
      <c r="A4667" s="42" t="s">
        <v>1088</v>
      </c>
      <c r="B4667" s="42" t="s">
        <v>1111</v>
      </c>
      <c r="C4667" s="42" t="s">
        <v>1114</v>
      </c>
      <c r="D4667" s="42" t="s">
        <v>169</v>
      </c>
      <c r="E4667" s="42" t="s">
        <v>808</v>
      </c>
      <c r="F4667" s="45">
        <v>1619543784.032084</v>
      </c>
      <c r="G4667" s="42" t="s">
        <v>763</v>
      </c>
      <c r="H4667" s="42" t="s">
        <v>125</v>
      </c>
      <c r="I4667" s="42" t="s">
        <v>893</v>
      </c>
    </row>
    <row r="4668" spans="1:9">
      <c r="A4668" s="42" t="s">
        <v>1088</v>
      </c>
      <c r="B4668" s="42" t="s">
        <v>261</v>
      </c>
      <c r="C4668" s="42" t="s">
        <v>1125</v>
      </c>
      <c r="D4668" s="42" t="s">
        <v>169</v>
      </c>
      <c r="E4668" s="42" t="s">
        <v>808</v>
      </c>
      <c r="F4668" s="45">
        <v>18536764.73873823</v>
      </c>
      <c r="G4668" s="42" t="s">
        <v>763</v>
      </c>
      <c r="H4668" s="42" t="s">
        <v>125</v>
      </c>
      <c r="I4668" s="42" t="s">
        <v>893</v>
      </c>
    </row>
    <row r="4669" spans="1:9">
      <c r="A4669" s="42" t="s">
        <v>1088</v>
      </c>
      <c r="B4669" s="42" t="s">
        <v>1111</v>
      </c>
      <c r="C4669" s="42" t="s">
        <v>1115</v>
      </c>
      <c r="D4669" s="42" t="s">
        <v>169</v>
      </c>
      <c r="E4669" s="42" t="s">
        <v>808</v>
      </c>
      <c r="F4669" s="45">
        <v>2297400740.829175</v>
      </c>
      <c r="G4669" s="42" t="s">
        <v>763</v>
      </c>
      <c r="H4669" s="42" t="s">
        <v>125</v>
      </c>
      <c r="I4669" s="42" t="s">
        <v>893</v>
      </c>
    </row>
    <row r="4670" spans="1:9">
      <c r="A4670" s="42" t="s">
        <v>1088</v>
      </c>
      <c r="B4670" s="42" t="s">
        <v>261</v>
      </c>
      <c r="C4670" s="42" t="s">
        <v>1116</v>
      </c>
      <c r="D4670" s="42" t="s">
        <v>169</v>
      </c>
      <c r="E4670" s="42" t="s">
        <v>808</v>
      </c>
      <c r="F4670" s="45">
        <v>20646400.5187936</v>
      </c>
      <c r="G4670" s="42" t="s">
        <v>763</v>
      </c>
      <c r="H4670" s="42" t="s">
        <v>125</v>
      </c>
      <c r="I4670" s="42" t="s">
        <v>893</v>
      </c>
    </row>
    <row r="4671" spans="1:9">
      <c r="A4671" s="42" t="s">
        <v>1088</v>
      </c>
      <c r="B4671" s="42" t="s">
        <v>219</v>
      </c>
      <c r="C4671" s="42" t="s">
        <v>1117</v>
      </c>
      <c r="D4671" s="42" t="s">
        <v>169</v>
      </c>
      <c r="E4671" s="42" t="s">
        <v>808</v>
      </c>
      <c r="F4671" s="45">
        <v>1724000.26054035</v>
      </c>
      <c r="G4671" s="42" t="s">
        <v>763</v>
      </c>
      <c r="H4671" s="42" t="s">
        <v>125</v>
      </c>
      <c r="I4671" s="42" t="s">
        <v>893</v>
      </c>
    </row>
    <row r="4672" spans="1:9">
      <c r="A4672" s="42" t="s">
        <v>1088</v>
      </c>
      <c r="B4672" s="42" t="s">
        <v>192</v>
      </c>
      <c r="C4672" s="42" t="s">
        <v>1089</v>
      </c>
      <c r="D4672" s="42" t="s">
        <v>170</v>
      </c>
      <c r="E4672" s="42" t="s">
        <v>808</v>
      </c>
      <c r="F4672" s="45">
        <v>4854288653.807511</v>
      </c>
      <c r="G4672" s="42" t="s">
        <v>1025</v>
      </c>
      <c r="H4672" s="42" t="s">
        <v>1072</v>
      </c>
      <c r="I4672" s="42" t="s">
        <v>893</v>
      </c>
    </row>
    <row r="4673" spans="1:9">
      <c r="A4673" s="42" t="s">
        <v>1088</v>
      </c>
      <c r="B4673" s="42" t="s">
        <v>193</v>
      </c>
      <c r="C4673" s="42" t="s">
        <v>1090</v>
      </c>
      <c r="D4673" s="42" t="s">
        <v>170</v>
      </c>
      <c r="E4673" s="42" t="s">
        <v>808</v>
      </c>
      <c r="F4673" s="45">
        <v>-3953851755.557528</v>
      </c>
      <c r="G4673" s="42" t="s">
        <v>1025</v>
      </c>
      <c r="H4673" s="42" t="s">
        <v>1072</v>
      </c>
      <c r="I4673" s="42" t="s">
        <v>893</v>
      </c>
    </row>
    <row r="4674" spans="1:9">
      <c r="A4674" s="42" t="s">
        <v>1088</v>
      </c>
      <c r="B4674" s="42" t="s">
        <v>194</v>
      </c>
      <c r="C4674" s="42" t="s">
        <v>1091</v>
      </c>
      <c r="D4674" s="42" t="s">
        <v>170</v>
      </c>
      <c r="E4674" s="42" t="s">
        <v>808</v>
      </c>
      <c r="F4674" s="45">
        <v>900436898.2499831</v>
      </c>
      <c r="G4674" s="42" t="s">
        <v>1025</v>
      </c>
      <c r="H4674" s="42" t="s">
        <v>1072</v>
      </c>
      <c r="I4674" s="42" t="s">
        <v>893</v>
      </c>
    </row>
    <row r="4675" spans="1:9">
      <c r="A4675" s="42" t="s">
        <v>1088</v>
      </c>
      <c r="B4675" s="42" t="s">
        <v>195</v>
      </c>
      <c r="C4675" s="42" t="s">
        <v>1092</v>
      </c>
      <c r="D4675" s="42" t="s">
        <v>170</v>
      </c>
      <c r="E4675" s="42" t="s">
        <v>808</v>
      </c>
      <c r="F4675" s="45">
        <v>-482199021.9459875</v>
      </c>
      <c r="G4675" s="42" t="s">
        <v>1025</v>
      </c>
      <c r="H4675" s="42" t="s">
        <v>1072</v>
      </c>
      <c r="I4675" s="42" t="s">
        <v>893</v>
      </c>
    </row>
    <row r="4676" spans="1:9">
      <c r="A4676" s="42" t="s">
        <v>1088</v>
      </c>
      <c r="B4676" s="42" t="s">
        <v>196</v>
      </c>
      <c r="C4676" s="42" t="s">
        <v>1093</v>
      </c>
      <c r="D4676" s="42" t="s">
        <v>170</v>
      </c>
      <c r="E4676" s="42" t="s">
        <v>808</v>
      </c>
      <c r="F4676" s="45">
        <v>-208850453.173186</v>
      </c>
      <c r="G4676" s="42" t="s">
        <v>1025</v>
      </c>
      <c r="H4676" s="42" t="s">
        <v>1072</v>
      </c>
      <c r="I4676" s="42" t="s">
        <v>893</v>
      </c>
    </row>
    <row r="4677" spans="1:9">
      <c r="A4677" s="42" t="s">
        <v>1088</v>
      </c>
      <c r="B4677" s="42" t="s">
        <v>197</v>
      </c>
      <c r="C4677" s="42" t="s">
        <v>1094</v>
      </c>
      <c r="D4677" s="42" t="s">
        <v>170</v>
      </c>
      <c r="E4677" s="42" t="s">
        <v>808</v>
      </c>
      <c r="F4677" s="45">
        <v>-23811840.18979111</v>
      </c>
      <c r="G4677" s="42" t="s">
        <v>1025</v>
      </c>
      <c r="H4677" s="42" t="s">
        <v>1072</v>
      </c>
      <c r="I4677" s="42" t="s">
        <v>893</v>
      </c>
    </row>
    <row r="4678" spans="1:9">
      <c r="A4678" s="42" t="s">
        <v>1088</v>
      </c>
      <c r="B4678" s="42" t="s">
        <v>198</v>
      </c>
      <c r="C4678" s="42" t="s">
        <v>1131</v>
      </c>
      <c r="D4678" s="42" t="s">
        <v>170</v>
      </c>
      <c r="E4678" s="42" t="s">
        <v>808</v>
      </c>
      <c r="F4678" s="45">
        <v>-26657163.75834831</v>
      </c>
      <c r="G4678" s="42" t="s">
        <v>1025</v>
      </c>
      <c r="H4678" s="42" t="s">
        <v>1073</v>
      </c>
      <c r="I4678" s="42" t="s">
        <v>893</v>
      </c>
    </row>
    <row r="4679" spans="1:9">
      <c r="A4679" s="42" t="s">
        <v>1088</v>
      </c>
      <c r="B4679" s="42" t="s">
        <v>199</v>
      </c>
      <c r="C4679" s="42" t="s">
        <v>1097</v>
      </c>
      <c r="D4679" s="42" t="s">
        <v>170</v>
      </c>
      <c r="E4679" s="42" t="s">
        <v>808</v>
      </c>
      <c r="F4679" s="45">
        <v>220040413.3245834</v>
      </c>
      <c r="G4679" s="42" t="s">
        <v>1025</v>
      </c>
      <c r="H4679" s="42" t="s">
        <v>1072</v>
      </c>
      <c r="I4679" s="42" t="s">
        <v>893</v>
      </c>
    </row>
    <row r="4680" spans="1:9">
      <c r="A4680" s="42" t="s">
        <v>1088</v>
      </c>
      <c r="B4680" s="42" t="s">
        <v>200</v>
      </c>
      <c r="C4680" s="42" t="s">
        <v>1098</v>
      </c>
      <c r="D4680" s="42" t="s">
        <v>170</v>
      </c>
      <c r="E4680" s="42" t="s">
        <v>808</v>
      </c>
      <c r="F4680" s="45">
        <v>378958832.5072535</v>
      </c>
      <c r="G4680" s="42" t="s">
        <v>1025</v>
      </c>
      <c r="H4680" s="42" t="s">
        <v>1072</v>
      </c>
      <c r="I4680" s="42" t="s">
        <v>893</v>
      </c>
    </row>
    <row r="4681" spans="1:9">
      <c r="A4681" s="42" t="s">
        <v>1088</v>
      </c>
      <c r="B4681" s="42" t="s">
        <v>201</v>
      </c>
      <c r="C4681" s="42" t="s">
        <v>1099</v>
      </c>
      <c r="D4681" s="42" t="s">
        <v>170</v>
      </c>
      <c r="E4681" s="42" t="s">
        <v>808</v>
      </c>
      <c r="F4681" s="45">
        <v>70052977.23020452</v>
      </c>
      <c r="G4681" s="42" t="s">
        <v>1025</v>
      </c>
      <c r="H4681" s="42" t="s">
        <v>1072</v>
      </c>
      <c r="I4681" s="42" t="s">
        <v>893</v>
      </c>
    </row>
    <row r="4682" spans="1:9">
      <c r="A4682" s="42" t="s">
        <v>1088</v>
      </c>
      <c r="B4682" s="42" t="s">
        <v>202</v>
      </c>
      <c r="C4682" s="42" t="s">
        <v>1100</v>
      </c>
      <c r="D4682" s="42" t="s">
        <v>170</v>
      </c>
      <c r="E4682" s="42" t="s">
        <v>808</v>
      </c>
      <c r="F4682" s="45">
        <v>831248010.606759</v>
      </c>
      <c r="G4682" s="42" t="s">
        <v>1025</v>
      </c>
      <c r="H4682" s="42" t="s">
        <v>1072</v>
      </c>
      <c r="I4682" s="42" t="s">
        <v>893</v>
      </c>
    </row>
    <row r="4683" spans="1:9">
      <c r="A4683" s="42" t="s">
        <v>1088</v>
      </c>
      <c r="B4683" s="42" t="s">
        <v>203</v>
      </c>
      <c r="C4683" s="42" t="s">
        <v>1129</v>
      </c>
      <c r="D4683" s="42" t="s">
        <v>170</v>
      </c>
      <c r="E4683" s="42" t="s">
        <v>808</v>
      </c>
      <c r="F4683" s="45">
        <v>-793931684.5861584</v>
      </c>
      <c r="G4683" s="42" t="s">
        <v>1025</v>
      </c>
      <c r="H4683" s="42" t="s">
        <v>1072</v>
      </c>
      <c r="I4683" s="42" t="s">
        <v>893</v>
      </c>
    </row>
    <row r="4684" spans="1:9">
      <c r="A4684" s="42" t="s">
        <v>1088</v>
      </c>
      <c r="B4684" s="42" t="s">
        <v>204</v>
      </c>
      <c r="C4684" s="42" t="s">
        <v>1102</v>
      </c>
      <c r="D4684" s="42" t="s">
        <v>170</v>
      </c>
      <c r="E4684" s="42" t="s">
        <v>808</v>
      </c>
      <c r="F4684" s="45">
        <v>157363057.9261052</v>
      </c>
      <c r="G4684" s="42" t="s">
        <v>1025</v>
      </c>
      <c r="H4684" s="42" t="s">
        <v>1072</v>
      </c>
      <c r="I4684" s="42" t="s">
        <v>893</v>
      </c>
    </row>
    <row r="4685" spans="1:9">
      <c r="A4685" s="42" t="s">
        <v>1088</v>
      </c>
      <c r="B4685" s="42" t="s">
        <v>205</v>
      </c>
      <c r="C4685" s="42" t="s">
        <v>1103</v>
      </c>
      <c r="D4685" s="42" t="s">
        <v>170</v>
      </c>
      <c r="E4685" s="42" t="s">
        <v>808</v>
      </c>
      <c r="F4685" s="45">
        <v>194679383.9467058</v>
      </c>
      <c r="G4685" s="42" t="s">
        <v>1025</v>
      </c>
      <c r="H4685" s="42" t="s">
        <v>1072</v>
      </c>
      <c r="I4685" s="42" t="s">
        <v>893</v>
      </c>
    </row>
    <row r="4686" spans="1:9">
      <c r="A4686" s="42" t="s">
        <v>1088</v>
      </c>
      <c r="B4686" s="42" t="s">
        <v>206</v>
      </c>
      <c r="C4686" s="42" t="s">
        <v>1104</v>
      </c>
      <c r="D4686" s="42" t="s">
        <v>170</v>
      </c>
      <c r="E4686" s="42" t="s">
        <v>808</v>
      </c>
      <c r="F4686" s="45">
        <v>643691193.6841638</v>
      </c>
      <c r="G4686" s="42" t="s">
        <v>1025</v>
      </c>
      <c r="H4686" s="42" t="s">
        <v>1072</v>
      </c>
      <c r="I4686" s="42" t="s">
        <v>893</v>
      </c>
    </row>
    <row r="4687" spans="1:9">
      <c r="A4687" s="42" t="s">
        <v>1088</v>
      </c>
      <c r="B4687" s="42" t="s">
        <v>207</v>
      </c>
      <c r="C4687" s="42" t="s">
        <v>1105</v>
      </c>
      <c r="D4687" s="42" t="s">
        <v>170</v>
      </c>
      <c r="E4687" s="42" t="s">
        <v>808</v>
      </c>
      <c r="F4687" s="45">
        <v>-164726335.6208748</v>
      </c>
      <c r="G4687" s="42" t="s">
        <v>1025</v>
      </c>
      <c r="H4687" s="42" t="s">
        <v>1072</v>
      </c>
      <c r="I4687" s="42" t="s">
        <v>893</v>
      </c>
    </row>
    <row r="4688" spans="1:9">
      <c r="A4688" s="42" t="s">
        <v>1088</v>
      </c>
      <c r="B4688" s="42" t="s">
        <v>208</v>
      </c>
      <c r="C4688" s="42" t="s">
        <v>1106</v>
      </c>
      <c r="D4688" s="42" t="s">
        <v>170</v>
      </c>
      <c r="E4688" s="42" t="s">
        <v>808</v>
      </c>
      <c r="F4688" s="45">
        <v>478964858.0632891</v>
      </c>
      <c r="G4688" s="42" t="s">
        <v>1025</v>
      </c>
      <c r="H4688" s="42" t="s">
        <v>1072</v>
      </c>
      <c r="I4688" s="42" t="s">
        <v>893</v>
      </c>
    </row>
    <row r="4689" spans="1:9">
      <c r="A4689" s="42" t="s">
        <v>1088</v>
      </c>
      <c r="B4689" s="42" t="s">
        <v>209</v>
      </c>
      <c r="C4689" s="42" t="s">
        <v>1130</v>
      </c>
      <c r="D4689" s="42" t="s">
        <v>170</v>
      </c>
      <c r="E4689" s="42" t="s">
        <v>808</v>
      </c>
      <c r="F4689" s="45">
        <v>-82588448.30990015</v>
      </c>
      <c r="G4689" s="42" t="s">
        <v>1025</v>
      </c>
      <c r="H4689" s="42" t="s">
        <v>1072</v>
      </c>
      <c r="I4689" s="42" t="s">
        <v>893</v>
      </c>
    </row>
    <row r="4690" spans="1:9">
      <c r="A4690" s="42" t="s">
        <v>1088</v>
      </c>
      <c r="B4690" s="42" t="s">
        <v>210</v>
      </c>
      <c r="C4690" s="42" t="s">
        <v>1124</v>
      </c>
      <c r="D4690" s="42" t="s">
        <v>170</v>
      </c>
      <c r="E4690" s="42" t="s">
        <v>808</v>
      </c>
      <c r="F4690" s="45">
        <v>110128217.8606642</v>
      </c>
      <c r="G4690" s="42" t="s">
        <v>1025</v>
      </c>
      <c r="H4690" s="42" t="s">
        <v>1072</v>
      </c>
      <c r="I4690" s="42" t="s">
        <v>893</v>
      </c>
    </row>
    <row r="4691" spans="1:9">
      <c r="A4691" s="42" t="s">
        <v>1088</v>
      </c>
      <c r="B4691" s="42" t="s">
        <v>211</v>
      </c>
      <c r="C4691" s="42" t="s">
        <v>1108</v>
      </c>
      <c r="D4691" s="42" t="s">
        <v>170</v>
      </c>
      <c r="E4691" s="42" t="s">
        <v>808</v>
      </c>
      <c r="F4691" s="45">
        <v>1878623343.122775</v>
      </c>
      <c r="G4691" s="42" t="s">
        <v>1025</v>
      </c>
      <c r="H4691" s="42" t="s">
        <v>1072</v>
      </c>
      <c r="I4691" s="42" t="s">
        <v>893</v>
      </c>
    </row>
    <row r="4692" spans="1:9">
      <c r="A4692" s="42" t="s">
        <v>1088</v>
      </c>
      <c r="B4692" s="42" t="s">
        <v>228</v>
      </c>
      <c r="C4692" s="42" t="s">
        <v>1109</v>
      </c>
      <c r="D4692" s="42" t="s">
        <v>170</v>
      </c>
      <c r="E4692" s="42" t="s">
        <v>808</v>
      </c>
      <c r="F4692" s="45">
        <v>1851083573.572011</v>
      </c>
      <c r="G4692" s="42" t="s">
        <v>1025</v>
      </c>
      <c r="H4692" s="42" t="s">
        <v>1072</v>
      </c>
      <c r="I4692" s="42" t="s">
        <v>884</v>
      </c>
    </row>
    <row r="4693" spans="1:9">
      <c r="A4693" s="42" t="s">
        <v>1088</v>
      </c>
      <c r="B4693" s="42" t="s">
        <v>212</v>
      </c>
      <c r="C4693" s="42" t="s">
        <v>1110</v>
      </c>
      <c r="D4693" s="42" t="s">
        <v>170</v>
      </c>
      <c r="E4693" s="42" t="s">
        <v>808</v>
      </c>
      <c r="F4693" s="45">
        <v>2357588201.186064</v>
      </c>
      <c r="G4693" s="42" t="s">
        <v>1025</v>
      </c>
      <c r="H4693" s="42" t="s">
        <v>1072</v>
      </c>
      <c r="I4693" s="42" t="s">
        <v>893</v>
      </c>
    </row>
    <row r="4694" spans="1:9">
      <c r="A4694" s="42" t="s">
        <v>1088</v>
      </c>
      <c r="B4694" s="42" t="s">
        <v>1111</v>
      </c>
      <c r="C4694" s="42" t="s">
        <v>1112</v>
      </c>
      <c r="D4694" s="42" t="s">
        <v>170</v>
      </c>
      <c r="E4694" s="42" t="s">
        <v>808</v>
      </c>
      <c r="F4694" s="45">
        <v>478156317.0926145</v>
      </c>
      <c r="G4694" s="42" t="s">
        <v>1025</v>
      </c>
      <c r="H4694" s="42" t="s">
        <v>1072</v>
      </c>
      <c r="I4694" s="42" t="s">
        <v>893</v>
      </c>
    </row>
    <row r="4695" spans="1:9">
      <c r="A4695" s="42" t="s">
        <v>1088</v>
      </c>
      <c r="B4695" s="42" t="s">
        <v>261</v>
      </c>
      <c r="C4695" s="42" t="s">
        <v>1113</v>
      </c>
      <c r="D4695" s="42" t="s">
        <v>170</v>
      </c>
      <c r="E4695" s="42" t="s">
        <v>808</v>
      </c>
      <c r="F4695" s="45">
        <v>808540.9706746073</v>
      </c>
      <c r="G4695" s="42" t="s">
        <v>1025</v>
      </c>
      <c r="H4695" s="42" t="s">
        <v>1072</v>
      </c>
      <c r="I4695" s="42" t="s">
        <v>893</v>
      </c>
    </row>
    <row r="4696" spans="1:9">
      <c r="A4696" s="42" t="s">
        <v>1088</v>
      </c>
      <c r="B4696" s="42" t="s">
        <v>1111</v>
      </c>
      <c r="C4696" s="42" t="s">
        <v>1114</v>
      </c>
      <c r="D4696" s="42" t="s">
        <v>170</v>
      </c>
      <c r="E4696" s="42" t="s">
        <v>808</v>
      </c>
      <c r="F4696" s="45">
        <v>1864205391.157158</v>
      </c>
      <c r="G4696" s="42" t="s">
        <v>1025</v>
      </c>
      <c r="H4696" s="42" t="s">
        <v>1072</v>
      </c>
      <c r="I4696" s="42" t="s">
        <v>893</v>
      </c>
    </row>
    <row r="4697" spans="1:9">
      <c r="A4697" s="42" t="s">
        <v>1088</v>
      </c>
      <c r="B4697" s="42" t="s">
        <v>261</v>
      </c>
      <c r="C4697" s="42" t="s">
        <v>1125</v>
      </c>
      <c r="D4697" s="42" t="s">
        <v>170</v>
      </c>
      <c r="E4697" s="42" t="s">
        <v>808</v>
      </c>
      <c r="F4697" s="45">
        <v>14417951.96561742</v>
      </c>
      <c r="G4697" s="42" t="s">
        <v>1025</v>
      </c>
      <c r="H4697" s="42" t="s">
        <v>1072</v>
      </c>
      <c r="I4697" s="42" t="s">
        <v>893</v>
      </c>
    </row>
    <row r="4698" spans="1:9">
      <c r="A4698" s="42" t="s">
        <v>1088</v>
      </c>
      <c r="B4698" s="42" t="s">
        <v>1111</v>
      </c>
      <c r="C4698" s="42" t="s">
        <v>1115</v>
      </c>
      <c r="D4698" s="42" t="s">
        <v>170</v>
      </c>
      <c r="E4698" s="42" t="s">
        <v>808</v>
      </c>
      <c r="F4698" s="45">
        <v>2342361708.249773</v>
      </c>
      <c r="G4698" s="42" t="s">
        <v>1025</v>
      </c>
      <c r="H4698" s="42" t="s">
        <v>1072</v>
      </c>
      <c r="I4698" s="42" t="s">
        <v>893</v>
      </c>
    </row>
    <row r="4699" spans="1:9">
      <c r="A4699" s="42" t="s">
        <v>1088</v>
      </c>
      <c r="B4699" s="42" t="s">
        <v>261</v>
      </c>
      <c r="C4699" s="42" t="s">
        <v>1116</v>
      </c>
      <c r="D4699" s="42" t="s">
        <v>170</v>
      </c>
      <c r="E4699" s="42" t="s">
        <v>808</v>
      </c>
      <c r="F4699" s="45">
        <v>15226492.93629203</v>
      </c>
      <c r="G4699" s="42" t="s">
        <v>1025</v>
      </c>
      <c r="H4699" s="42" t="s">
        <v>1072</v>
      </c>
      <c r="I4699" s="42" t="s">
        <v>893</v>
      </c>
    </row>
    <row r="4700" spans="1:9">
      <c r="A4700" s="42" t="s">
        <v>1088</v>
      </c>
      <c r="B4700" s="42" t="s">
        <v>192</v>
      </c>
      <c r="C4700" s="42" t="s">
        <v>1089</v>
      </c>
      <c r="D4700" s="42" t="s">
        <v>658</v>
      </c>
      <c r="E4700" s="42" t="s">
        <v>762</v>
      </c>
      <c r="F4700" s="45">
        <v>17311000000</v>
      </c>
      <c r="G4700" s="42" t="s">
        <v>763</v>
      </c>
      <c r="H4700" s="42" t="s">
        <v>149</v>
      </c>
      <c r="I4700" s="42" t="s">
        <v>893</v>
      </c>
    </row>
    <row r="4701" spans="1:9">
      <c r="A4701" s="42" t="s">
        <v>1088</v>
      </c>
      <c r="B4701" s="42" t="s">
        <v>193</v>
      </c>
      <c r="C4701" s="42" t="s">
        <v>1090</v>
      </c>
      <c r="D4701" s="42" t="s">
        <v>658</v>
      </c>
      <c r="E4701" s="42" t="s">
        <v>762</v>
      </c>
      <c r="F4701" s="45">
        <v>-13853000000</v>
      </c>
      <c r="G4701" s="42" t="s">
        <v>763</v>
      </c>
      <c r="H4701" s="42" t="s">
        <v>149</v>
      </c>
      <c r="I4701" s="42" t="s">
        <v>893</v>
      </c>
    </row>
    <row r="4702" spans="1:9">
      <c r="A4702" s="42" t="s">
        <v>1088</v>
      </c>
      <c r="B4702" s="42" t="s">
        <v>194</v>
      </c>
      <c r="C4702" s="42" t="s">
        <v>1091</v>
      </c>
      <c r="D4702" s="42" t="s">
        <v>658</v>
      </c>
      <c r="E4702" s="42" t="s">
        <v>762</v>
      </c>
      <c r="F4702" s="45">
        <v>3458000000</v>
      </c>
      <c r="G4702" s="42" t="s">
        <v>763</v>
      </c>
      <c r="H4702" s="42" t="s">
        <v>149</v>
      </c>
      <c r="I4702" s="42" t="s">
        <v>893</v>
      </c>
    </row>
    <row r="4703" spans="1:9">
      <c r="A4703" s="42" t="s">
        <v>1088</v>
      </c>
      <c r="B4703" s="42" t="s">
        <v>195</v>
      </c>
      <c r="C4703" s="42" t="s">
        <v>1092</v>
      </c>
      <c r="D4703" s="42" t="s">
        <v>658</v>
      </c>
      <c r="E4703" s="42" t="s">
        <v>762</v>
      </c>
      <c r="F4703" s="45">
        <v>-1804000000</v>
      </c>
      <c r="G4703" s="42" t="s">
        <v>763</v>
      </c>
      <c r="H4703" s="42" t="s">
        <v>149</v>
      </c>
      <c r="I4703" s="42" t="s">
        <v>893</v>
      </c>
    </row>
    <row r="4704" spans="1:9">
      <c r="A4704" s="42" t="s">
        <v>1088</v>
      </c>
      <c r="B4704" s="42" t="s">
        <v>196</v>
      </c>
      <c r="C4704" s="42" t="s">
        <v>1093</v>
      </c>
      <c r="D4704" s="42" t="s">
        <v>658</v>
      </c>
      <c r="E4704" s="42" t="s">
        <v>762</v>
      </c>
      <c r="F4704" s="45">
        <v>-705000000</v>
      </c>
      <c r="G4704" s="42" t="s">
        <v>763</v>
      </c>
      <c r="H4704" s="42" t="s">
        <v>149</v>
      </c>
      <c r="I4704" s="42" t="s">
        <v>893</v>
      </c>
    </row>
    <row r="4705" spans="1:9">
      <c r="A4705" s="42" t="s">
        <v>1088</v>
      </c>
      <c r="B4705" s="42" t="s">
        <v>197</v>
      </c>
      <c r="C4705" s="42" t="s">
        <v>1094</v>
      </c>
      <c r="D4705" s="42" t="s">
        <v>658</v>
      </c>
      <c r="E4705" s="42" t="s">
        <v>762</v>
      </c>
      <c r="F4705" s="45">
        <v>-61000000</v>
      </c>
      <c r="G4705" s="42" t="s">
        <v>763</v>
      </c>
      <c r="H4705" s="42" t="s">
        <v>149</v>
      </c>
      <c r="I4705" s="42" t="s">
        <v>893</v>
      </c>
    </row>
    <row r="4706" spans="1:9">
      <c r="A4706" s="42" t="s">
        <v>1088</v>
      </c>
      <c r="B4706" s="42" t="s">
        <v>198</v>
      </c>
      <c r="C4706" s="42" t="s">
        <v>1131</v>
      </c>
      <c r="D4706" s="42" t="s">
        <v>658</v>
      </c>
      <c r="E4706" s="42" t="s">
        <v>762</v>
      </c>
      <c r="F4706" s="45">
        <v>-2288000000</v>
      </c>
      <c r="G4706" s="42" t="s">
        <v>763</v>
      </c>
      <c r="H4706" s="42" t="s">
        <v>149</v>
      </c>
      <c r="I4706" s="42" t="s">
        <v>893</v>
      </c>
    </row>
    <row r="4707" spans="1:9">
      <c r="A4707" s="42" t="s">
        <v>1088</v>
      </c>
      <c r="B4707" s="42" t="s">
        <v>223</v>
      </c>
      <c r="C4707" s="42" t="s">
        <v>1128</v>
      </c>
      <c r="D4707" s="42" t="s">
        <v>658</v>
      </c>
      <c r="E4707" s="42" t="s">
        <v>762</v>
      </c>
      <c r="F4707" s="45">
        <v>-2288000000</v>
      </c>
      <c r="G4707" s="42" t="s">
        <v>763</v>
      </c>
      <c r="H4707" s="42" t="s">
        <v>129</v>
      </c>
      <c r="I4707" s="42" t="s">
        <v>861</v>
      </c>
    </row>
    <row r="4708" spans="1:9">
      <c r="A4708" s="42" t="s">
        <v>1088</v>
      </c>
      <c r="B4708" s="42" t="s">
        <v>199</v>
      </c>
      <c r="C4708" s="42" t="s">
        <v>1097</v>
      </c>
      <c r="D4708" s="42" t="s">
        <v>658</v>
      </c>
      <c r="E4708" s="42" t="s">
        <v>762</v>
      </c>
      <c r="F4708" s="45">
        <v>152000000</v>
      </c>
      <c r="G4708" s="42" t="s">
        <v>763</v>
      </c>
      <c r="H4708" s="42" t="s">
        <v>149</v>
      </c>
      <c r="I4708" s="42" t="s">
        <v>893</v>
      </c>
    </row>
    <row r="4709" spans="1:9">
      <c r="A4709" s="42" t="s">
        <v>1088</v>
      </c>
      <c r="B4709" s="42" t="s">
        <v>200</v>
      </c>
      <c r="C4709" s="42" t="s">
        <v>1098</v>
      </c>
      <c r="D4709" s="42" t="s">
        <v>658</v>
      </c>
      <c r="E4709" s="42" t="s">
        <v>762</v>
      </c>
      <c r="F4709" s="45">
        <v>-1248000000</v>
      </c>
      <c r="G4709" s="42" t="s">
        <v>763</v>
      </c>
      <c r="H4709" s="42" t="s">
        <v>149</v>
      </c>
      <c r="I4709" s="42" t="s">
        <v>893</v>
      </c>
    </row>
    <row r="4710" spans="1:9">
      <c r="A4710" s="42" t="s">
        <v>1088</v>
      </c>
      <c r="B4710" s="42" t="s">
        <v>201</v>
      </c>
      <c r="C4710" s="42" t="s">
        <v>1099</v>
      </c>
      <c r="D4710" s="42" t="s">
        <v>658</v>
      </c>
      <c r="E4710" s="42" t="s">
        <v>762</v>
      </c>
      <c r="F4710" s="45">
        <v>94000000</v>
      </c>
      <c r="G4710" s="42" t="s">
        <v>763</v>
      </c>
      <c r="H4710" s="42" t="s">
        <v>149</v>
      </c>
      <c r="I4710" s="42" t="s">
        <v>893</v>
      </c>
    </row>
    <row r="4711" spans="1:9">
      <c r="A4711" s="42" t="s">
        <v>1088</v>
      </c>
      <c r="B4711" s="42" t="s">
        <v>202</v>
      </c>
      <c r="C4711" s="42" t="s">
        <v>1100</v>
      </c>
      <c r="D4711" s="42" t="s">
        <v>658</v>
      </c>
      <c r="E4711" s="42" t="s">
        <v>762</v>
      </c>
      <c r="F4711" s="45">
        <v>334000000</v>
      </c>
      <c r="G4711" s="42" t="s">
        <v>763</v>
      </c>
      <c r="H4711" s="42" t="s">
        <v>149</v>
      </c>
      <c r="I4711" s="42" t="s">
        <v>893</v>
      </c>
    </row>
    <row r="4712" spans="1:9">
      <c r="A4712" s="42" t="s">
        <v>1088</v>
      </c>
      <c r="B4712" s="42" t="s">
        <v>203</v>
      </c>
      <c r="C4712" s="42" t="s">
        <v>1129</v>
      </c>
      <c r="D4712" s="42" t="s">
        <v>658</v>
      </c>
      <c r="E4712" s="42" t="s">
        <v>762</v>
      </c>
      <c r="F4712" s="45">
        <v>-1149000000</v>
      </c>
      <c r="G4712" s="42" t="s">
        <v>763</v>
      </c>
      <c r="H4712" s="42" t="s">
        <v>149</v>
      </c>
      <c r="I4712" s="42" t="s">
        <v>893</v>
      </c>
    </row>
    <row r="4713" spans="1:9">
      <c r="A4713" s="42" t="s">
        <v>1088</v>
      </c>
      <c r="B4713" s="42" t="s">
        <v>204</v>
      </c>
      <c r="C4713" s="42" t="s">
        <v>1102</v>
      </c>
      <c r="D4713" s="42" t="s">
        <v>658</v>
      </c>
      <c r="E4713" s="42" t="s">
        <v>762</v>
      </c>
      <c r="F4713" s="45">
        <v>311000000</v>
      </c>
      <c r="G4713" s="42" t="s">
        <v>763</v>
      </c>
      <c r="H4713" s="42" t="s">
        <v>149</v>
      </c>
      <c r="I4713" s="42" t="s">
        <v>893</v>
      </c>
    </row>
    <row r="4714" spans="1:9">
      <c r="A4714" s="42" t="s">
        <v>1088</v>
      </c>
      <c r="B4714" s="42" t="s">
        <v>205</v>
      </c>
      <c r="C4714" s="42" t="s">
        <v>1103</v>
      </c>
      <c r="D4714" s="42" t="s">
        <v>658</v>
      </c>
      <c r="E4714" s="42" t="s">
        <v>762</v>
      </c>
      <c r="F4714" s="45">
        <v>-504000000</v>
      </c>
      <c r="G4714" s="42" t="s">
        <v>763</v>
      </c>
      <c r="H4714" s="42" t="s">
        <v>149</v>
      </c>
      <c r="I4714" s="42" t="s">
        <v>893</v>
      </c>
    </row>
    <row r="4715" spans="1:9">
      <c r="A4715" s="42" t="s">
        <v>1088</v>
      </c>
      <c r="B4715" s="42" t="s">
        <v>206</v>
      </c>
      <c r="C4715" s="42" t="s">
        <v>1104</v>
      </c>
      <c r="D4715" s="42" t="s">
        <v>658</v>
      </c>
      <c r="E4715" s="42" t="s">
        <v>762</v>
      </c>
      <c r="F4715" s="45">
        <v>-1658000000</v>
      </c>
      <c r="G4715" s="42" t="s">
        <v>763</v>
      </c>
      <c r="H4715" s="42" t="s">
        <v>149</v>
      </c>
      <c r="I4715" s="42" t="s">
        <v>893</v>
      </c>
    </row>
    <row r="4716" spans="1:9">
      <c r="A4716" s="42" t="s">
        <v>1088</v>
      </c>
      <c r="B4716" s="42" t="s">
        <v>207</v>
      </c>
      <c r="C4716" s="42" t="s">
        <v>1105</v>
      </c>
      <c r="D4716" s="42" t="s">
        <v>658</v>
      </c>
      <c r="E4716" s="42" t="s">
        <v>762</v>
      </c>
      <c r="F4716" s="45">
        <v>381000000</v>
      </c>
      <c r="G4716" s="42" t="s">
        <v>763</v>
      </c>
      <c r="H4716" s="42" t="s">
        <v>149</v>
      </c>
      <c r="I4716" s="42" t="s">
        <v>893</v>
      </c>
    </row>
    <row r="4717" spans="1:9">
      <c r="A4717" s="42" t="s">
        <v>1088</v>
      </c>
      <c r="B4717" s="42" t="s">
        <v>208</v>
      </c>
      <c r="C4717" s="42" t="s">
        <v>1106</v>
      </c>
      <c r="D4717" s="42" t="s">
        <v>658</v>
      </c>
      <c r="E4717" s="42" t="s">
        <v>762</v>
      </c>
      <c r="F4717" s="45">
        <v>-1277000000</v>
      </c>
      <c r="G4717" s="42" t="s">
        <v>763</v>
      </c>
      <c r="H4717" s="42" t="s">
        <v>149</v>
      </c>
      <c r="I4717" s="42" t="s">
        <v>893</v>
      </c>
    </row>
    <row r="4718" spans="1:9">
      <c r="A4718" s="42" t="s">
        <v>1088</v>
      </c>
      <c r="B4718" s="42" t="s">
        <v>209</v>
      </c>
      <c r="C4718" s="42" t="s">
        <v>1130</v>
      </c>
      <c r="D4718" s="42" t="s">
        <v>658</v>
      </c>
      <c r="E4718" s="42" t="s">
        <v>762</v>
      </c>
      <c r="F4718" s="45">
        <v>-442000000</v>
      </c>
      <c r="G4718" s="42" t="s">
        <v>763</v>
      </c>
      <c r="H4718" s="42" t="s">
        <v>149</v>
      </c>
      <c r="I4718" s="42" t="s">
        <v>893</v>
      </c>
    </row>
    <row r="4719" spans="1:9">
      <c r="A4719" s="42" t="s">
        <v>1088</v>
      </c>
      <c r="B4719" s="42" t="s">
        <v>210</v>
      </c>
      <c r="C4719" s="42" t="s">
        <v>1124</v>
      </c>
      <c r="D4719" s="42" t="s">
        <v>658</v>
      </c>
      <c r="E4719" s="42" t="s">
        <v>762</v>
      </c>
      <c r="F4719" s="45">
        <v>221000000</v>
      </c>
      <c r="G4719" s="42" t="s">
        <v>763</v>
      </c>
      <c r="H4719" s="42" t="s">
        <v>149</v>
      </c>
      <c r="I4719" s="42" t="s">
        <v>893</v>
      </c>
    </row>
    <row r="4720" spans="1:9">
      <c r="A4720" s="42" t="s">
        <v>1088</v>
      </c>
      <c r="B4720" s="42" t="s">
        <v>211</v>
      </c>
      <c r="C4720" s="42" t="s">
        <v>1108</v>
      </c>
      <c r="D4720" s="42" t="s">
        <v>658</v>
      </c>
      <c r="E4720" s="42" t="s">
        <v>762</v>
      </c>
      <c r="F4720" s="45">
        <v>-221000000</v>
      </c>
      <c r="G4720" s="42" t="s">
        <v>763</v>
      </c>
      <c r="H4720" s="42" t="s">
        <v>149</v>
      </c>
      <c r="I4720" s="42" t="s">
        <v>893</v>
      </c>
    </row>
    <row r="4721" spans="1:9">
      <c r="A4721" s="42" t="s">
        <v>1088</v>
      </c>
      <c r="B4721" s="42" t="s">
        <v>228</v>
      </c>
      <c r="C4721" s="42" t="s">
        <v>1109</v>
      </c>
      <c r="D4721" s="42" t="s">
        <v>658</v>
      </c>
      <c r="E4721" s="42" t="s">
        <v>762</v>
      </c>
      <c r="F4721" s="45">
        <v>24153372846.88817</v>
      </c>
      <c r="G4721" s="42" t="s">
        <v>763</v>
      </c>
      <c r="H4721" s="42" t="s">
        <v>137</v>
      </c>
      <c r="I4721" s="42" t="s">
        <v>884</v>
      </c>
    </row>
    <row r="4722" spans="1:9">
      <c r="A4722" s="42" t="s">
        <v>1088</v>
      </c>
      <c r="B4722" s="42" t="s">
        <v>212</v>
      </c>
      <c r="C4722" s="42" t="s">
        <v>1110</v>
      </c>
      <c r="D4722" s="42" t="s">
        <v>658</v>
      </c>
      <c r="E4722" s="42" t="s">
        <v>762</v>
      </c>
      <c r="F4722" s="45">
        <v>-1498000000</v>
      </c>
      <c r="G4722" s="42" t="s">
        <v>763</v>
      </c>
      <c r="H4722" s="42" t="s">
        <v>149</v>
      </c>
      <c r="I4722" s="42" t="s">
        <v>893</v>
      </c>
    </row>
    <row r="4723" spans="1:9">
      <c r="A4723" s="42" t="s">
        <v>1088</v>
      </c>
      <c r="B4723" s="42" t="s">
        <v>1111</v>
      </c>
      <c r="C4723" s="42" t="s">
        <v>1112</v>
      </c>
      <c r="D4723" s="42" t="s">
        <v>658</v>
      </c>
      <c r="E4723" s="42" t="s">
        <v>762</v>
      </c>
      <c r="F4723" s="45">
        <v>-1312000000</v>
      </c>
      <c r="G4723" s="42" t="s">
        <v>763</v>
      </c>
      <c r="H4723" s="42" t="s">
        <v>149</v>
      </c>
      <c r="I4723" s="42" t="s">
        <v>893</v>
      </c>
    </row>
    <row r="4724" spans="1:9">
      <c r="A4724" s="42" t="s">
        <v>1088</v>
      </c>
      <c r="B4724" s="42" t="s">
        <v>261</v>
      </c>
      <c r="C4724" s="42" t="s">
        <v>1113</v>
      </c>
      <c r="D4724" s="42" t="s">
        <v>658</v>
      </c>
      <c r="E4724" s="42" t="s">
        <v>762</v>
      </c>
      <c r="F4724" s="45">
        <v>35000000</v>
      </c>
      <c r="G4724" s="42" t="s">
        <v>763</v>
      </c>
      <c r="H4724" s="42" t="s">
        <v>149</v>
      </c>
      <c r="I4724" s="42" t="s">
        <v>893</v>
      </c>
    </row>
    <row r="4725" spans="1:9">
      <c r="A4725" s="42" t="s">
        <v>1088</v>
      </c>
      <c r="B4725" s="42" t="s">
        <v>1111</v>
      </c>
      <c r="C4725" s="42" t="s">
        <v>1114</v>
      </c>
      <c r="D4725" s="42" t="s">
        <v>658</v>
      </c>
      <c r="E4725" s="42" t="s">
        <v>762</v>
      </c>
      <c r="F4725" s="45">
        <v>-190000000</v>
      </c>
      <c r="G4725" s="42" t="s">
        <v>763</v>
      </c>
      <c r="H4725" s="42" t="s">
        <v>149</v>
      </c>
      <c r="I4725" s="42" t="s">
        <v>893</v>
      </c>
    </row>
    <row r="4726" spans="1:9">
      <c r="A4726" s="42" t="s">
        <v>1088</v>
      </c>
      <c r="B4726" s="42" t="s">
        <v>261</v>
      </c>
      <c r="C4726" s="42" t="s">
        <v>1125</v>
      </c>
      <c r="D4726" s="42" t="s">
        <v>658</v>
      </c>
      <c r="E4726" s="42" t="s">
        <v>762</v>
      </c>
      <c r="F4726" s="45">
        <v>-31000000</v>
      </c>
      <c r="G4726" s="42" t="s">
        <v>763</v>
      </c>
      <c r="H4726" s="42" t="s">
        <v>149</v>
      </c>
      <c r="I4726" s="42" t="s">
        <v>893</v>
      </c>
    </row>
    <row r="4727" spans="1:9">
      <c r="A4727" s="42" t="s">
        <v>1088</v>
      </c>
      <c r="B4727" s="42" t="s">
        <v>1111</v>
      </c>
      <c r="C4727" s="42" t="s">
        <v>1115</v>
      </c>
      <c r="D4727" s="42" t="s">
        <v>658</v>
      </c>
      <c r="E4727" s="42" t="s">
        <v>762</v>
      </c>
      <c r="F4727" s="45">
        <v>-1502000000</v>
      </c>
      <c r="G4727" s="42" t="s">
        <v>763</v>
      </c>
      <c r="H4727" s="42" t="s">
        <v>149</v>
      </c>
      <c r="I4727" s="42" t="s">
        <v>893</v>
      </c>
    </row>
    <row r="4728" spans="1:9">
      <c r="A4728" s="42" t="s">
        <v>1088</v>
      </c>
      <c r="B4728" s="42" t="s">
        <v>261</v>
      </c>
      <c r="C4728" s="42" t="s">
        <v>1116</v>
      </c>
      <c r="D4728" s="42" t="s">
        <v>658</v>
      </c>
      <c r="E4728" s="42" t="s">
        <v>762</v>
      </c>
      <c r="F4728" s="45">
        <v>4000000</v>
      </c>
      <c r="G4728" s="42" t="s">
        <v>763</v>
      </c>
      <c r="H4728" s="42" t="s">
        <v>149</v>
      </c>
      <c r="I4728" s="42" t="s">
        <v>893</v>
      </c>
    </row>
    <row r="4729" spans="1:9">
      <c r="A4729" s="42" t="s">
        <v>1088</v>
      </c>
      <c r="B4729" s="42" t="s">
        <v>219</v>
      </c>
      <c r="C4729" s="42" t="s">
        <v>1117</v>
      </c>
      <c r="D4729" s="42" t="s">
        <v>658</v>
      </c>
      <c r="E4729" s="42" t="s">
        <v>762</v>
      </c>
      <c r="F4729" s="45">
        <v>-3350000</v>
      </c>
      <c r="G4729" s="42" t="s">
        <v>763</v>
      </c>
      <c r="H4729" s="42" t="s">
        <v>149</v>
      </c>
      <c r="I4729" s="42" t="s">
        <v>893</v>
      </c>
    </row>
    <row r="4730" spans="1:9">
      <c r="A4730" s="42" t="s">
        <v>1088</v>
      </c>
      <c r="B4730" s="42" t="s">
        <v>192</v>
      </c>
      <c r="C4730" s="42" t="s">
        <v>1089</v>
      </c>
      <c r="D4730" s="42" t="s">
        <v>171</v>
      </c>
      <c r="E4730" s="42" t="s">
        <v>808</v>
      </c>
      <c r="F4730" s="45">
        <v>4238000000</v>
      </c>
      <c r="G4730" s="42" t="s">
        <v>763</v>
      </c>
      <c r="H4730" s="42" t="s">
        <v>131</v>
      </c>
      <c r="I4730" s="42" t="s">
        <v>893</v>
      </c>
    </row>
    <row r="4731" spans="1:9">
      <c r="A4731" s="42" t="s">
        <v>1088</v>
      </c>
      <c r="B4731" s="42" t="s">
        <v>193</v>
      </c>
      <c r="C4731" s="42" t="s">
        <v>1090</v>
      </c>
      <c r="D4731" s="42" t="s">
        <v>171</v>
      </c>
      <c r="E4731" s="42" t="s">
        <v>808</v>
      </c>
      <c r="F4731" s="45">
        <v>-3299000000</v>
      </c>
      <c r="G4731" s="42" t="s">
        <v>763</v>
      </c>
      <c r="H4731" s="42" t="s">
        <v>131</v>
      </c>
      <c r="I4731" s="42" t="s">
        <v>893</v>
      </c>
    </row>
    <row r="4732" spans="1:9">
      <c r="A4732" s="42" t="s">
        <v>1088</v>
      </c>
      <c r="B4732" s="42" t="s">
        <v>194</v>
      </c>
      <c r="C4732" s="42" t="s">
        <v>1091</v>
      </c>
      <c r="D4732" s="42" t="s">
        <v>171</v>
      </c>
      <c r="E4732" s="42" t="s">
        <v>808</v>
      </c>
      <c r="F4732" s="45">
        <v>939000000</v>
      </c>
      <c r="G4732" s="42" t="s">
        <v>763</v>
      </c>
      <c r="H4732" s="42" t="s">
        <v>131</v>
      </c>
      <c r="I4732" s="42" t="s">
        <v>893</v>
      </c>
    </row>
    <row r="4733" spans="1:9">
      <c r="A4733" s="42" t="s">
        <v>1088</v>
      </c>
      <c r="B4733" s="42" t="s">
        <v>195</v>
      </c>
      <c r="C4733" s="42" t="s">
        <v>1092</v>
      </c>
      <c r="D4733" s="42" t="s">
        <v>171</v>
      </c>
      <c r="E4733" s="42" t="s">
        <v>808</v>
      </c>
      <c r="F4733" s="45">
        <v>-420000000</v>
      </c>
      <c r="G4733" s="42" t="s">
        <v>763</v>
      </c>
      <c r="H4733" s="42" t="s">
        <v>131</v>
      </c>
      <c r="I4733" s="42" t="s">
        <v>893</v>
      </c>
    </row>
    <row r="4734" spans="1:9">
      <c r="A4734" s="42" t="s">
        <v>1088</v>
      </c>
      <c r="B4734" s="42" t="s">
        <v>196</v>
      </c>
      <c r="C4734" s="42" t="s">
        <v>1093</v>
      </c>
      <c r="D4734" s="42" t="s">
        <v>171</v>
      </c>
      <c r="E4734" s="42" t="s">
        <v>808</v>
      </c>
      <c r="F4734" s="45">
        <v>-157000000</v>
      </c>
      <c r="G4734" s="42" t="s">
        <v>763</v>
      </c>
      <c r="H4734" s="42" t="s">
        <v>131</v>
      </c>
      <c r="I4734" s="42" t="s">
        <v>893</v>
      </c>
    </row>
    <row r="4735" spans="1:9">
      <c r="A4735" s="42" t="s">
        <v>1088</v>
      </c>
      <c r="B4735" s="42" t="s">
        <v>197</v>
      </c>
      <c r="C4735" s="42" t="s">
        <v>1094</v>
      </c>
      <c r="D4735" s="42" t="s">
        <v>171</v>
      </c>
      <c r="E4735" s="42" t="s">
        <v>808</v>
      </c>
      <c r="F4735" s="45">
        <v>-18000000</v>
      </c>
      <c r="G4735" s="42" t="s">
        <v>763</v>
      </c>
      <c r="H4735" s="42" t="s">
        <v>131</v>
      </c>
      <c r="I4735" s="42" t="s">
        <v>893</v>
      </c>
    </row>
    <row r="4736" spans="1:9">
      <c r="A4736" s="42" t="s">
        <v>1088</v>
      </c>
      <c r="B4736" s="42" t="s">
        <v>199</v>
      </c>
      <c r="C4736" s="42" t="s">
        <v>1097</v>
      </c>
      <c r="D4736" s="42" t="s">
        <v>171</v>
      </c>
      <c r="E4736" s="42" t="s">
        <v>808</v>
      </c>
      <c r="F4736" s="45">
        <v>-9000000</v>
      </c>
      <c r="G4736" s="42" t="s">
        <v>763</v>
      </c>
      <c r="H4736" s="42" t="s">
        <v>131</v>
      </c>
      <c r="I4736" s="42" t="s">
        <v>893</v>
      </c>
    </row>
    <row r="4737" spans="1:9">
      <c r="A4737" s="42" t="s">
        <v>1088</v>
      </c>
      <c r="B4737" s="42" t="s">
        <v>200</v>
      </c>
      <c r="C4737" s="42" t="s">
        <v>1098</v>
      </c>
      <c r="D4737" s="42" t="s">
        <v>171</v>
      </c>
      <c r="E4737" s="42" t="s">
        <v>808</v>
      </c>
      <c r="F4737" s="45">
        <v>335000000</v>
      </c>
      <c r="G4737" s="42" t="s">
        <v>763</v>
      </c>
      <c r="H4737" s="42" t="s">
        <v>131</v>
      </c>
      <c r="I4737" s="42" t="s">
        <v>893</v>
      </c>
    </row>
    <row r="4738" spans="1:9">
      <c r="A4738" s="42" t="s">
        <v>1088</v>
      </c>
      <c r="B4738" s="42" t="s">
        <v>201</v>
      </c>
      <c r="C4738" s="42" t="s">
        <v>1099</v>
      </c>
      <c r="D4738" s="42" t="s">
        <v>171</v>
      </c>
      <c r="E4738" s="42" t="s">
        <v>808</v>
      </c>
      <c r="F4738" s="45">
        <v>89000000</v>
      </c>
      <c r="G4738" s="42" t="s">
        <v>763</v>
      </c>
      <c r="H4738" s="42" t="s">
        <v>131</v>
      </c>
      <c r="I4738" s="42" t="s">
        <v>893</v>
      </c>
    </row>
    <row r="4739" spans="1:9">
      <c r="A4739" s="42" t="s">
        <v>1088</v>
      </c>
      <c r="B4739" s="42" t="s">
        <v>202</v>
      </c>
      <c r="C4739" s="42" t="s">
        <v>1100</v>
      </c>
      <c r="D4739" s="42" t="s">
        <v>171</v>
      </c>
      <c r="E4739" s="42" t="s">
        <v>808</v>
      </c>
      <c r="F4739" s="45">
        <v>45000000</v>
      </c>
      <c r="G4739" s="42" t="s">
        <v>763</v>
      </c>
      <c r="H4739" s="42" t="s">
        <v>131</v>
      </c>
      <c r="I4739" s="42" t="s">
        <v>893</v>
      </c>
    </row>
    <row r="4740" spans="1:9">
      <c r="A4740" s="42" t="s">
        <v>1088</v>
      </c>
      <c r="B4740" s="42" t="s">
        <v>203</v>
      </c>
      <c r="C4740" s="42" t="s">
        <v>1129</v>
      </c>
      <c r="D4740" s="42" t="s">
        <v>171</v>
      </c>
      <c r="E4740" s="42" t="s">
        <v>808</v>
      </c>
      <c r="F4740" s="45">
        <v>-279000000</v>
      </c>
      <c r="G4740" s="42" t="s">
        <v>763</v>
      </c>
      <c r="H4740" s="42" t="s">
        <v>131</v>
      </c>
      <c r="I4740" s="42" t="s">
        <v>893</v>
      </c>
    </row>
    <row r="4741" spans="1:9">
      <c r="A4741" s="42" t="s">
        <v>1088</v>
      </c>
      <c r="B4741" s="42" t="s">
        <v>204</v>
      </c>
      <c r="C4741" s="42" t="s">
        <v>1102</v>
      </c>
      <c r="D4741" s="42" t="s">
        <v>171</v>
      </c>
      <c r="E4741" s="42" t="s">
        <v>808</v>
      </c>
      <c r="F4741" s="45">
        <v>236000000</v>
      </c>
      <c r="G4741" s="42" t="s">
        <v>763</v>
      </c>
      <c r="H4741" s="42" t="s">
        <v>131</v>
      </c>
      <c r="I4741" s="42" t="s">
        <v>893</v>
      </c>
    </row>
    <row r="4742" spans="1:9">
      <c r="A4742" s="42" t="s">
        <v>1088</v>
      </c>
      <c r="B4742" s="42" t="s">
        <v>205</v>
      </c>
      <c r="C4742" s="42" t="s">
        <v>1103</v>
      </c>
      <c r="D4742" s="42" t="s">
        <v>171</v>
      </c>
      <c r="E4742" s="42" t="s">
        <v>808</v>
      </c>
      <c r="F4742" s="45">
        <v>2000000</v>
      </c>
      <c r="G4742" s="42" t="s">
        <v>763</v>
      </c>
      <c r="H4742" s="42" t="s">
        <v>131</v>
      </c>
      <c r="I4742" s="42" t="s">
        <v>893</v>
      </c>
    </row>
    <row r="4743" spans="1:9">
      <c r="A4743" s="42" t="s">
        <v>1088</v>
      </c>
      <c r="B4743" s="42" t="s">
        <v>206</v>
      </c>
      <c r="C4743" s="42" t="s">
        <v>1104</v>
      </c>
      <c r="D4743" s="42" t="s">
        <v>171</v>
      </c>
      <c r="E4743" s="42" t="s">
        <v>808</v>
      </c>
      <c r="F4743" s="45">
        <v>426000000</v>
      </c>
      <c r="G4743" s="42" t="s">
        <v>763</v>
      </c>
      <c r="H4743" s="42" t="s">
        <v>131</v>
      </c>
      <c r="I4743" s="42" t="s">
        <v>893</v>
      </c>
    </row>
    <row r="4744" spans="1:9">
      <c r="A4744" s="42" t="s">
        <v>1088</v>
      </c>
      <c r="B4744" s="42" t="s">
        <v>207</v>
      </c>
      <c r="C4744" s="42" t="s">
        <v>1105</v>
      </c>
      <c r="D4744" s="42" t="s">
        <v>171</v>
      </c>
      <c r="E4744" s="42" t="s">
        <v>808</v>
      </c>
      <c r="F4744" s="45">
        <v>-85000000</v>
      </c>
      <c r="G4744" s="42" t="s">
        <v>763</v>
      </c>
      <c r="H4744" s="42" t="s">
        <v>131</v>
      </c>
      <c r="I4744" s="42" t="s">
        <v>893</v>
      </c>
    </row>
    <row r="4745" spans="1:9">
      <c r="A4745" s="42" t="s">
        <v>1088</v>
      </c>
      <c r="B4745" s="42" t="s">
        <v>208</v>
      </c>
      <c r="C4745" s="42" t="s">
        <v>1106</v>
      </c>
      <c r="D4745" s="42" t="s">
        <v>171</v>
      </c>
      <c r="E4745" s="42" t="s">
        <v>808</v>
      </c>
      <c r="F4745" s="45">
        <v>341000000</v>
      </c>
      <c r="G4745" s="42" t="s">
        <v>763</v>
      </c>
      <c r="H4745" s="42" t="s">
        <v>131</v>
      </c>
      <c r="I4745" s="42" t="s">
        <v>893</v>
      </c>
    </row>
    <row r="4746" spans="1:9">
      <c r="A4746" s="42" t="s">
        <v>1088</v>
      </c>
      <c r="B4746" s="42" t="s">
        <v>209</v>
      </c>
      <c r="C4746" s="42" t="s">
        <v>1130</v>
      </c>
      <c r="D4746" s="42" t="s">
        <v>171</v>
      </c>
      <c r="E4746" s="42" t="s">
        <v>808</v>
      </c>
      <c r="F4746" s="45">
        <v>-85000000</v>
      </c>
      <c r="G4746" s="42" t="s">
        <v>763</v>
      </c>
      <c r="H4746" s="42" t="s">
        <v>131</v>
      </c>
      <c r="I4746" s="42" t="s">
        <v>893</v>
      </c>
    </row>
    <row r="4747" spans="1:9">
      <c r="A4747" s="42" t="s">
        <v>1088</v>
      </c>
      <c r="B4747" s="42" t="s">
        <v>210</v>
      </c>
      <c r="C4747" s="42" t="s">
        <v>1124</v>
      </c>
      <c r="D4747" s="42" t="s">
        <v>171</v>
      </c>
      <c r="E4747" s="42" t="s">
        <v>808</v>
      </c>
      <c r="F4747" s="45">
        <v>101000000</v>
      </c>
      <c r="G4747" s="42" t="s">
        <v>763</v>
      </c>
      <c r="H4747" s="42" t="s">
        <v>131</v>
      </c>
      <c r="I4747" s="42" t="s">
        <v>893</v>
      </c>
    </row>
    <row r="4748" spans="1:9">
      <c r="A4748" s="42" t="s">
        <v>1088</v>
      </c>
      <c r="B4748" s="42" t="s">
        <v>211</v>
      </c>
      <c r="C4748" s="42" t="s">
        <v>1108</v>
      </c>
      <c r="D4748" s="42" t="s">
        <v>171</v>
      </c>
      <c r="E4748" s="42" t="s">
        <v>808</v>
      </c>
      <c r="F4748" s="45">
        <v>16000000</v>
      </c>
      <c r="G4748" s="42" t="s">
        <v>763</v>
      </c>
      <c r="H4748" s="42" t="s">
        <v>131</v>
      </c>
      <c r="I4748" s="42" t="s">
        <v>893</v>
      </c>
    </row>
    <row r="4749" spans="1:9">
      <c r="A4749" s="42" t="s">
        <v>1088</v>
      </c>
      <c r="B4749" s="42" t="s">
        <v>228</v>
      </c>
      <c r="C4749" s="42" t="s">
        <v>1109</v>
      </c>
      <c r="D4749" s="42" t="s">
        <v>171</v>
      </c>
      <c r="E4749" s="42" t="s">
        <v>808</v>
      </c>
      <c r="F4749" s="45">
        <v>1793757933.774922</v>
      </c>
      <c r="G4749" s="42" t="s">
        <v>763</v>
      </c>
      <c r="H4749" s="42" t="s">
        <v>121</v>
      </c>
      <c r="I4749" s="42" t="s">
        <v>884</v>
      </c>
    </row>
    <row r="4750" spans="1:9">
      <c r="A4750" s="42" t="s">
        <v>1088</v>
      </c>
      <c r="B4750" s="42" t="s">
        <v>212</v>
      </c>
      <c r="C4750" s="42" t="s">
        <v>1110</v>
      </c>
      <c r="D4750" s="42" t="s">
        <v>171</v>
      </c>
      <c r="E4750" s="42" t="s">
        <v>808</v>
      </c>
      <c r="F4750" s="45">
        <v>357000000</v>
      </c>
      <c r="G4750" s="42" t="s">
        <v>763</v>
      </c>
      <c r="H4750" s="42" t="s">
        <v>131</v>
      </c>
      <c r="I4750" s="42" t="s">
        <v>893</v>
      </c>
    </row>
    <row r="4751" spans="1:9">
      <c r="A4751" s="42" t="s">
        <v>1088</v>
      </c>
      <c r="B4751" s="42" t="s">
        <v>1111</v>
      </c>
      <c r="C4751" s="42" t="s">
        <v>1112</v>
      </c>
      <c r="D4751" s="42" t="s">
        <v>171</v>
      </c>
      <c r="E4751" s="42" t="s">
        <v>808</v>
      </c>
      <c r="F4751" s="45">
        <v>341000000</v>
      </c>
      <c r="G4751" s="42" t="s">
        <v>763</v>
      </c>
      <c r="H4751" s="42" t="s">
        <v>131</v>
      </c>
      <c r="I4751" s="42" t="s">
        <v>893</v>
      </c>
    </row>
    <row r="4752" spans="1:9">
      <c r="A4752" s="42" t="s">
        <v>1088</v>
      </c>
      <c r="B4752" s="42" t="s">
        <v>261</v>
      </c>
      <c r="C4752" s="42" t="s">
        <v>1113</v>
      </c>
      <c r="D4752" s="42" t="s">
        <v>171</v>
      </c>
      <c r="E4752" s="42" t="s">
        <v>808</v>
      </c>
      <c r="F4752" s="45">
        <v>177025.0054376365</v>
      </c>
      <c r="G4752" s="42" t="s">
        <v>763</v>
      </c>
      <c r="H4752" s="42" t="s">
        <v>121</v>
      </c>
      <c r="I4752" s="42" t="s">
        <v>893</v>
      </c>
    </row>
    <row r="4753" spans="1:9">
      <c r="A4753" s="42" t="s">
        <v>1088</v>
      </c>
      <c r="B4753" s="42" t="s">
        <v>1111</v>
      </c>
      <c r="C4753" s="42" t="s">
        <v>1114</v>
      </c>
      <c r="D4753" s="42" t="s">
        <v>171</v>
      </c>
      <c r="E4753" s="42" t="s">
        <v>808</v>
      </c>
      <c r="F4753" s="45">
        <v>14000000</v>
      </c>
      <c r="G4753" s="42" t="s">
        <v>763</v>
      </c>
      <c r="H4753" s="42" t="s">
        <v>131</v>
      </c>
      <c r="I4753" s="42" t="s">
        <v>893</v>
      </c>
    </row>
    <row r="4754" spans="1:9">
      <c r="A4754" s="42" t="s">
        <v>1088</v>
      </c>
      <c r="B4754" s="42" t="s">
        <v>261</v>
      </c>
      <c r="C4754" s="42" t="s">
        <v>1125</v>
      </c>
      <c r="D4754" s="42" t="s">
        <v>171</v>
      </c>
      <c r="E4754" s="42" t="s">
        <v>808</v>
      </c>
      <c r="F4754" s="45">
        <v>2000000</v>
      </c>
      <c r="G4754" s="42" t="s">
        <v>763</v>
      </c>
      <c r="H4754" s="42" t="s">
        <v>131</v>
      </c>
      <c r="I4754" s="42" t="s">
        <v>893</v>
      </c>
    </row>
    <row r="4755" spans="1:9">
      <c r="A4755" s="42" t="s">
        <v>1088</v>
      </c>
      <c r="B4755" s="42" t="s">
        <v>1111</v>
      </c>
      <c r="C4755" s="42" t="s">
        <v>1115</v>
      </c>
      <c r="D4755" s="42" t="s">
        <v>171</v>
      </c>
      <c r="E4755" s="42" t="s">
        <v>808</v>
      </c>
      <c r="F4755" s="45">
        <v>355000000</v>
      </c>
      <c r="G4755" s="42" t="s">
        <v>763</v>
      </c>
      <c r="H4755" s="42" t="s">
        <v>131</v>
      </c>
      <c r="I4755" s="42" t="s">
        <v>893</v>
      </c>
    </row>
    <row r="4756" spans="1:9">
      <c r="A4756" s="42" t="s">
        <v>1088</v>
      </c>
      <c r="B4756" s="42" t="s">
        <v>261</v>
      </c>
      <c r="C4756" s="42" t="s">
        <v>1116</v>
      </c>
      <c r="D4756" s="42" t="s">
        <v>171</v>
      </c>
      <c r="E4756" s="42" t="s">
        <v>808</v>
      </c>
      <c r="F4756" s="45">
        <v>2000000</v>
      </c>
      <c r="G4756" s="42" t="s">
        <v>763</v>
      </c>
      <c r="H4756" s="42" t="s">
        <v>131</v>
      </c>
      <c r="I4756" s="42" t="s">
        <v>893</v>
      </c>
    </row>
    <row r="4757" spans="1:9">
      <c r="A4757" s="42" t="s">
        <v>1088</v>
      </c>
      <c r="B4757" s="42" t="s">
        <v>219</v>
      </c>
      <c r="C4757" s="42" t="s">
        <v>1117</v>
      </c>
      <c r="D4757" s="42" t="s">
        <v>171</v>
      </c>
      <c r="E4757" s="42" t="s">
        <v>808</v>
      </c>
      <c r="F4757" s="45">
        <v>870000</v>
      </c>
      <c r="G4757" s="42" t="s">
        <v>763</v>
      </c>
      <c r="H4757" s="42" t="s">
        <v>131</v>
      </c>
      <c r="I4757" s="42" t="s">
        <v>893</v>
      </c>
    </row>
    <row r="4758" spans="1:9">
      <c r="A4758" s="42" t="s">
        <v>1088</v>
      </c>
      <c r="B4758" s="42" t="s">
        <v>192</v>
      </c>
      <c r="C4758" s="42" t="s">
        <v>1089</v>
      </c>
      <c r="D4758" s="42" t="s">
        <v>172</v>
      </c>
      <c r="E4758" s="42" t="s">
        <v>808</v>
      </c>
      <c r="F4758" s="45">
        <v>4375000000</v>
      </c>
      <c r="G4758" s="42" t="s">
        <v>763</v>
      </c>
      <c r="H4758" s="42" t="s">
        <v>133</v>
      </c>
      <c r="I4758" s="42" t="s">
        <v>893</v>
      </c>
    </row>
    <row r="4759" spans="1:9">
      <c r="A4759" s="42" t="s">
        <v>1088</v>
      </c>
      <c r="B4759" s="42" t="s">
        <v>193</v>
      </c>
      <c r="C4759" s="42" t="s">
        <v>1090</v>
      </c>
      <c r="D4759" s="42" t="s">
        <v>172</v>
      </c>
      <c r="E4759" s="42" t="s">
        <v>808</v>
      </c>
      <c r="F4759" s="45">
        <v>-3509000000</v>
      </c>
      <c r="G4759" s="42" t="s">
        <v>763</v>
      </c>
      <c r="H4759" s="42" t="s">
        <v>133</v>
      </c>
      <c r="I4759" s="42" t="s">
        <v>893</v>
      </c>
    </row>
    <row r="4760" spans="1:9">
      <c r="A4760" s="42" t="s">
        <v>1088</v>
      </c>
      <c r="B4760" s="42" t="s">
        <v>194</v>
      </c>
      <c r="C4760" s="42" t="s">
        <v>1091</v>
      </c>
      <c r="D4760" s="42" t="s">
        <v>172</v>
      </c>
      <c r="E4760" s="42" t="s">
        <v>808</v>
      </c>
      <c r="F4760" s="45">
        <v>866000000</v>
      </c>
      <c r="G4760" s="42" t="s">
        <v>763</v>
      </c>
      <c r="H4760" s="42" t="s">
        <v>133</v>
      </c>
      <c r="I4760" s="42" t="s">
        <v>893</v>
      </c>
    </row>
    <row r="4761" spans="1:9">
      <c r="A4761" s="42" t="s">
        <v>1088</v>
      </c>
      <c r="B4761" s="42" t="s">
        <v>195</v>
      </c>
      <c r="C4761" s="42" t="s">
        <v>1092</v>
      </c>
      <c r="D4761" s="42" t="s">
        <v>172</v>
      </c>
      <c r="E4761" s="42" t="s">
        <v>808</v>
      </c>
      <c r="F4761" s="45">
        <v>-482000000</v>
      </c>
      <c r="G4761" s="42" t="s">
        <v>763</v>
      </c>
      <c r="H4761" s="42" t="s">
        <v>133</v>
      </c>
      <c r="I4761" s="42" t="s">
        <v>893</v>
      </c>
    </row>
    <row r="4762" spans="1:9">
      <c r="A4762" s="42" t="s">
        <v>1088</v>
      </c>
      <c r="B4762" s="42" t="s">
        <v>196</v>
      </c>
      <c r="C4762" s="42" t="s">
        <v>1093</v>
      </c>
      <c r="D4762" s="42" t="s">
        <v>172</v>
      </c>
      <c r="E4762" s="42" t="s">
        <v>808</v>
      </c>
      <c r="F4762" s="45">
        <v>-167000000</v>
      </c>
      <c r="G4762" s="42" t="s">
        <v>763</v>
      </c>
      <c r="H4762" s="42" t="s">
        <v>133</v>
      </c>
      <c r="I4762" s="42" t="s">
        <v>893</v>
      </c>
    </row>
    <row r="4763" spans="1:9">
      <c r="A4763" s="42" t="s">
        <v>1088</v>
      </c>
      <c r="B4763" s="42" t="s">
        <v>197</v>
      </c>
      <c r="C4763" s="42" t="s">
        <v>1094</v>
      </c>
      <c r="D4763" s="42" t="s">
        <v>172</v>
      </c>
      <c r="E4763" s="42" t="s">
        <v>808</v>
      </c>
      <c r="F4763" s="45">
        <v>-8000000</v>
      </c>
      <c r="G4763" s="42" t="s">
        <v>763</v>
      </c>
      <c r="H4763" s="42" t="s">
        <v>133</v>
      </c>
      <c r="I4763" s="42" t="s">
        <v>893</v>
      </c>
    </row>
    <row r="4764" spans="1:9">
      <c r="A4764" s="42" t="s">
        <v>1088</v>
      </c>
      <c r="B4764" s="42" t="s">
        <v>199</v>
      </c>
      <c r="C4764" s="42" t="s">
        <v>1097</v>
      </c>
      <c r="D4764" s="42" t="s">
        <v>172</v>
      </c>
      <c r="E4764" s="42" t="s">
        <v>808</v>
      </c>
      <c r="F4764" s="45">
        <v>12000000</v>
      </c>
      <c r="G4764" s="42" t="s">
        <v>763</v>
      </c>
      <c r="H4764" s="42" t="s">
        <v>133</v>
      </c>
      <c r="I4764" s="42" t="s">
        <v>893</v>
      </c>
    </row>
    <row r="4765" spans="1:9">
      <c r="A4765" s="42" t="s">
        <v>1088</v>
      </c>
      <c r="B4765" s="42" t="s">
        <v>200</v>
      </c>
      <c r="C4765" s="42" t="s">
        <v>1098</v>
      </c>
      <c r="D4765" s="42" t="s">
        <v>172</v>
      </c>
      <c r="E4765" s="42" t="s">
        <v>808</v>
      </c>
      <c r="F4765" s="45">
        <v>221000000</v>
      </c>
      <c r="G4765" s="42" t="s">
        <v>763</v>
      </c>
      <c r="H4765" s="42" t="s">
        <v>133</v>
      </c>
      <c r="I4765" s="42" t="s">
        <v>893</v>
      </c>
    </row>
    <row r="4766" spans="1:9">
      <c r="A4766" s="42" t="s">
        <v>1088</v>
      </c>
      <c r="B4766" s="42" t="s">
        <v>201</v>
      </c>
      <c r="C4766" s="42" t="s">
        <v>1099</v>
      </c>
      <c r="D4766" s="42" t="s">
        <v>172</v>
      </c>
      <c r="E4766" s="42" t="s">
        <v>808</v>
      </c>
      <c r="F4766" s="45">
        <v>94000000</v>
      </c>
      <c r="G4766" s="42" t="s">
        <v>763</v>
      </c>
      <c r="H4766" s="42" t="s">
        <v>133</v>
      </c>
      <c r="I4766" s="42" t="s">
        <v>893</v>
      </c>
    </row>
    <row r="4767" spans="1:9">
      <c r="A4767" s="42" t="s">
        <v>1088</v>
      </c>
      <c r="B4767" s="42" t="s">
        <v>202</v>
      </c>
      <c r="C4767" s="42" t="s">
        <v>1100</v>
      </c>
      <c r="D4767" s="42" t="s">
        <v>172</v>
      </c>
      <c r="E4767" s="42" t="s">
        <v>808</v>
      </c>
      <c r="F4767" s="45">
        <v>81000000</v>
      </c>
      <c r="G4767" s="42" t="s">
        <v>763</v>
      </c>
      <c r="H4767" s="42" t="s">
        <v>133</v>
      </c>
      <c r="I4767" s="42" t="s">
        <v>893</v>
      </c>
    </row>
    <row r="4768" spans="1:9">
      <c r="A4768" s="42" t="s">
        <v>1088</v>
      </c>
      <c r="B4768" s="42" t="s">
        <v>203</v>
      </c>
      <c r="C4768" s="42" t="s">
        <v>1129</v>
      </c>
      <c r="D4768" s="42" t="s">
        <v>172</v>
      </c>
      <c r="E4768" s="42" t="s">
        <v>808</v>
      </c>
      <c r="F4768" s="45">
        <v>-295000000</v>
      </c>
      <c r="G4768" s="42" t="s">
        <v>763</v>
      </c>
      <c r="H4768" s="42" t="s">
        <v>133</v>
      </c>
      <c r="I4768" s="42" t="s">
        <v>893</v>
      </c>
    </row>
    <row r="4769" spans="1:9">
      <c r="A4769" s="42" t="s">
        <v>1088</v>
      </c>
      <c r="B4769" s="42" t="s">
        <v>204</v>
      </c>
      <c r="C4769" s="42" t="s">
        <v>1102</v>
      </c>
      <c r="D4769" s="42" t="s">
        <v>172</v>
      </c>
      <c r="E4769" s="42" t="s">
        <v>808</v>
      </c>
      <c r="F4769" s="45">
        <v>354000000</v>
      </c>
      <c r="G4769" s="42" t="s">
        <v>763</v>
      </c>
      <c r="H4769" s="42" t="s">
        <v>133</v>
      </c>
      <c r="I4769" s="42" t="s">
        <v>893</v>
      </c>
    </row>
    <row r="4770" spans="1:9">
      <c r="A4770" s="42" t="s">
        <v>1088</v>
      </c>
      <c r="B4770" s="42" t="s">
        <v>205</v>
      </c>
      <c r="C4770" s="42" t="s">
        <v>1103</v>
      </c>
      <c r="D4770" s="42" t="s">
        <v>172</v>
      </c>
      <c r="E4770" s="42" t="s">
        <v>808</v>
      </c>
      <c r="F4770" s="45">
        <v>140000000</v>
      </c>
      <c r="G4770" s="42" t="s">
        <v>763</v>
      </c>
      <c r="H4770" s="42" t="s">
        <v>133</v>
      </c>
      <c r="I4770" s="42" t="s">
        <v>893</v>
      </c>
    </row>
    <row r="4771" spans="1:9">
      <c r="A4771" s="42" t="s">
        <v>1088</v>
      </c>
      <c r="B4771" s="42" t="s">
        <v>206</v>
      </c>
      <c r="C4771" s="42" t="s">
        <v>1104</v>
      </c>
      <c r="D4771" s="42" t="s">
        <v>172</v>
      </c>
      <c r="E4771" s="42" t="s">
        <v>808</v>
      </c>
      <c r="F4771" s="45">
        <v>455000000</v>
      </c>
      <c r="G4771" s="42" t="s">
        <v>763</v>
      </c>
      <c r="H4771" s="42" t="s">
        <v>133</v>
      </c>
      <c r="I4771" s="42" t="s">
        <v>893</v>
      </c>
    </row>
    <row r="4772" spans="1:9">
      <c r="A4772" s="42" t="s">
        <v>1088</v>
      </c>
      <c r="B4772" s="42" t="s">
        <v>207</v>
      </c>
      <c r="C4772" s="42" t="s">
        <v>1105</v>
      </c>
      <c r="D4772" s="42" t="s">
        <v>172</v>
      </c>
      <c r="E4772" s="42" t="s">
        <v>808</v>
      </c>
      <c r="F4772" s="45">
        <v>-75000000</v>
      </c>
      <c r="G4772" s="42" t="s">
        <v>763</v>
      </c>
      <c r="H4772" s="42" t="s">
        <v>133</v>
      </c>
      <c r="I4772" s="42" t="s">
        <v>893</v>
      </c>
    </row>
    <row r="4773" spans="1:9">
      <c r="A4773" s="42" t="s">
        <v>1088</v>
      </c>
      <c r="B4773" s="42" t="s">
        <v>208</v>
      </c>
      <c r="C4773" s="42" t="s">
        <v>1106</v>
      </c>
      <c r="D4773" s="42" t="s">
        <v>172</v>
      </c>
      <c r="E4773" s="42" t="s">
        <v>808</v>
      </c>
      <c r="F4773" s="45">
        <v>380000000</v>
      </c>
      <c r="G4773" s="42" t="s">
        <v>763</v>
      </c>
      <c r="H4773" s="42" t="s">
        <v>133</v>
      </c>
      <c r="I4773" s="42" t="s">
        <v>893</v>
      </c>
    </row>
    <row r="4774" spans="1:9">
      <c r="A4774" s="42" t="s">
        <v>1088</v>
      </c>
      <c r="B4774" s="42" t="s">
        <v>209</v>
      </c>
      <c r="C4774" s="42" t="s">
        <v>1130</v>
      </c>
      <c r="D4774" s="42" t="s">
        <v>172</v>
      </c>
      <c r="E4774" s="42" t="s">
        <v>808</v>
      </c>
      <c r="F4774" s="45">
        <v>-106000000</v>
      </c>
      <c r="G4774" s="42" t="s">
        <v>763</v>
      </c>
      <c r="H4774" s="42" t="s">
        <v>133</v>
      </c>
      <c r="I4774" s="42" t="s">
        <v>893</v>
      </c>
    </row>
    <row r="4775" spans="1:9">
      <c r="A4775" s="42" t="s">
        <v>1088</v>
      </c>
      <c r="B4775" s="42" t="s">
        <v>210</v>
      </c>
      <c r="C4775" s="42" t="s">
        <v>1124</v>
      </c>
      <c r="D4775" s="42" t="s">
        <v>172</v>
      </c>
      <c r="E4775" s="42" t="s">
        <v>808</v>
      </c>
      <c r="F4775" s="45">
        <v>100000000</v>
      </c>
      <c r="G4775" s="42" t="s">
        <v>763</v>
      </c>
      <c r="H4775" s="42" t="s">
        <v>133</v>
      </c>
      <c r="I4775" s="42" t="s">
        <v>893</v>
      </c>
    </row>
    <row r="4776" spans="1:9">
      <c r="A4776" s="42" t="s">
        <v>1088</v>
      </c>
      <c r="B4776" s="42" t="s">
        <v>211</v>
      </c>
      <c r="C4776" s="42" t="s">
        <v>1108</v>
      </c>
      <c r="D4776" s="42" t="s">
        <v>172</v>
      </c>
      <c r="E4776" s="42" t="s">
        <v>808</v>
      </c>
      <c r="F4776" s="45">
        <v>-6000000</v>
      </c>
      <c r="G4776" s="42" t="s">
        <v>763</v>
      </c>
      <c r="H4776" s="42" t="s">
        <v>133</v>
      </c>
      <c r="I4776" s="42" t="s">
        <v>893</v>
      </c>
    </row>
    <row r="4777" spans="1:9">
      <c r="A4777" s="42" t="s">
        <v>1088</v>
      </c>
      <c r="B4777" s="42" t="s">
        <v>228</v>
      </c>
      <c r="C4777" s="42" t="s">
        <v>1109</v>
      </c>
      <c r="D4777" s="42" t="s">
        <v>172</v>
      </c>
      <c r="E4777" s="42" t="s">
        <v>808</v>
      </c>
      <c r="F4777" s="45">
        <v>2269208614.560311</v>
      </c>
      <c r="G4777" s="42" t="s">
        <v>763</v>
      </c>
      <c r="H4777" s="42" t="s">
        <v>123</v>
      </c>
      <c r="I4777" s="42" t="s">
        <v>884</v>
      </c>
    </row>
    <row r="4778" spans="1:9">
      <c r="A4778" s="42" t="s">
        <v>1088</v>
      </c>
      <c r="B4778" s="42" t="s">
        <v>212</v>
      </c>
      <c r="C4778" s="42" t="s">
        <v>1110</v>
      </c>
      <c r="D4778" s="42" t="s">
        <v>172</v>
      </c>
      <c r="E4778" s="42" t="s">
        <v>808</v>
      </c>
      <c r="F4778" s="45">
        <v>374000000</v>
      </c>
      <c r="G4778" s="42" t="s">
        <v>763</v>
      </c>
      <c r="H4778" s="42" t="s">
        <v>133</v>
      </c>
      <c r="I4778" s="42" t="s">
        <v>893</v>
      </c>
    </row>
    <row r="4779" spans="1:9">
      <c r="A4779" s="42" t="s">
        <v>1088</v>
      </c>
      <c r="B4779" s="42" t="s">
        <v>1111</v>
      </c>
      <c r="C4779" s="42" t="s">
        <v>1112</v>
      </c>
      <c r="D4779" s="42" t="s">
        <v>172</v>
      </c>
      <c r="E4779" s="42" t="s">
        <v>808</v>
      </c>
      <c r="F4779" s="45">
        <v>335000000</v>
      </c>
      <c r="G4779" s="42" t="s">
        <v>763</v>
      </c>
      <c r="H4779" s="42" t="s">
        <v>133</v>
      </c>
      <c r="I4779" s="42" t="s">
        <v>893</v>
      </c>
    </row>
    <row r="4780" spans="1:9">
      <c r="A4780" s="42" t="s">
        <v>1088</v>
      </c>
      <c r="B4780" s="42" t="s">
        <v>261</v>
      </c>
      <c r="C4780" s="42" t="s">
        <v>1113</v>
      </c>
      <c r="D4780" s="42" t="s">
        <v>172</v>
      </c>
      <c r="E4780" s="42" t="s">
        <v>808</v>
      </c>
      <c r="F4780" s="45">
        <v>45000000</v>
      </c>
      <c r="G4780" s="42" t="s">
        <v>763</v>
      </c>
      <c r="H4780" s="42" t="s">
        <v>133</v>
      </c>
      <c r="I4780" s="42" t="s">
        <v>893</v>
      </c>
    </row>
    <row r="4781" spans="1:9">
      <c r="A4781" s="42" t="s">
        <v>1088</v>
      </c>
      <c r="B4781" s="42" t="s">
        <v>1111</v>
      </c>
      <c r="C4781" s="42" t="s">
        <v>1114</v>
      </c>
      <c r="D4781" s="42" t="s">
        <v>172</v>
      </c>
      <c r="E4781" s="42" t="s">
        <v>808</v>
      </c>
      <c r="F4781" s="45">
        <v>-7000000</v>
      </c>
      <c r="G4781" s="42" t="s">
        <v>763</v>
      </c>
      <c r="H4781" s="42" t="s">
        <v>133</v>
      </c>
      <c r="I4781" s="42" t="s">
        <v>893</v>
      </c>
    </row>
    <row r="4782" spans="1:9">
      <c r="A4782" s="42" t="s">
        <v>1088</v>
      </c>
      <c r="B4782" s="42" t="s">
        <v>261</v>
      </c>
      <c r="C4782" s="42" t="s">
        <v>1125</v>
      </c>
      <c r="D4782" s="42" t="s">
        <v>172</v>
      </c>
      <c r="E4782" s="42" t="s">
        <v>808</v>
      </c>
      <c r="F4782" s="45">
        <v>1000000</v>
      </c>
      <c r="G4782" s="42" t="s">
        <v>763</v>
      </c>
      <c r="H4782" s="42" t="s">
        <v>133</v>
      </c>
      <c r="I4782" s="42" t="s">
        <v>893</v>
      </c>
    </row>
    <row r="4783" spans="1:9">
      <c r="A4783" s="42" t="s">
        <v>1088</v>
      </c>
      <c r="B4783" s="42" t="s">
        <v>1111</v>
      </c>
      <c r="C4783" s="42" t="s">
        <v>1115</v>
      </c>
      <c r="D4783" s="42" t="s">
        <v>172</v>
      </c>
      <c r="E4783" s="42" t="s">
        <v>808</v>
      </c>
      <c r="F4783" s="45">
        <v>328000000</v>
      </c>
      <c r="G4783" s="42" t="s">
        <v>763</v>
      </c>
      <c r="H4783" s="42" t="s">
        <v>133</v>
      </c>
      <c r="I4783" s="42" t="s">
        <v>893</v>
      </c>
    </row>
    <row r="4784" spans="1:9">
      <c r="A4784" s="42" t="s">
        <v>1088</v>
      </c>
      <c r="B4784" s="42" t="s">
        <v>261</v>
      </c>
      <c r="C4784" s="42" t="s">
        <v>1116</v>
      </c>
      <c r="D4784" s="42" t="s">
        <v>172</v>
      </c>
      <c r="E4784" s="42" t="s">
        <v>808</v>
      </c>
      <c r="F4784" s="45">
        <v>46000000</v>
      </c>
      <c r="G4784" s="42" t="s">
        <v>763</v>
      </c>
      <c r="H4784" s="42" t="s">
        <v>133</v>
      </c>
      <c r="I4784" s="42" t="s">
        <v>893</v>
      </c>
    </row>
    <row r="4785" spans="1:9">
      <c r="A4785" s="42" t="s">
        <v>1088</v>
      </c>
      <c r="B4785" s="42" t="s">
        <v>219</v>
      </c>
      <c r="C4785" s="42" t="s">
        <v>1117</v>
      </c>
      <c r="D4785" s="42" t="s">
        <v>172</v>
      </c>
      <c r="E4785" s="42" t="s">
        <v>808</v>
      </c>
      <c r="F4785" s="45">
        <v>860000</v>
      </c>
      <c r="G4785" s="42" t="s">
        <v>763</v>
      </c>
      <c r="H4785" s="42" t="s">
        <v>133</v>
      </c>
      <c r="I4785" s="42" t="s">
        <v>893</v>
      </c>
    </row>
    <row r="4786" spans="1:9">
      <c r="A4786" s="42" t="s">
        <v>1088</v>
      </c>
      <c r="B4786" s="42" t="s">
        <v>192</v>
      </c>
      <c r="C4786" s="42" t="s">
        <v>1089</v>
      </c>
      <c r="D4786" s="42" t="s">
        <v>173</v>
      </c>
      <c r="E4786" s="42" t="s">
        <v>808</v>
      </c>
      <c r="F4786" s="45">
        <v>4504000000</v>
      </c>
      <c r="G4786" s="42" t="s">
        <v>763</v>
      </c>
      <c r="H4786" s="42" t="s">
        <v>135</v>
      </c>
      <c r="I4786" s="42" t="s">
        <v>893</v>
      </c>
    </row>
    <row r="4787" spans="1:9">
      <c r="A4787" s="42" t="s">
        <v>1088</v>
      </c>
      <c r="B4787" s="42" t="s">
        <v>193</v>
      </c>
      <c r="C4787" s="42" t="s">
        <v>1090</v>
      </c>
      <c r="D4787" s="42" t="s">
        <v>173</v>
      </c>
      <c r="E4787" s="42" t="s">
        <v>808</v>
      </c>
      <c r="F4787" s="45">
        <v>-3689000000</v>
      </c>
      <c r="G4787" s="42" t="s">
        <v>763</v>
      </c>
      <c r="H4787" s="42" t="s">
        <v>135</v>
      </c>
      <c r="I4787" s="42" t="s">
        <v>893</v>
      </c>
    </row>
    <row r="4788" spans="1:9">
      <c r="A4788" s="42" t="s">
        <v>1088</v>
      </c>
      <c r="B4788" s="42" t="s">
        <v>194</v>
      </c>
      <c r="C4788" s="42" t="s">
        <v>1091</v>
      </c>
      <c r="D4788" s="42" t="s">
        <v>173</v>
      </c>
      <c r="E4788" s="42" t="s">
        <v>808</v>
      </c>
      <c r="F4788" s="45">
        <v>815000000</v>
      </c>
      <c r="G4788" s="42" t="s">
        <v>763</v>
      </c>
      <c r="H4788" s="42" t="s">
        <v>135</v>
      </c>
      <c r="I4788" s="42" t="s">
        <v>893</v>
      </c>
    </row>
    <row r="4789" spans="1:9">
      <c r="A4789" s="42" t="s">
        <v>1088</v>
      </c>
      <c r="B4789" s="42" t="s">
        <v>195</v>
      </c>
      <c r="C4789" s="42" t="s">
        <v>1092</v>
      </c>
      <c r="D4789" s="42" t="s">
        <v>173</v>
      </c>
      <c r="E4789" s="42" t="s">
        <v>808</v>
      </c>
      <c r="F4789" s="45">
        <v>-483000000</v>
      </c>
      <c r="G4789" s="42" t="s">
        <v>763</v>
      </c>
      <c r="H4789" s="42" t="s">
        <v>135</v>
      </c>
      <c r="I4789" s="42" t="s">
        <v>893</v>
      </c>
    </row>
    <row r="4790" spans="1:9">
      <c r="A4790" s="42" t="s">
        <v>1088</v>
      </c>
      <c r="B4790" s="42" t="s">
        <v>196</v>
      </c>
      <c r="C4790" s="42" t="s">
        <v>1093</v>
      </c>
      <c r="D4790" s="42" t="s">
        <v>173</v>
      </c>
      <c r="E4790" s="42" t="s">
        <v>808</v>
      </c>
      <c r="F4790" s="45">
        <v>-194000000</v>
      </c>
      <c r="G4790" s="42" t="s">
        <v>763</v>
      </c>
      <c r="H4790" s="42" t="s">
        <v>135</v>
      </c>
      <c r="I4790" s="42" t="s">
        <v>893</v>
      </c>
    </row>
    <row r="4791" spans="1:9">
      <c r="A4791" s="42" t="s">
        <v>1088</v>
      </c>
      <c r="B4791" s="42" t="s">
        <v>197</v>
      </c>
      <c r="C4791" s="42" t="s">
        <v>1094</v>
      </c>
      <c r="D4791" s="42" t="s">
        <v>173</v>
      </c>
      <c r="E4791" s="42" t="s">
        <v>808</v>
      </c>
      <c r="F4791" s="45">
        <v>-16000000</v>
      </c>
      <c r="G4791" s="42" t="s">
        <v>763</v>
      </c>
      <c r="H4791" s="42" t="s">
        <v>135</v>
      </c>
      <c r="I4791" s="42" t="s">
        <v>893</v>
      </c>
    </row>
    <row r="4792" spans="1:9">
      <c r="A4792" s="42" t="s">
        <v>1088</v>
      </c>
      <c r="B4792" s="42" t="s">
        <v>198</v>
      </c>
      <c r="C4792" s="42" t="s">
        <v>1131</v>
      </c>
      <c r="D4792" s="42" t="s">
        <v>173</v>
      </c>
      <c r="E4792" s="42" t="s">
        <v>808</v>
      </c>
      <c r="F4792" s="45">
        <v>-506000000</v>
      </c>
      <c r="G4792" s="42" t="s">
        <v>763</v>
      </c>
      <c r="H4792" s="42" t="s">
        <v>135</v>
      </c>
      <c r="I4792" s="42" t="s">
        <v>893</v>
      </c>
    </row>
    <row r="4793" spans="1:9">
      <c r="A4793" s="42" t="s">
        <v>1088</v>
      </c>
      <c r="B4793" s="42" t="s">
        <v>199</v>
      </c>
      <c r="C4793" s="42" t="s">
        <v>1097</v>
      </c>
      <c r="D4793" s="42" t="s">
        <v>173</v>
      </c>
      <c r="E4793" s="42" t="s">
        <v>808</v>
      </c>
      <c r="F4793" s="45">
        <v>-3000000</v>
      </c>
      <c r="G4793" s="42" t="s">
        <v>763</v>
      </c>
      <c r="H4793" s="42" t="s">
        <v>135</v>
      </c>
      <c r="I4793" s="42" t="s">
        <v>893</v>
      </c>
    </row>
    <row r="4794" spans="1:9">
      <c r="A4794" s="42" t="s">
        <v>1088</v>
      </c>
      <c r="B4794" s="42" t="s">
        <v>200</v>
      </c>
      <c r="C4794" s="42" t="s">
        <v>1098</v>
      </c>
      <c r="D4794" s="42" t="s">
        <v>173</v>
      </c>
      <c r="E4794" s="42" t="s">
        <v>808</v>
      </c>
      <c r="F4794" s="45">
        <v>-387000000</v>
      </c>
      <c r="G4794" s="42" t="s">
        <v>763</v>
      </c>
      <c r="H4794" s="42" t="s">
        <v>135</v>
      </c>
      <c r="I4794" s="42" t="s">
        <v>893</v>
      </c>
    </row>
    <row r="4795" spans="1:9">
      <c r="A4795" s="42" t="s">
        <v>1088</v>
      </c>
      <c r="B4795" s="42" t="s">
        <v>201</v>
      </c>
      <c r="C4795" s="42" t="s">
        <v>1099</v>
      </c>
      <c r="D4795" s="42" t="s">
        <v>173</v>
      </c>
      <c r="E4795" s="42" t="s">
        <v>808</v>
      </c>
      <c r="F4795" s="45">
        <v>44000000</v>
      </c>
      <c r="G4795" s="42" t="s">
        <v>763</v>
      </c>
      <c r="H4795" s="42" t="s">
        <v>135</v>
      </c>
      <c r="I4795" s="42" t="s">
        <v>893</v>
      </c>
    </row>
    <row r="4796" spans="1:9">
      <c r="A4796" s="42" t="s">
        <v>1088</v>
      </c>
      <c r="B4796" s="42" t="s">
        <v>202</v>
      </c>
      <c r="C4796" s="42" t="s">
        <v>1100</v>
      </c>
      <c r="D4796" s="42" t="s">
        <v>173</v>
      </c>
      <c r="E4796" s="42" t="s">
        <v>808</v>
      </c>
      <c r="F4796" s="45">
        <v>104000000</v>
      </c>
      <c r="G4796" s="42" t="s">
        <v>763</v>
      </c>
      <c r="H4796" s="42" t="s">
        <v>135</v>
      </c>
      <c r="I4796" s="42" t="s">
        <v>893</v>
      </c>
    </row>
    <row r="4797" spans="1:9">
      <c r="A4797" s="42" t="s">
        <v>1088</v>
      </c>
      <c r="B4797" s="42" t="s">
        <v>203</v>
      </c>
      <c r="C4797" s="42" t="s">
        <v>1129</v>
      </c>
      <c r="D4797" s="42" t="s">
        <v>173</v>
      </c>
      <c r="E4797" s="42" t="s">
        <v>808</v>
      </c>
      <c r="F4797" s="45">
        <v>-319000000</v>
      </c>
      <c r="G4797" s="42" t="s">
        <v>763</v>
      </c>
      <c r="H4797" s="42" t="s">
        <v>135</v>
      </c>
      <c r="I4797" s="42" t="s">
        <v>893</v>
      </c>
    </row>
    <row r="4798" spans="1:9">
      <c r="A4798" s="42" t="s">
        <v>1088</v>
      </c>
      <c r="B4798" s="42" t="s">
        <v>204</v>
      </c>
      <c r="C4798" s="42" t="s">
        <v>1102</v>
      </c>
      <c r="D4798" s="42" t="s">
        <v>173</v>
      </c>
      <c r="E4798" s="42" t="s">
        <v>808</v>
      </c>
      <c r="F4798" s="45">
        <v>421000000</v>
      </c>
      <c r="G4798" s="42" t="s">
        <v>763</v>
      </c>
      <c r="H4798" s="42" t="s">
        <v>135</v>
      </c>
      <c r="I4798" s="42" t="s">
        <v>893</v>
      </c>
    </row>
    <row r="4799" spans="1:9">
      <c r="A4799" s="42" t="s">
        <v>1088</v>
      </c>
      <c r="B4799" s="42" t="s">
        <v>205</v>
      </c>
      <c r="C4799" s="42" t="s">
        <v>1103</v>
      </c>
      <c r="D4799" s="42" t="s">
        <v>173</v>
      </c>
      <c r="E4799" s="42" t="s">
        <v>808</v>
      </c>
      <c r="F4799" s="45">
        <v>206000000</v>
      </c>
      <c r="G4799" s="42" t="s">
        <v>763</v>
      </c>
      <c r="H4799" s="42" t="s">
        <v>135</v>
      </c>
      <c r="I4799" s="42" t="s">
        <v>893</v>
      </c>
    </row>
    <row r="4800" spans="1:9">
      <c r="A4800" s="42" t="s">
        <v>1088</v>
      </c>
      <c r="B4800" s="42" t="s">
        <v>206</v>
      </c>
      <c r="C4800" s="42" t="s">
        <v>1104</v>
      </c>
      <c r="D4800" s="42" t="s">
        <v>173</v>
      </c>
      <c r="E4800" s="42" t="s">
        <v>808</v>
      </c>
      <c r="F4800" s="45">
        <v>-137000000</v>
      </c>
      <c r="G4800" s="42" t="s">
        <v>763</v>
      </c>
      <c r="H4800" s="42" t="s">
        <v>135</v>
      </c>
      <c r="I4800" s="42" t="s">
        <v>893</v>
      </c>
    </row>
    <row r="4801" spans="1:9">
      <c r="A4801" s="42" t="s">
        <v>1088</v>
      </c>
      <c r="B4801" s="42" t="s">
        <v>207</v>
      </c>
      <c r="C4801" s="42" t="s">
        <v>1105</v>
      </c>
      <c r="D4801" s="42" t="s">
        <v>173</v>
      </c>
      <c r="E4801" s="42" t="s">
        <v>808</v>
      </c>
      <c r="F4801" s="45">
        <v>0</v>
      </c>
      <c r="G4801" s="42" t="s">
        <v>1022</v>
      </c>
      <c r="H4801" s="42" t="s">
        <v>1076</v>
      </c>
      <c r="I4801" s="42" t="s">
        <v>893</v>
      </c>
    </row>
    <row r="4802" spans="1:9">
      <c r="A4802" s="42" t="s">
        <v>1088</v>
      </c>
      <c r="B4802" s="42" t="s">
        <v>208</v>
      </c>
      <c r="C4802" s="42" t="s">
        <v>1106</v>
      </c>
      <c r="D4802" s="42" t="s">
        <v>173</v>
      </c>
      <c r="E4802" s="42" t="s">
        <v>808</v>
      </c>
      <c r="F4802" s="45">
        <v>-137000000</v>
      </c>
      <c r="G4802" s="42" t="s">
        <v>763</v>
      </c>
      <c r="H4802" s="42" t="s">
        <v>135</v>
      </c>
      <c r="I4802" s="42" t="s">
        <v>893</v>
      </c>
    </row>
    <row r="4803" spans="1:9">
      <c r="A4803" s="42" t="s">
        <v>1088</v>
      </c>
      <c r="B4803" s="42" t="s">
        <v>209</v>
      </c>
      <c r="C4803" s="42" t="s">
        <v>1130</v>
      </c>
      <c r="D4803" s="42" t="s">
        <v>173</v>
      </c>
      <c r="E4803" s="42" t="s">
        <v>808</v>
      </c>
      <c r="F4803" s="45">
        <v>-97000000</v>
      </c>
      <c r="G4803" s="42" t="s">
        <v>763</v>
      </c>
      <c r="H4803" s="42" t="s">
        <v>135</v>
      </c>
      <c r="I4803" s="42" t="s">
        <v>893</v>
      </c>
    </row>
    <row r="4804" spans="1:9">
      <c r="A4804" s="42" t="s">
        <v>1088</v>
      </c>
      <c r="B4804" s="42" t="s">
        <v>210</v>
      </c>
      <c r="C4804" s="42" t="s">
        <v>1124</v>
      </c>
      <c r="D4804" s="42" t="s">
        <v>173</v>
      </c>
      <c r="E4804" s="42" t="s">
        <v>808</v>
      </c>
      <c r="F4804" s="45">
        <v>73000000</v>
      </c>
      <c r="G4804" s="42" t="s">
        <v>763</v>
      </c>
      <c r="H4804" s="42" t="s">
        <v>135</v>
      </c>
      <c r="I4804" s="42" t="s">
        <v>893</v>
      </c>
    </row>
    <row r="4805" spans="1:9">
      <c r="A4805" s="42" t="s">
        <v>1088</v>
      </c>
      <c r="B4805" s="42" t="s">
        <v>211</v>
      </c>
      <c r="C4805" s="42" t="s">
        <v>1108</v>
      </c>
      <c r="D4805" s="42" t="s">
        <v>173</v>
      </c>
      <c r="E4805" s="42" t="s">
        <v>808</v>
      </c>
      <c r="F4805" s="45">
        <v>-24000000</v>
      </c>
      <c r="G4805" s="42" t="s">
        <v>763</v>
      </c>
      <c r="H4805" s="42" t="s">
        <v>135</v>
      </c>
      <c r="I4805" s="42" t="s">
        <v>893</v>
      </c>
    </row>
    <row r="4806" spans="1:9">
      <c r="A4806" s="42" t="s">
        <v>1088</v>
      </c>
      <c r="B4806" s="42" t="s">
        <v>228</v>
      </c>
      <c r="C4806" s="42" t="s">
        <v>1109</v>
      </c>
      <c r="D4806" s="42" t="s">
        <v>173</v>
      </c>
      <c r="E4806" s="42" t="s">
        <v>808</v>
      </c>
      <c r="F4806" s="45">
        <v>3381147303.296884</v>
      </c>
      <c r="G4806" s="42" t="s">
        <v>763</v>
      </c>
      <c r="H4806" s="42" t="s">
        <v>125</v>
      </c>
      <c r="I4806" s="42" t="s">
        <v>884</v>
      </c>
    </row>
    <row r="4807" spans="1:9">
      <c r="A4807" s="42" t="s">
        <v>1088</v>
      </c>
      <c r="B4807" s="42" t="s">
        <v>212</v>
      </c>
      <c r="C4807" s="42" t="s">
        <v>1110</v>
      </c>
      <c r="D4807" s="42" t="s">
        <v>173</v>
      </c>
      <c r="E4807" s="42" t="s">
        <v>808</v>
      </c>
      <c r="F4807" s="45">
        <v>-161000000</v>
      </c>
      <c r="G4807" s="42" t="s">
        <v>763</v>
      </c>
      <c r="H4807" s="42" t="s">
        <v>135</v>
      </c>
      <c r="I4807" s="42" t="s">
        <v>893</v>
      </c>
    </row>
    <row r="4808" spans="1:9">
      <c r="A4808" s="42" t="s">
        <v>1088</v>
      </c>
      <c r="B4808" s="42" t="s">
        <v>1111</v>
      </c>
      <c r="C4808" s="42" t="s">
        <v>1112</v>
      </c>
      <c r="D4808" s="42" t="s">
        <v>173</v>
      </c>
      <c r="E4808" s="42" t="s">
        <v>808</v>
      </c>
      <c r="F4808" s="45">
        <v>-128000000</v>
      </c>
      <c r="G4808" s="42" t="s">
        <v>763</v>
      </c>
      <c r="H4808" s="42" t="s">
        <v>135</v>
      </c>
      <c r="I4808" s="42" t="s">
        <v>893</v>
      </c>
    </row>
    <row r="4809" spans="1:9">
      <c r="A4809" s="42" t="s">
        <v>1088</v>
      </c>
      <c r="B4809" s="42" t="s">
        <v>261</v>
      </c>
      <c r="C4809" s="42" t="s">
        <v>1113</v>
      </c>
      <c r="D4809" s="42" t="s">
        <v>173</v>
      </c>
      <c r="E4809" s="42" t="s">
        <v>808</v>
      </c>
      <c r="F4809" s="45">
        <v>-9000000</v>
      </c>
      <c r="G4809" s="42" t="s">
        <v>763</v>
      </c>
      <c r="H4809" s="42" t="s">
        <v>135</v>
      </c>
      <c r="I4809" s="42" t="s">
        <v>893</v>
      </c>
    </row>
    <row r="4810" spans="1:9">
      <c r="A4810" s="42" t="s">
        <v>1088</v>
      </c>
      <c r="B4810" s="42" t="s">
        <v>1111</v>
      </c>
      <c r="C4810" s="42" t="s">
        <v>1114</v>
      </c>
      <c r="D4810" s="42" t="s">
        <v>173</v>
      </c>
      <c r="E4810" s="42" t="s">
        <v>808</v>
      </c>
      <c r="F4810" s="45">
        <v>-24000000</v>
      </c>
      <c r="G4810" s="42" t="s">
        <v>763</v>
      </c>
      <c r="H4810" s="42" t="s">
        <v>135</v>
      </c>
      <c r="I4810" s="42" t="s">
        <v>893</v>
      </c>
    </row>
    <row r="4811" spans="1:9">
      <c r="A4811" s="42" t="s">
        <v>1088</v>
      </c>
      <c r="B4811" s="42" t="s">
        <v>261</v>
      </c>
      <c r="C4811" s="42" t="s">
        <v>1125</v>
      </c>
      <c r="D4811" s="42" t="s">
        <v>173</v>
      </c>
      <c r="E4811" s="42" t="s">
        <v>808</v>
      </c>
      <c r="F4811" s="45">
        <v>0</v>
      </c>
      <c r="G4811" s="42" t="s">
        <v>1022</v>
      </c>
      <c r="H4811" s="42" t="s">
        <v>1076</v>
      </c>
      <c r="I4811" s="42" t="s">
        <v>893</v>
      </c>
    </row>
    <row r="4812" spans="1:9">
      <c r="A4812" s="42" t="s">
        <v>1088</v>
      </c>
      <c r="B4812" s="42" t="s">
        <v>1111</v>
      </c>
      <c r="C4812" s="42" t="s">
        <v>1115</v>
      </c>
      <c r="D4812" s="42" t="s">
        <v>173</v>
      </c>
      <c r="E4812" s="42" t="s">
        <v>808</v>
      </c>
      <c r="F4812" s="45">
        <v>-152000000</v>
      </c>
      <c r="G4812" s="42" t="s">
        <v>763</v>
      </c>
      <c r="H4812" s="42" t="s">
        <v>135</v>
      </c>
      <c r="I4812" s="42" t="s">
        <v>893</v>
      </c>
    </row>
    <row r="4813" spans="1:9">
      <c r="A4813" s="42" t="s">
        <v>1088</v>
      </c>
      <c r="B4813" s="42" t="s">
        <v>261</v>
      </c>
      <c r="C4813" s="42" t="s">
        <v>1116</v>
      </c>
      <c r="D4813" s="42" t="s">
        <v>173</v>
      </c>
      <c r="E4813" s="42" t="s">
        <v>808</v>
      </c>
      <c r="F4813" s="45">
        <v>-9000000</v>
      </c>
      <c r="G4813" s="42" t="s">
        <v>763</v>
      </c>
      <c r="H4813" s="42" t="s">
        <v>135</v>
      </c>
      <c r="I4813" s="42" t="s">
        <v>893</v>
      </c>
    </row>
    <row r="4814" spans="1:9">
      <c r="A4814" s="42" t="s">
        <v>1088</v>
      </c>
      <c r="B4814" s="42" t="s">
        <v>219</v>
      </c>
      <c r="C4814" s="42" t="s">
        <v>1117</v>
      </c>
      <c r="D4814" s="42" t="s">
        <v>173</v>
      </c>
      <c r="E4814" s="42" t="s">
        <v>808</v>
      </c>
      <c r="F4814" s="45">
        <v>-330000</v>
      </c>
      <c r="G4814" s="42" t="s">
        <v>763</v>
      </c>
      <c r="H4814" s="42" t="s">
        <v>135</v>
      </c>
      <c r="I4814" s="42" t="s">
        <v>893</v>
      </c>
    </row>
    <row r="4815" spans="1:9">
      <c r="A4815" s="42" t="s">
        <v>1088</v>
      </c>
      <c r="B4815" s="42" t="s">
        <v>192</v>
      </c>
      <c r="C4815" s="42" t="s">
        <v>1089</v>
      </c>
      <c r="D4815" s="42" t="s">
        <v>174</v>
      </c>
      <c r="E4815" s="42" t="s">
        <v>808</v>
      </c>
      <c r="F4815" s="45">
        <v>4194000000</v>
      </c>
      <c r="G4815" s="42" t="s">
        <v>1025</v>
      </c>
      <c r="H4815" s="42" t="s">
        <v>1077</v>
      </c>
      <c r="I4815" s="42" t="s">
        <v>893</v>
      </c>
    </row>
    <row r="4816" spans="1:9">
      <c r="A4816" s="42" t="s">
        <v>1088</v>
      </c>
      <c r="B4816" s="42" t="s">
        <v>193</v>
      </c>
      <c r="C4816" s="42" t="s">
        <v>1090</v>
      </c>
      <c r="D4816" s="42" t="s">
        <v>174</v>
      </c>
      <c r="E4816" s="42" t="s">
        <v>808</v>
      </c>
      <c r="F4816" s="45">
        <v>-3356000000</v>
      </c>
      <c r="G4816" s="42" t="s">
        <v>1025</v>
      </c>
      <c r="H4816" s="42" t="s">
        <v>1077</v>
      </c>
      <c r="I4816" s="42" t="s">
        <v>893</v>
      </c>
    </row>
    <row r="4817" spans="1:9">
      <c r="A4817" s="42" t="s">
        <v>1088</v>
      </c>
      <c r="B4817" s="42" t="s">
        <v>194</v>
      </c>
      <c r="C4817" s="42" t="s">
        <v>1091</v>
      </c>
      <c r="D4817" s="42" t="s">
        <v>174</v>
      </c>
      <c r="E4817" s="42" t="s">
        <v>808</v>
      </c>
      <c r="F4817" s="45">
        <v>838000000</v>
      </c>
      <c r="G4817" s="42" t="s">
        <v>1025</v>
      </c>
      <c r="H4817" s="42" t="s">
        <v>1077</v>
      </c>
      <c r="I4817" s="42" t="s">
        <v>893</v>
      </c>
    </row>
    <row r="4818" spans="1:9">
      <c r="A4818" s="42" t="s">
        <v>1088</v>
      </c>
      <c r="B4818" s="42" t="s">
        <v>195</v>
      </c>
      <c r="C4818" s="42" t="s">
        <v>1092</v>
      </c>
      <c r="D4818" s="42" t="s">
        <v>174</v>
      </c>
      <c r="E4818" s="42" t="s">
        <v>808</v>
      </c>
      <c r="F4818" s="45">
        <v>-419000000</v>
      </c>
      <c r="G4818" s="42" t="s">
        <v>1025</v>
      </c>
      <c r="H4818" s="42" t="s">
        <v>1077</v>
      </c>
      <c r="I4818" s="42" t="s">
        <v>893</v>
      </c>
    </row>
    <row r="4819" spans="1:9">
      <c r="A4819" s="42" t="s">
        <v>1088</v>
      </c>
      <c r="B4819" s="42" t="s">
        <v>196</v>
      </c>
      <c r="C4819" s="42" t="s">
        <v>1093</v>
      </c>
      <c r="D4819" s="42" t="s">
        <v>174</v>
      </c>
      <c r="E4819" s="42" t="s">
        <v>808</v>
      </c>
      <c r="F4819" s="45">
        <v>-187000000</v>
      </c>
      <c r="G4819" s="42" t="s">
        <v>1025</v>
      </c>
      <c r="H4819" s="42" t="s">
        <v>1077</v>
      </c>
      <c r="I4819" s="42" t="s">
        <v>893</v>
      </c>
    </row>
    <row r="4820" spans="1:9">
      <c r="A4820" s="42" t="s">
        <v>1088</v>
      </c>
      <c r="B4820" s="42" t="s">
        <v>197</v>
      </c>
      <c r="C4820" s="42" t="s">
        <v>1094</v>
      </c>
      <c r="D4820" s="42" t="s">
        <v>174</v>
      </c>
      <c r="E4820" s="42" t="s">
        <v>808</v>
      </c>
      <c r="F4820" s="45">
        <v>-19000000</v>
      </c>
      <c r="G4820" s="42" t="s">
        <v>1025</v>
      </c>
      <c r="H4820" s="42" t="s">
        <v>1077</v>
      </c>
      <c r="I4820" s="42" t="s">
        <v>893</v>
      </c>
    </row>
    <row r="4821" spans="1:9">
      <c r="A4821" s="42" t="s">
        <v>1088</v>
      </c>
      <c r="B4821" s="42" t="s">
        <v>198</v>
      </c>
      <c r="C4821" s="42" t="s">
        <v>1131</v>
      </c>
      <c r="D4821" s="42" t="s">
        <v>174</v>
      </c>
      <c r="E4821" s="42" t="s">
        <v>808</v>
      </c>
      <c r="F4821" s="45">
        <v>-1782000000</v>
      </c>
      <c r="G4821" s="42" t="s">
        <v>1025</v>
      </c>
      <c r="H4821" s="42" t="s">
        <v>1077</v>
      </c>
      <c r="I4821" s="42" t="s">
        <v>893</v>
      </c>
    </row>
    <row r="4822" spans="1:9">
      <c r="A4822" s="42" t="s">
        <v>1088</v>
      </c>
      <c r="B4822" s="42" t="s">
        <v>199</v>
      </c>
      <c r="C4822" s="42" t="s">
        <v>1097</v>
      </c>
      <c r="D4822" s="42" t="s">
        <v>174</v>
      </c>
      <c r="E4822" s="42" t="s">
        <v>808</v>
      </c>
      <c r="F4822" s="45">
        <v>152000000</v>
      </c>
      <c r="G4822" s="42" t="s">
        <v>1133</v>
      </c>
      <c r="H4822" s="42" t="s">
        <v>149</v>
      </c>
      <c r="I4822" s="42" t="s">
        <v>893</v>
      </c>
    </row>
    <row r="4823" spans="1:9">
      <c r="A4823" s="42" t="s">
        <v>1088</v>
      </c>
      <c r="B4823" s="42" t="s">
        <v>200</v>
      </c>
      <c r="C4823" s="42" t="s">
        <v>1098</v>
      </c>
      <c r="D4823" s="42" t="s">
        <v>174</v>
      </c>
      <c r="E4823" s="42" t="s">
        <v>808</v>
      </c>
      <c r="F4823" s="45">
        <v>-1417000000</v>
      </c>
      <c r="G4823" s="42" t="s">
        <v>1025</v>
      </c>
      <c r="H4823" s="42" t="s">
        <v>1077</v>
      </c>
      <c r="I4823" s="42" t="s">
        <v>893</v>
      </c>
    </row>
    <row r="4824" spans="1:9">
      <c r="A4824" s="42" t="s">
        <v>1088</v>
      </c>
      <c r="B4824" s="42" t="s">
        <v>201</v>
      </c>
      <c r="C4824" s="42" t="s">
        <v>1099</v>
      </c>
      <c r="D4824" s="42" t="s">
        <v>174</v>
      </c>
      <c r="E4824" s="42" t="s">
        <v>808</v>
      </c>
      <c r="F4824" s="45">
        <v>-133000000</v>
      </c>
      <c r="G4824" s="42" t="s">
        <v>1025</v>
      </c>
      <c r="H4824" s="42" t="s">
        <v>1077</v>
      </c>
      <c r="I4824" s="42" t="s">
        <v>893</v>
      </c>
    </row>
    <row r="4825" spans="1:9">
      <c r="A4825" s="42" t="s">
        <v>1088</v>
      </c>
      <c r="B4825" s="42" t="s">
        <v>202</v>
      </c>
      <c r="C4825" s="42" t="s">
        <v>1100</v>
      </c>
      <c r="D4825" s="42" t="s">
        <v>174</v>
      </c>
      <c r="E4825" s="42" t="s">
        <v>808</v>
      </c>
      <c r="F4825" s="45">
        <v>104000000</v>
      </c>
      <c r="G4825" s="42" t="s">
        <v>1025</v>
      </c>
      <c r="H4825" s="42" t="s">
        <v>1077</v>
      </c>
      <c r="I4825" s="42" t="s">
        <v>893</v>
      </c>
    </row>
    <row r="4826" spans="1:9">
      <c r="A4826" s="42" t="s">
        <v>1088</v>
      </c>
      <c r="B4826" s="42" t="s">
        <v>203</v>
      </c>
      <c r="C4826" s="42" t="s">
        <v>1129</v>
      </c>
      <c r="D4826" s="42" t="s">
        <v>174</v>
      </c>
      <c r="E4826" s="42" t="s">
        <v>808</v>
      </c>
      <c r="F4826" s="45">
        <v>-256000000</v>
      </c>
      <c r="G4826" s="42" t="s">
        <v>1025</v>
      </c>
      <c r="H4826" s="42" t="s">
        <v>1077</v>
      </c>
      <c r="I4826" s="42" t="s">
        <v>893</v>
      </c>
    </row>
    <row r="4827" spans="1:9">
      <c r="A4827" s="42" t="s">
        <v>1088</v>
      </c>
      <c r="B4827" s="42" t="s">
        <v>204</v>
      </c>
      <c r="C4827" s="42" t="s">
        <v>1102</v>
      </c>
      <c r="D4827" s="42" t="s">
        <v>174</v>
      </c>
      <c r="E4827" s="42" t="s">
        <v>808</v>
      </c>
      <c r="F4827" s="45">
        <v>701000000</v>
      </c>
      <c r="G4827" s="42" t="s">
        <v>1025</v>
      </c>
      <c r="H4827" s="42" t="s">
        <v>1077</v>
      </c>
      <c r="I4827" s="42" t="s">
        <v>893</v>
      </c>
    </row>
    <row r="4828" spans="1:9">
      <c r="A4828" s="42" t="s">
        <v>1088</v>
      </c>
      <c r="B4828" s="42" t="s">
        <v>205</v>
      </c>
      <c r="C4828" s="42" t="s">
        <v>1103</v>
      </c>
      <c r="D4828" s="42" t="s">
        <v>174</v>
      </c>
      <c r="E4828" s="42" t="s">
        <v>808</v>
      </c>
      <c r="F4828" s="45">
        <v>549000000</v>
      </c>
      <c r="G4828" s="42" t="s">
        <v>1025</v>
      </c>
      <c r="H4828" s="42" t="s">
        <v>1077</v>
      </c>
      <c r="I4828" s="42" t="s">
        <v>893</v>
      </c>
    </row>
    <row r="4829" spans="1:9">
      <c r="A4829" s="42" t="s">
        <v>1088</v>
      </c>
      <c r="B4829" s="42" t="s">
        <v>206</v>
      </c>
      <c r="C4829" s="42" t="s">
        <v>1104</v>
      </c>
      <c r="D4829" s="42" t="s">
        <v>174</v>
      </c>
      <c r="E4829" s="42" t="s">
        <v>808</v>
      </c>
      <c r="F4829" s="45">
        <v>-1001000000</v>
      </c>
      <c r="G4829" s="42" t="s">
        <v>1025</v>
      </c>
      <c r="H4829" s="42" t="s">
        <v>1077</v>
      </c>
      <c r="I4829" s="42" t="s">
        <v>893</v>
      </c>
    </row>
    <row r="4830" spans="1:9">
      <c r="A4830" s="42" t="s">
        <v>1088</v>
      </c>
      <c r="B4830" s="42" t="s">
        <v>207</v>
      </c>
      <c r="C4830" s="42" t="s">
        <v>1105</v>
      </c>
      <c r="D4830" s="42" t="s">
        <v>174</v>
      </c>
      <c r="E4830" s="42" t="s">
        <v>808</v>
      </c>
      <c r="F4830" s="45">
        <v>-860000000</v>
      </c>
      <c r="G4830" s="42" t="s">
        <v>1025</v>
      </c>
      <c r="H4830" s="42" t="s">
        <v>1077</v>
      </c>
      <c r="I4830" s="42" t="s">
        <v>893</v>
      </c>
    </row>
    <row r="4831" spans="1:9">
      <c r="A4831" s="42" t="s">
        <v>1088</v>
      </c>
      <c r="B4831" s="42" t="s">
        <v>208</v>
      </c>
      <c r="C4831" s="42" t="s">
        <v>1106</v>
      </c>
      <c r="D4831" s="42" t="s">
        <v>174</v>
      </c>
      <c r="E4831" s="42" t="s">
        <v>808</v>
      </c>
      <c r="F4831" s="45">
        <v>-1861000000</v>
      </c>
      <c r="G4831" s="42" t="s">
        <v>1025</v>
      </c>
      <c r="H4831" s="42" t="s">
        <v>1077</v>
      </c>
      <c r="I4831" s="42" t="s">
        <v>893</v>
      </c>
    </row>
    <row r="4832" spans="1:9">
      <c r="A4832" s="42" t="s">
        <v>1088</v>
      </c>
      <c r="B4832" s="42" t="s">
        <v>209</v>
      </c>
      <c r="C4832" s="42" t="s">
        <v>1130</v>
      </c>
      <c r="D4832" s="42" t="s">
        <v>174</v>
      </c>
      <c r="E4832" s="42" t="s">
        <v>808</v>
      </c>
      <c r="F4832" s="45">
        <v>-154000000</v>
      </c>
      <c r="G4832" s="42" t="s">
        <v>1025</v>
      </c>
      <c r="H4832" s="42" t="s">
        <v>1077</v>
      </c>
      <c r="I4832" s="42" t="s">
        <v>893</v>
      </c>
    </row>
    <row r="4833" spans="1:9">
      <c r="A4833" s="42" t="s">
        <v>1088</v>
      </c>
      <c r="B4833" s="42" t="s">
        <v>210</v>
      </c>
      <c r="C4833" s="42" t="s">
        <v>1124</v>
      </c>
      <c r="D4833" s="42" t="s">
        <v>174</v>
      </c>
      <c r="E4833" s="42" t="s">
        <v>808</v>
      </c>
      <c r="F4833" s="45">
        <v>-53000000</v>
      </c>
      <c r="G4833" s="42" t="s">
        <v>1025</v>
      </c>
      <c r="H4833" s="42" t="s">
        <v>1077</v>
      </c>
      <c r="I4833" s="42" t="s">
        <v>893</v>
      </c>
    </row>
    <row r="4834" spans="1:9">
      <c r="A4834" s="42" t="s">
        <v>1088</v>
      </c>
      <c r="B4834" s="42" t="s">
        <v>211</v>
      </c>
      <c r="C4834" s="42" t="s">
        <v>1108</v>
      </c>
      <c r="D4834" s="42" t="s">
        <v>174</v>
      </c>
      <c r="E4834" s="42" t="s">
        <v>808</v>
      </c>
      <c r="F4834" s="45">
        <v>-207000000</v>
      </c>
      <c r="G4834" s="42" t="s">
        <v>1025</v>
      </c>
      <c r="H4834" s="42" t="s">
        <v>1077</v>
      </c>
      <c r="I4834" s="42" t="s">
        <v>893</v>
      </c>
    </row>
    <row r="4835" spans="1:9">
      <c r="A4835" s="42" t="s">
        <v>1088</v>
      </c>
      <c r="B4835" s="42" t="s">
        <v>228</v>
      </c>
      <c r="C4835" s="42" t="s">
        <v>1109</v>
      </c>
      <c r="D4835" s="42" t="s">
        <v>174</v>
      </c>
      <c r="E4835" s="42" t="s">
        <v>808</v>
      </c>
      <c r="F4835" s="45">
        <v>11810036427.05269</v>
      </c>
      <c r="G4835" s="42" t="s">
        <v>1025</v>
      </c>
      <c r="H4835" s="42" t="s">
        <v>1072</v>
      </c>
      <c r="I4835" s="42" t="s">
        <v>884</v>
      </c>
    </row>
    <row r="4836" spans="1:9">
      <c r="A4836" s="42" t="s">
        <v>1088</v>
      </c>
      <c r="B4836" s="42" t="s">
        <v>212</v>
      </c>
      <c r="C4836" s="42" t="s">
        <v>1110</v>
      </c>
      <c r="D4836" s="42" t="s">
        <v>174</v>
      </c>
      <c r="E4836" s="42" t="s">
        <v>808</v>
      </c>
      <c r="F4836" s="45">
        <v>-2068000000</v>
      </c>
      <c r="G4836" s="42" t="s">
        <v>1025</v>
      </c>
      <c r="H4836" s="42" t="s">
        <v>1077</v>
      </c>
      <c r="I4836" s="42" t="s">
        <v>893</v>
      </c>
    </row>
    <row r="4837" spans="1:9">
      <c r="A4837" s="42" t="s">
        <v>1088</v>
      </c>
      <c r="B4837" s="42" t="s">
        <v>1111</v>
      </c>
      <c r="C4837" s="42" t="s">
        <v>1112</v>
      </c>
      <c r="D4837" s="42" t="s">
        <v>174</v>
      </c>
      <c r="E4837" s="42" t="s">
        <v>808</v>
      </c>
      <c r="F4837" s="45">
        <v>-1860000000</v>
      </c>
      <c r="G4837" s="42" t="s">
        <v>1025</v>
      </c>
      <c r="H4837" s="42" t="s">
        <v>1077</v>
      </c>
      <c r="I4837" s="42" t="s">
        <v>893</v>
      </c>
    </row>
    <row r="4838" spans="1:9">
      <c r="A4838" s="42" t="s">
        <v>1088</v>
      </c>
      <c r="B4838" s="42" t="s">
        <v>261</v>
      </c>
      <c r="C4838" s="42" t="s">
        <v>1113</v>
      </c>
      <c r="D4838" s="42" t="s">
        <v>174</v>
      </c>
      <c r="E4838" s="42" t="s">
        <v>808</v>
      </c>
      <c r="F4838" s="45">
        <v>-1000000</v>
      </c>
      <c r="G4838" s="42" t="s">
        <v>1025</v>
      </c>
      <c r="H4838" s="42" t="s">
        <v>1077</v>
      </c>
      <c r="I4838" s="42" t="s">
        <v>893</v>
      </c>
    </row>
    <row r="4839" spans="1:9">
      <c r="A4839" s="42" t="s">
        <v>1088</v>
      </c>
      <c r="B4839" s="42" t="s">
        <v>1111</v>
      </c>
      <c r="C4839" s="42" t="s">
        <v>1114</v>
      </c>
      <c r="D4839" s="42" t="s">
        <v>174</v>
      </c>
      <c r="E4839" s="42" t="s">
        <v>808</v>
      </c>
      <c r="F4839" s="45">
        <v>-173000000</v>
      </c>
      <c r="G4839" s="42" t="s">
        <v>1025</v>
      </c>
      <c r="H4839" s="42" t="s">
        <v>1077</v>
      </c>
      <c r="I4839" s="42" t="s">
        <v>893</v>
      </c>
    </row>
    <row r="4840" spans="1:9">
      <c r="A4840" s="42" t="s">
        <v>1088</v>
      </c>
      <c r="B4840" s="42" t="s">
        <v>261</v>
      </c>
      <c r="C4840" s="42" t="s">
        <v>1125</v>
      </c>
      <c r="D4840" s="42" t="s">
        <v>174</v>
      </c>
      <c r="E4840" s="42" t="s">
        <v>808</v>
      </c>
      <c r="F4840" s="45">
        <v>-34000000</v>
      </c>
      <c r="G4840" s="42" t="s">
        <v>1025</v>
      </c>
      <c r="H4840" s="42" t="s">
        <v>1077</v>
      </c>
      <c r="I4840" s="42" t="s">
        <v>893</v>
      </c>
    </row>
    <row r="4841" spans="1:9">
      <c r="A4841" s="42" t="s">
        <v>1088</v>
      </c>
      <c r="B4841" s="42" t="s">
        <v>1111</v>
      </c>
      <c r="C4841" s="42" t="s">
        <v>1115</v>
      </c>
      <c r="D4841" s="42" t="s">
        <v>174</v>
      </c>
      <c r="E4841" s="42" t="s">
        <v>808</v>
      </c>
      <c r="F4841" s="45">
        <v>-2033000000</v>
      </c>
      <c r="G4841" s="42" t="s">
        <v>1025</v>
      </c>
      <c r="H4841" s="42" t="s">
        <v>1077</v>
      </c>
      <c r="I4841" s="42" t="s">
        <v>893</v>
      </c>
    </row>
    <row r="4842" spans="1:9">
      <c r="A4842" s="42" t="s">
        <v>1088</v>
      </c>
      <c r="B4842" s="42" t="s">
        <v>261</v>
      </c>
      <c r="C4842" s="42" t="s">
        <v>1116</v>
      </c>
      <c r="D4842" s="42" t="s">
        <v>174</v>
      </c>
      <c r="E4842" s="42" t="s">
        <v>808</v>
      </c>
      <c r="F4842" s="45">
        <v>-35000000</v>
      </c>
      <c r="G4842" s="42" t="s">
        <v>1025</v>
      </c>
      <c r="H4842" s="42" t="s">
        <v>1077</v>
      </c>
      <c r="I4842" s="42" t="s">
        <v>893</v>
      </c>
    </row>
    <row r="4843" spans="1:9">
      <c r="A4843" s="42" t="s">
        <v>1088</v>
      </c>
      <c r="B4843" s="42" t="s">
        <v>192</v>
      </c>
      <c r="C4843" s="42" t="s">
        <v>1089</v>
      </c>
      <c r="D4843" s="42" t="s">
        <v>682</v>
      </c>
      <c r="E4843" s="42" t="s">
        <v>762</v>
      </c>
      <c r="F4843" s="45">
        <v>19293000000</v>
      </c>
      <c r="G4843" s="42" t="s">
        <v>763</v>
      </c>
      <c r="H4843" s="42" t="s">
        <v>147</v>
      </c>
      <c r="I4843" s="42" t="s">
        <v>893</v>
      </c>
    </row>
    <row r="4844" spans="1:9">
      <c r="A4844" s="42" t="s">
        <v>1088</v>
      </c>
      <c r="B4844" s="42" t="s">
        <v>193</v>
      </c>
      <c r="C4844" s="42" t="s">
        <v>1090</v>
      </c>
      <c r="D4844" s="42" t="s">
        <v>682</v>
      </c>
      <c r="E4844" s="42" t="s">
        <v>762</v>
      </c>
      <c r="F4844" s="45">
        <v>-13910000000</v>
      </c>
      <c r="G4844" s="42" t="s">
        <v>763</v>
      </c>
      <c r="H4844" s="42" t="s">
        <v>147</v>
      </c>
      <c r="I4844" s="42" t="s">
        <v>893</v>
      </c>
    </row>
    <row r="4845" spans="1:9">
      <c r="A4845" s="42" t="s">
        <v>1088</v>
      </c>
      <c r="B4845" s="42" t="s">
        <v>194</v>
      </c>
      <c r="C4845" s="42" t="s">
        <v>1091</v>
      </c>
      <c r="D4845" s="42" t="s">
        <v>682</v>
      </c>
      <c r="E4845" s="42" t="s">
        <v>762</v>
      </c>
      <c r="F4845" s="45">
        <v>5383000000</v>
      </c>
      <c r="G4845" s="42" t="s">
        <v>763</v>
      </c>
      <c r="H4845" s="42" t="s">
        <v>147</v>
      </c>
      <c r="I4845" s="42" t="s">
        <v>893</v>
      </c>
    </row>
    <row r="4846" spans="1:9">
      <c r="A4846" s="42" t="s">
        <v>1088</v>
      </c>
      <c r="B4846" s="42" t="s">
        <v>195</v>
      </c>
      <c r="C4846" s="42" t="s">
        <v>1092</v>
      </c>
      <c r="D4846" s="42" t="s">
        <v>682</v>
      </c>
      <c r="E4846" s="42" t="s">
        <v>762</v>
      </c>
      <c r="F4846" s="45">
        <v>-2132000000</v>
      </c>
      <c r="G4846" s="42" t="s">
        <v>763</v>
      </c>
      <c r="H4846" s="42" t="s">
        <v>147</v>
      </c>
      <c r="I4846" s="42" t="s">
        <v>893</v>
      </c>
    </row>
    <row r="4847" spans="1:9">
      <c r="A4847" s="42" t="s">
        <v>1088</v>
      </c>
      <c r="B4847" s="42" t="s">
        <v>196</v>
      </c>
      <c r="C4847" s="42" t="s">
        <v>1093</v>
      </c>
      <c r="D4847" s="42" t="s">
        <v>682</v>
      </c>
      <c r="E4847" s="42" t="s">
        <v>762</v>
      </c>
      <c r="F4847" s="45">
        <v>-836000000</v>
      </c>
      <c r="G4847" s="42" t="s">
        <v>763</v>
      </c>
      <c r="H4847" s="42" t="s">
        <v>147</v>
      </c>
      <c r="I4847" s="42" t="s">
        <v>893</v>
      </c>
    </row>
    <row r="4848" spans="1:9">
      <c r="A4848" s="42" t="s">
        <v>1088</v>
      </c>
      <c r="B4848" s="42" t="s">
        <v>197</v>
      </c>
      <c r="C4848" s="42" t="s">
        <v>1094</v>
      </c>
      <c r="D4848" s="42" t="s">
        <v>682</v>
      </c>
      <c r="E4848" s="42" t="s">
        <v>762</v>
      </c>
      <c r="F4848" s="45">
        <v>-239000000</v>
      </c>
      <c r="G4848" s="42" t="s">
        <v>763</v>
      </c>
      <c r="H4848" s="42" t="s">
        <v>147</v>
      </c>
      <c r="I4848" s="42" t="s">
        <v>893</v>
      </c>
    </row>
    <row r="4849" spans="1:9">
      <c r="A4849" s="42" t="s">
        <v>1088</v>
      </c>
      <c r="B4849" s="42" t="s">
        <v>198</v>
      </c>
      <c r="C4849" s="42" t="s">
        <v>1131</v>
      </c>
      <c r="D4849" s="42" t="s">
        <v>682</v>
      </c>
      <c r="E4849" s="42" t="s">
        <v>762</v>
      </c>
      <c r="F4849" s="45">
        <v>-87000000</v>
      </c>
      <c r="G4849" s="42" t="s">
        <v>763</v>
      </c>
      <c r="H4849" s="42" t="s">
        <v>147</v>
      </c>
      <c r="I4849" s="42" t="s">
        <v>893</v>
      </c>
    </row>
    <row r="4850" spans="1:9">
      <c r="A4850" s="42" t="s">
        <v>1088</v>
      </c>
      <c r="B4850" s="42" t="s">
        <v>199</v>
      </c>
      <c r="C4850" s="42" t="s">
        <v>1097</v>
      </c>
      <c r="D4850" s="42" t="s">
        <v>682</v>
      </c>
      <c r="E4850" s="42" t="s">
        <v>762</v>
      </c>
      <c r="F4850" s="45">
        <v>-609000000</v>
      </c>
      <c r="G4850" s="42" t="s">
        <v>763</v>
      </c>
      <c r="H4850" s="42" t="s">
        <v>147</v>
      </c>
      <c r="I4850" s="42" t="s">
        <v>893</v>
      </c>
    </row>
    <row r="4851" spans="1:9">
      <c r="A4851" s="42" t="s">
        <v>1088</v>
      </c>
      <c r="B4851" s="42" t="s">
        <v>200</v>
      </c>
      <c r="C4851" s="42" t="s">
        <v>1098</v>
      </c>
      <c r="D4851" s="42" t="s">
        <v>682</v>
      </c>
      <c r="E4851" s="42" t="s">
        <v>762</v>
      </c>
      <c r="F4851" s="45">
        <v>1480000000</v>
      </c>
      <c r="G4851" s="42" t="s">
        <v>763</v>
      </c>
      <c r="H4851" s="42" t="s">
        <v>147</v>
      </c>
      <c r="I4851" s="42" t="s">
        <v>893</v>
      </c>
    </row>
    <row r="4852" spans="1:9">
      <c r="A4852" s="42" t="s">
        <v>1088</v>
      </c>
      <c r="B4852" s="42" t="s">
        <v>201</v>
      </c>
      <c r="C4852" s="42" t="s">
        <v>1099</v>
      </c>
      <c r="D4852" s="42" t="s">
        <v>682</v>
      </c>
      <c r="E4852" s="42" t="s">
        <v>762</v>
      </c>
      <c r="F4852" s="45">
        <v>396000000</v>
      </c>
      <c r="G4852" s="42" t="s">
        <v>763</v>
      </c>
      <c r="H4852" s="42" t="s">
        <v>147</v>
      </c>
      <c r="I4852" s="42" t="s">
        <v>893</v>
      </c>
    </row>
    <row r="4853" spans="1:9">
      <c r="A4853" s="42" t="s">
        <v>1088</v>
      </c>
      <c r="B4853" s="42" t="s">
        <v>202</v>
      </c>
      <c r="C4853" s="42" t="s">
        <v>1100</v>
      </c>
      <c r="D4853" s="42" t="s">
        <v>682</v>
      </c>
      <c r="E4853" s="42" t="s">
        <v>762</v>
      </c>
      <c r="F4853" s="45">
        <v>134000000</v>
      </c>
      <c r="G4853" s="42" t="s">
        <v>763</v>
      </c>
      <c r="H4853" s="42" t="s">
        <v>147</v>
      </c>
      <c r="I4853" s="42" t="s">
        <v>893</v>
      </c>
    </row>
    <row r="4854" spans="1:9">
      <c r="A4854" s="42" t="s">
        <v>1088</v>
      </c>
      <c r="B4854" s="42" t="s">
        <v>203</v>
      </c>
      <c r="C4854" s="42" t="s">
        <v>1129</v>
      </c>
      <c r="D4854" s="42" t="s">
        <v>682</v>
      </c>
      <c r="E4854" s="42" t="s">
        <v>762</v>
      </c>
      <c r="F4854" s="45">
        <v>-1169000000</v>
      </c>
      <c r="G4854" s="42" t="s">
        <v>763</v>
      </c>
      <c r="H4854" s="42" t="s">
        <v>147</v>
      </c>
      <c r="I4854" s="42" t="s">
        <v>893</v>
      </c>
    </row>
    <row r="4855" spans="1:9">
      <c r="A4855" s="42" t="s">
        <v>1088</v>
      </c>
      <c r="B4855" s="42" t="s">
        <v>204</v>
      </c>
      <c r="C4855" s="42" t="s">
        <v>1102</v>
      </c>
      <c r="D4855" s="42" t="s">
        <v>682</v>
      </c>
      <c r="E4855" s="42" t="s">
        <v>762</v>
      </c>
      <c r="F4855" s="45">
        <v>179000000</v>
      </c>
      <c r="G4855" s="42" t="s">
        <v>763</v>
      </c>
      <c r="H4855" s="42" t="s">
        <v>147</v>
      </c>
      <c r="I4855" s="42" t="s">
        <v>893</v>
      </c>
    </row>
    <row r="4856" spans="1:9">
      <c r="A4856" s="42" t="s">
        <v>1088</v>
      </c>
      <c r="B4856" s="42" t="s">
        <v>205</v>
      </c>
      <c r="C4856" s="42" t="s">
        <v>1103</v>
      </c>
      <c r="D4856" s="42" t="s">
        <v>682</v>
      </c>
      <c r="E4856" s="42" t="s">
        <v>762</v>
      </c>
      <c r="F4856" s="45">
        <v>-856000000</v>
      </c>
      <c r="G4856" s="42" t="s">
        <v>763</v>
      </c>
      <c r="H4856" s="42" t="s">
        <v>147</v>
      </c>
      <c r="I4856" s="42" t="s">
        <v>893</v>
      </c>
    </row>
    <row r="4857" spans="1:9">
      <c r="A4857" s="42" t="s">
        <v>1088</v>
      </c>
      <c r="B4857" s="42" t="s">
        <v>206</v>
      </c>
      <c r="C4857" s="42" t="s">
        <v>1104</v>
      </c>
      <c r="D4857" s="42" t="s">
        <v>682</v>
      </c>
      <c r="E4857" s="42" t="s">
        <v>762</v>
      </c>
      <c r="F4857" s="45">
        <v>1020000000</v>
      </c>
      <c r="G4857" s="42" t="s">
        <v>763</v>
      </c>
      <c r="H4857" s="42" t="s">
        <v>147</v>
      </c>
      <c r="I4857" s="42" t="s">
        <v>893</v>
      </c>
    </row>
    <row r="4858" spans="1:9">
      <c r="A4858" s="42" t="s">
        <v>1088</v>
      </c>
      <c r="B4858" s="42" t="s">
        <v>207</v>
      </c>
      <c r="C4858" s="42" t="s">
        <v>1105</v>
      </c>
      <c r="D4858" s="42" t="s">
        <v>682</v>
      </c>
      <c r="E4858" s="42" t="s">
        <v>762</v>
      </c>
      <c r="F4858" s="45">
        <v>1373000000</v>
      </c>
      <c r="G4858" s="42" t="s">
        <v>763</v>
      </c>
      <c r="H4858" s="42" t="s">
        <v>147</v>
      </c>
      <c r="I4858" s="42" t="s">
        <v>893</v>
      </c>
    </row>
    <row r="4859" spans="1:9">
      <c r="A4859" s="42" t="s">
        <v>1088</v>
      </c>
      <c r="B4859" s="42" t="s">
        <v>208</v>
      </c>
      <c r="C4859" s="42" t="s">
        <v>1106</v>
      </c>
      <c r="D4859" s="42" t="s">
        <v>682</v>
      </c>
      <c r="E4859" s="42" t="s">
        <v>762</v>
      </c>
      <c r="F4859" s="45">
        <v>2393000000</v>
      </c>
      <c r="G4859" s="42" t="s">
        <v>763</v>
      </c>
      <c r="H4859" s="42" t="s">
        <v>147</v>
      </c>
      <c r="I4859" s="42" t="s">
        <v>893</v>
      </c>
    </row>
    <row r="4860" spans="1:9">
      <c r="A4860" s="42" t="s">
        <v>1088</v>
      </c>
      <c r="B4860" s="42" t="s">
        <v>209</v>
      </c>
      <c r="C4860" s="42" t="s">
        <v>1130</v>
      </c>
      <c r="D4860" s="42" t="s">
        <v>682</v>
      </c>
      <c r="E4860" s="42" t="s">
        <v>762</v>
      </c>
      <c r="F4860" s="45">
        <v>-103000000</v>
      </c>
      <c r="G4860" s="42" t="s">
        <v>763</v>
      </c>
      <c r="H4860" s="42" t="s">
        <v>147</v>
      </c>
      <c r="I4860" s="42" t="s">
        <v>893</v>
      </c>
    </row>
    <row r="4861" spans="1:9">
      <c r="A4861" s="42" t="s">
        <v>1088</v>
      </c>
      <c r="B4861" s="42" t="s">
        <v>210</v>
      </c>
      <c r="C4861" s="42" t="s">
        <v>1124</v>
      </c>
      <c r="D4861" s="42" t="s">
        <v>682</v>
      </c>
      <c r="E4861" s="42" t="s">
        <v>762</v>
      </c>
      <c r="F4861" s="45">
        <v>527000000</v>
      </c>
      <c r="G4861" s="42" t="s">
        <v>763</v>
      </c>
      <c r="H4861" s="42" t="s">
        <v>147</v>
      </c>
      <c r="I4861" s="42" t="s">
        <v>893</v>
      </c>
    </row>
    <row r="4862" spans="1:9">
      <c r="A4862" s="42" t="s">
        <v>1088</v>
      </c>
      <c r="B4862" s="42" t="s">
        <v>211</v>
      </c>
      <c r="C4862" s="42" t="s">
        <v>1108</v>
      </c>
      <c r="D4862" s="42" t="s">
        <v>682</v>
      </c>
      <c r="E4862" s="42" t="s">
        <v>762</v>
      </c>
      <c r="F4862" s="45">
        <v>424000000</v>
      </c>
      <c r="G4862" s="42" t="s">
        <v>763</v>
      </c>
      <c r="H4862" s="42" t="s">
        <v>147</v>
      </c>
      <c r="I4862" s="42" t="s">
        <v>893</v>
      </c>
    </row>
    <row r="4863" spans="1:9">
      <c r="A4863" s="42" t="s">
        <v>1088</v>
      </c>
      <c r="B4863" s="42" t="s">
        <v>228</v>
      </c>
      <c r="C4863" s="42" t="s">
        <v>1109</v>
      </c>
      <c r="D4863" s="42" t="s">
        <v>682</v>
      </c>
      <c r="E4863" s="42" t="s">
        <v>762</v>
      </c>
      <c r="F4863" s="45">
        <v>2563500487.013115</v>
      </c>
      <c r="G4863" s="42" t="s">
        <v>763</v>
      </c>
      <c r="H4863" s="42" t="s">
        <v>137</v>
      </c>
      <c r="I4863" s="42" t="s">
        <v>884</v>
      </c>
    </row>
    <row r="4864" spans="1:9">
      <c r="A4864" s="42" t="s">
        <v>1088</v>
      </c>
      <c r="B4864" s="42" t="s">
        <v>212</v>
      </c>
      <c r="C4864" s="42" t="s">
        <v>1110</v>
      </c>
      <c r="D4864" s="42" t="s">
        <v>682</v>
      </c>
      <c r="E4864" s="42" t="s">
        <v>762</v>
      </c>
      <c r="F4864" s="45">
        <v>2817000000</v>
      </c>
      <c r="G4864" s="42" t="s">
        <v>763</v>
      </c>
      <c r="H4864" s="42" t="s">
        <v>147</v>
      </c>
      <c r="I4864" s="42" t="s">
        <v>893</v>
      </c>
    </row>
    <row r="4865" spans="1:9">
      <c r="A4865" s="42" t="s">
        <v>1088</v>
      </c>
      <c r="B4865" s="42" t="s">
        <v>1111</v>
      </c>
      <c r="C4865" s="42" t="s">
        <v>1112</v>
      </c>
      <c r="D4865" s="42" t="s">
        <v>682</v>
      </c>
      <c r="E4865" s="42" t="s">
        <v>762</v>
      </c>
      <c r="F4865" s="45">
        <v>2348000000</v>
      </c>
      <c r="G4865" s="42" t="s">
        <v>763</v>
      </c>
      <c r="H4865" s="42" t="s">
        <v>147</v>
      </c>
      <c r="I4865" s="42" t="s">
        <v>893</v>
      </c>
    </row>
    <row r="4866" spans="1:9">
      <c r="A4866" s="42" t="s">
        <v>1088</v>
      </c>
      <c r="B4866" s="42" t="s">
        <v>261</v>
      </c>
      <c r="C4866" s="42" t="s">
        <v>1113</v>
      </c>
      <c r="D4866" s="42" t="s">
        <v>682</v>
      </c>
      <c r="E4866" s="42" t="s">
        <v>762</v>
      </c>
      <c r="F4866" s="45">
        <v>45000000</v>
      </c>
      <c r="G4866" s="42" t="s">
        <v>763</v>
      </c>
      <c r="H4866" s="42" t="s">
        <v>147</v>
      </c>
      <c r="I4866" s="42" t="s">
        <v>893</v>
      </c>
    </row>
    <row r="4867" spans="1:9">
      <c r="A4867" s="42" t="s">
        <v>1088</v>
      </c>
      <c r="B4867" s="42" t="s">
        <v>1111</v>
      </c>
      <c r="C4867" s="42" t="s">
        <v>1114</v>
      </c>
      <c r="D4867" s="42" t="s">
        <v>682</v>
      </c>
      <c r="E4867" s="42" t="s">
        <v>762</v>
      </c>
      <c r="F4867" s="45">
        <v>353000000</v>
      </c>
      <c r="G4867" s="42" t="s">
        <v>763</v>
      </c>
      <c r="H4867" s="42" t="s">
        <v>147</v>
      </c>
      <c r="I4867" s="42" t="s">
        <v>893</v>
      </c>
    </row>
    <row r="4868" spans="1:9">
      <c r="A4868" s="42" t="s">
        <v>1088</v>
      </c>
      <c r="B4868" s="42" t="s">
        <v>261</v>
      </c>
      <c r="C4868" s="42" t="s">
        <v>1125</v>
      </c>
      <c r="D4868" s="42" t="s">
        <v>682</v>
      </c>
      <c r="E4868" s="42" t="s">
        <v>762</v>
      </c>
      <c r="F4868" s="45">
        <v>71000000</v>
      </c>
      <c r="G4868" s="42" t="s">
        <v>763</v>
      </c>
      <c r="H4868" s="42" t="s">
        <v>147</v>
      </c>
      <c r="I4868" s="42" t="s">
        <v>893</v>
      </c>
    </row>
    <row r="4869" spans="1:9">
      <c r="A4869" s="42" t="s">
        <v>1088</v>
      </c>
      <c r="B4869" s="42" t="s">
        <v>1111</v>
      </c>
      <c r="C4869" s="42" t="s">
        <v>1115</v>
      </c>
      <c r="D4869" s="42" t="s">
        <v>682</v>
      </c>
      <c r="E4869" s="42" t="s">
        <v>762</v>
      </c>
      <c r="F4869" s="45">
        <v>2701000000</v>
      </c>
      <c r="G4869" s="42" t="s">
        <v>763</v>
      </c>
      <c r="H4869" s="42" t="s">
        <v>147</v>
      </c>
      <c r="I4869" s="42" t="s">
        <v>893</v>
      </c>
    </row>
    <row r="4870" spans="1:9">
      <c r="A4870" s="42" t="s">
        <v>1088</v>
      </c>
      <c r="B4870" s="42" t="s">
        <v>261</v>
      </c>
      <c r="C4870" s="42" t="s">
        <v>1116</v>
      </c>
      <c r="D4870" s="42" t="s">
        <v>682</v>
      </c>
      <c r="E4870" s="42" t="s">
        <v>762</v>
      </c>
      <c r="F4870" s="45">
        <v>116000000</v>
      </c>
      <c r="G4870" s="42" t="s">
        <v>763</v>
      </c>
      <c r="H4870" s="42" t="s">
        <v>147</v>
      </c>
      <c r="I4870" s="42" t="s">
        <v>893</v>
      </c>
    </row>
    <row r="4871" spans="1:9">
      <c r="A4871" s="42" t="s">
        <v>1088</v>
      </c>
      <c r="B4871" s="42" t="s">
        <v>219</v>
      </c>
      <c r="C4871" s="42" t="s">
        <v>1117</v>
      </c>
      <c r="D4871" s="42" t="s">
        <v>682</v>
      </c>
      <c r="E4871" s="42" t="s">
        <v>762</v>
      </c>
      <c r="F4871" s="45">
        <v>5990000</v>
      </c>
      <c r="G4871" s="42" t="s">
        <v>763</v>
      </c>
      <c r="H4871" s="42" t="s">
        <v>147</v>
      </c>
      <c r="I4871" s="42" t="s">
        <v>893</v>
      </c>
    </row>
    <row r="4872" spans="1:9">
      <c r="A4872" s="42" t="s">
        <v>1088</v>
      </c>
      <c r="B4872" s="42" t="s">
        <v>192</v>
      </c>
      <c r="C4872" s="42" t="s">
        <v>1089</v>
      </c>
      <c r="D4872" s="42" t="s">
        <v>175</v>
      </c>
      <c r="E4872" s="42" t="s">
        <v>808</v>
      </c>
      <c r="F4872" s="45">
        <v>4310000000</v>
      </c>
      <c r="G4872" s="42" t="s">
        <v>763</v>
      </c>
      <c r="H4872" s="42" t="s">
        <v>141</v>
      </c>
      <c r="I4872" s="42" t="s">
        <v>893</v>
      </c>
    </row>
    <row r="4873" spans="1:9">
      <c r="A4873" s="42" t="s">
        <v>1088</v>
      </c>
      <c r="B4873" s="42" t="s">
        <v>193</v>
      </c>
      <c r="C4873" s="42" t="s">
        <v>1090</v>
      </c>
      <c r="D4873" s="42" t="s">
        <v>175</v>
      </c>
      <c r="E4873" s="42" t="s">
        <v>808</v>
      </c>
      <c r="F4873" s="45">
        <v>-3019000000</v>
      </c>
      <c r="G4873" s="42" t="s">
        <v>763</v>
      </c>
      <c r="H4873" s="42" t="s">
        <v>141</v>
      </c>
      <c r="I4873" s="42" t="s">
        <v>893</v>
      </c>
    </row>
    <row r="4874" spans="1:9">
      <c r="A4874" s="42" t="s">
        <v>1088</v>
      </c>
      <c r="B4874" s="42" t="s">
        <v>194</v>
      </c>
      <c r="C4874" s="42" t="s">
        <v>1091</v>
      </c>
      <c r="D4874" s="42" t="s">
        <v>175</v>
      </c>
      <c r="E4874" s="42" t="s">
        <v>808</v>
      </c>
      <c r="F4874" s="45">
        <v>1291000000</v>
      </c>
      <c r="G4874" s="42" t="s">
        <v>763</v>
      </c>
      <c r="H4874" s="42" t="s">
        <v>141</v>
      </c>
      <c r="I4874" s="42" t="s">
        <v>893</v>
      </c>
    </row>
    <row r="4875" spans="1:9">
      <c r="A4875" s="42" t="s">
        <v>1088</v>
      </c>
      <c r="B4875" s="42" t="s">
        <v>195</v>
      </c>
      <c r="C4875" s="42" t="s">
        <v>1092</v>
      </c>
      <c r="D4875" s="42" t="s">
        <v>175</v>
      </c>
      <c r="E4875" s="42" t="s">
        <v>808</v>
      </c>
      <c r="F4875" s="45">
        <v>-467000000</v>
      </c>
      <c r="G4875" s="42" t="s">
        <v>763</v>
      </c>
      <c r="H4875" s="42" t="s">
        <v>141</v>
      </c>
      <c r="I4875" s="42" t="s">
        <v>893</v>
      </c>
    </row>
    <row r="4876" spans="1:9">
      <c r="A4876" s="42" t="s">
        <v>1088</v>
      </c>
      <c r="B4876" s="42" t="s">
        <v>196</v>
      </c>
      <c r="C4876" s="42" t="s">
        <v>1093</v>
      </c>
      <c r="D4876" s="42" t="s">
        <v>175</v>
      </c>
      <c r="E4876" s="42" t="s">
        <v>808</v>
      </c>
      <c r="F4876" s="45">
        <v>-141000000</v>
      </c>
      <c r="G4876" s="42" t="s">
        <v>763</v>
      </c>
      <c r="H4876" s="42" t="s">
        <v>141</v>
      </c>
      <c r="I4876" s="42" t="s">
        <v>893</v>
      </c>
    </row>
    <row r="4877" spans="1:9">
      <c r="A4877" s="42" t="s">
        <v>1088</v>
      </c>
      <c r="B4877" s="42" t="s">
        <v>197</v>
      </c>
      <c r="C4877" s="42" t="s">
        <v>1094</v>
      </c>
      <c r="D4877" s="42" t="s">
        <v>175</v>
      </c>
      <c r="E4877" s="42" t="s">
        <v>808</v>
      </c>
      <c r="F4877" s="45">
        <v>-23000000</v>
      </c>
      <c r="G4877" s="42" t="s">
        <v>763</v>
      </c>
      <c r="H4877" s="42" t="s">
        <v>141</v>
      </c>
      <c r="I4877" s="42" t="s">
        <v>893</v>
      </c>
    </row>
    <row r="4878" spans="1:9">
      <c r="A4878" s="42" t="s">
        <v>1088</v>
      </c>
      <c r="B4878" s="42" t="s">
        <v>199</v>
      </c>
      <c r="C4878" s="42" t="s">
        <v>1097</v>
      </c>
      <c r="D4878" s="42" t="s">
        <v>175</v>
      </c>
      <c r="E4878" s="42" t="s">
        <v>808</v>
      </c>
      <c r="F4878" s="45">
        <v>6000000</v>
      </c>
      <c r="G4878" s="42" t="s">
        <v>763</v>
      </c>
      <c r="H4878" s="42" t="s">
        <v>141</v>
      </c>
      <c r="I4878" s="42" t="s">
        <v>893</v>
      </c>
    </row>
    <row r="4879" spans="1:9">
      <c r="A4879" s="42" t="s">
        <v>1088</v>
      </c>
      <c r="B4879" s="42" t="s">
        <v>200</v>
      </c>
      <c r="C4879" s="42" t="s">
        <v>1098</v>
      </c>
      <c r="D4879" s="42" t="s">
        <v>175</v>
      </c>
      <c r="E4879" s="42" t="s">
        <v>808</v>
      </c>
      <c r="F4879" s="45">
        <v>666000000</v>
      </c>
      <c r="G4879" s="42" t="s">
        <v>763</v>
      </c>
      <c r="H4879" s="42" t="s">
        <v>141</v>
      </c>
      <c r="I4879" s="42" t="s">
        <v>893</v>
      </c>
    </row>
    <row r="4880" spans="1:9">
      <c r="A4880" s="42" t="s">
        <v>1088</v>
      </c>
      <c r="B4880" s="42" t="s">
        <v>201</v>
      </c>
      <c r="C4880" s="42" t="s">
        <v>1099</v>
      </c>
      <c r="D4880" s="42" t="s">
        <v>175</v>
      </c>
      <c r="E4880" s="42" t="s">
        <v>808</v>
      </c>
      <c r="F4880" s="45">
        <v>129000000</v>
      </c>
      <c r="G4880" s="42" t="s">
        <v>763</v>
      </c>
      <c r="H4880" s="42" t="s">
        <v>141</v>
      </c>
      <c r="I4880" s="42" t="s">
        <v>893</v>
      </c>
    </row>
    <row r="4881" spans="1:9">
      <c r="A4881" s="42" t="s">
        <v>1088</v>
      </c>
      <c r="B4881" s="42" t="s">
        <v>202</v>
      </c>
      <c r="C4881" s="42" t="s">
        <v>1100</v>
      </c>
      <c r="D4881" s="42" t="s">
        <v>175</v>
      </c>
      <c r="E4881" s="42" t="s">
        <v>808</v>
      </c>
      <c r="F4881" s="45">
        <v>36000000</v>
      </c>
      <c r="G4881" s="42" t="s">
        <v>763</v>
      </c>
      <c r="H4881" s="42" t="s">
        <v>141</v>
      </c>
      <c r="I4881" s="42" t="s">
        <v>893</v>
      </c>
    </row>
    <row r="4882" spans="1:9">
      <c r="A4882" s="42" t="s">
        <v>1088</v>
      </c>
      <c r="B4882" s="42" t="s">
        <v>203</v>
      </c>
      <c r="C4882" s="42" t="s">
        <v>1129</v>
      </c>
      <c r="D4882" s="42" t="s">
        <v>175</v>
      </c>
      <c r="E4882" s="42" t="s">
        <v>808</v>
      </c>
      <c r="F4882" s="45">
        <v>-336000000</v>
      </c>
      <c r="G4882" s="42" t="s">
        <v>763</v>
      </c>
      <c r="H4882" s="42" t="s">
        <v>141</v>
      </c>
      <c r="I4882" s="42" t="s">
        <v>893</v>
      </c>
    </row>
    <row r="4883" spans="1:9">
      <c r="A4883" s="42" t="s">
        <v>1088</v>
      </c>
      <c r="B4883" s="42" t="s">
        <v>204</v>
      </c>
      <c r="C4883" s="42" t="s">
        <v>1102</v>
      </c>
      <c r="D4883" s="42" t="s">
        <v>175</v>
      </c>
      <c r="E4883" s="42" t="s">
        <v>808</v>
      </c>
      <c r="F4883" s="45">
        <v>41000000</v>
      </c>
      <c r="G4883" s="42" t="s">
        <v>763</v>
      </c>
      <c r="H4883" s="42" t="s">
        <v>141</v>
      </c>
      <c r="I4883" s="42" t="s">
        <v>893</v>
      </c>
    </row>
    <row r="4884" spans="1:9">
      <c r="A4884" s="42" t="s">
        <v>1088</v>
      </c>
      <c r="B4884" s="42" t="s">
        <v>205</v>
      </c>
      <c r="C4884" s="42" t="s">
        <v>1103</v>
      </c>
      <c r="D4884" s="42" t="s">
        <v>175</v>
      </c>
      <c r="E4884" s="42" t="s">
        <v>808</v>
      </c>
      <c r="F4884" s="45">
        <v>-259000000</v>
      </c>
      <c r="G4884" s="42" t="s">
        <v>763</v>
      </c>
      <c r="H4884" s="42" t="s">
        <v>141</v>
      </c>
      <c r="I4884" s="42" t="s">
        <v>893</v>
      </c>
    </row>
    <row r="4885" spans="1:9">
      <c r="A4885" s="42" t="s">
        <v>1088</v>
      </c>
      <c r="B4885" s="42" t="s">
        <v>206</v>
      </c>
      <c r="C4885" s="42" t="s">
        <v>1104</v>
      </c>
      <c r="D4885" s="42" t="s">
        <v>175</v>
      </c>
      <c r="E4885" s="42" t="s">
        <v>808</v>
      </c>
      <c r="F4885" s="45">
        <v>536000000</v>
      </c>
      <c r="G4885" s="42" t="s">
        <v>763</v>
      </c>
      <c r="H4885" s="42" t="s">
        <v>141</v>
      </c>
      <c r="I4885" s="42" t="s">
        <v>893</v>
      </c>
    </row>
    <row r="4886" spans="1:9">
      <c r="A4886" s="42" t="s">
        <v>1088</v>
      </c>
      <c r="B4886" s="42" t="s">
        <v>207</v>
      </c>
      <c r="C4886" s="42" t="s">
        <v>1105</v>
      </c>
      <c r="D4886" s="42" t="s">
        <v>175</v>
      </c>
      <c r="E4886" s="42" t="s">
        <v>808</v>
      </c>
      <c r="F4886" s="45">
        <v>121000000</v>
      </c>
      <c r="G4886" s="42" t="s">
        <v>763</v>
      </c>
      <c r="H4886" s="42" t="s">
        <v>141</v>
      </c>
      <c r="I4886" s="42" t="s">
        <v>893</v>
      </c>
    </row>
    <row r="4887" spans="1:9">
      <c r="A4887" s="42" t="s">
        <v>1088</v>
      </c>
      <c r="B4887" s="42" t="s">
        <v>208</v>
      </c>
      <c r="C4887" s="42" t="s">
        <v>1106</v>
      </c>
      <c r="D4887" s="42" t="s">
        <v>175</v>
      </c>
      <c r="E4887" s="42" t="s">
        <v>808</v>
      </c>
      <c r="F4887" s="45">
        <v>657000000</v>
      </c>
      <c r="G4887" s="42" t="s">
        <v>763</v>
      </c>
      <c r="H4887" s="42" t="s">
        <v>141</v>
      </c>
      <c r="I4887" s="42" t="s">
        <v>893</v>
      </c>
    </row>
    <row r="4888" spans="1:9">
      <c r="A4888" s="42" t="s">
        <v>1088</v>
      </c>
      <c r="B4888" s="42" t="s">
        <v>209</v>
      </c>
      <c r="C4888" s="42" t="s">
        <v>1130</v>
      </c>
      <c r="D4888" s="42" t="s">
        <v>175</v>
      </c>
      <c r="E4888" s="42" t="s">
        <v>808</v>
      </c>
      <c r="F4888" s="45">
        <v>-27000000</v>
      </c>
      <c r="G4888" s="42" t="s">
        <v>763</v>
      </c>
      <c r="H4888" s="42" t="s">
        <v>141</v>
      </c>
      <c r="I4888" s="42" t="s">
        <v>893</v>
      </c>
    </row>
    <row r="4889" spans="1:9">
      <c r="A4889" s="42" t="s">
        <v>1088</v>
      </c>
      <c r="B4889" s="42" t="s">
        <v>210</v>
      </c>
      <c r="C4889" s="42" t="s">
        <v>1124</v>
      </c>
      <c r="D4889" s="42" t="s">
        <v>175</v>
      </c>
      <c r="E4889" s="42" t="s">
        <v>808</v>
      </c>
      <c r="F4889" s="45">
        <v>285000000</v>
      </c>
      <c r="G4889" s="42" t="s">
        <v>763</v>
      </c>
      <c r="H4889" s="42" t="s">
        <v>141</v>
      </c>
      <c r="I4889" s="42" t="s">
        <v>893</v>
      </c>
    </row>
    <row r="4890" spans="1:9">
      <c r="A4890" s="42" t="s">
        <v>1088</v>
      </c>
      <c r="B4890" s="42" t="s">
        <v>211</v>
      </c>
      <c r="C4890" s="42" t="s">
        <v>1108</v>
      </c>
      <c r="D4890" s="42" t="s">
        <v>175</v>
      </c>
      <c r="E4890" s="42" t="s">
        <v>808</v>
      </c>
      <c r="F4890" s="45">
        <v>258000000</v>
      </c>
      <c r="G4890" s="42" t="s">
        <v>763</v>
      </c>
      <c r="H4890" s="42" t="s">
        <v>141</v>
      </c>
      <c r="I4890" s="42" t="s">
        <v>893</v>
      </c>
    </row>
    <row r="4891" spans="1:9">
      <c r="A4891" s="42" t="s">
        <v>1088</v>
      </c>
      <c r="B4891" s="42" t="s">
        <v>212</v>
      </c>
      <c r="C4891" s="42" t="s">
        <v>1110</v>
      </c>
      <c r="D4891" s="42" t="s">
        <v>175</v>
      </c>
      <c r="E4891" s="42" t="s">
        <v>808</v>
      </c>
      <c r="F4891" s="45">
        <v>915000000</v>
      </c>
      <c r="G4891" s="42" t="s">
        <v>763</v>
      </c>
      <c r="H4891" s="42" t="s">
        <v>141</v>
      </c>
      <c r="I4891" s="42" t="s">
        <v>893</v>
      </c>
    </row>
    <row r="4892" spans="1:9">
      <c r="A4892" s="42" t="s">
        <v>1088</v>
      </c>
      <c r="B4892" s="42" t="s">
        <v>1111</v>
      </c>
      <c r="C4892" s="42" t="s">
        <v>1112</v>
      </c>
      <c r="D4892" s="42" t="s">
        <v>175</v>
      </c>
      <c r="E4892" s="42" t="s">
        <v>808</v>
      </c>
      <c r="F4892" s="45">
        <v>649000000</v>
      </c>
      <c r="G4892" s="42" t="s">
        <v>763</v>
      </c>
      <c r="H4892" s="42" t="s">
        <v>141</v>
      </c>
      <c r="I4892" s="42" t="s">
        <v>893</v>
      </c>
    </row>
    <row r="4893" spans="1:9">
      <c r="A4893" s="42" t="s">
        <v>1088</v>
      </c>
      <c r="B4893" s="42" t="s">
        <v>261</v>
      </c>
      <c r="C4893" s="42" t="s">
        <v>1113</v>
      </c>
      <c r="D4893" s="42" t="s">
        <v>175</v>
      </c>
      <c r="E4893" s="42" t="s">
        <v>808</v>
      </c>
      <c r="F4893" s="45">
        <v>8000000</v>
      </c>
      <c r="G4893" s="42" t="s">
        <v>763</v>
      </c>
      <c r="H4893" s="42" t="s">
        <v>141</v>
      </c>
      <c r="I4893" s="42" t="s">
        <v>893</v>
      </c>
    </row>
    <row r="4894" spans="1:9">
      <c r="A4894" s="42" t="s">
        <v>1088</v>
      </c>
      <c r="B4894" s="42" t="s">
        <v>1111</v>
      </c>
      <c r="C4894" s="42" t="s">
        <v>1114</v>
      </c>
      <c r="D4894" s="42" t="s">
        <v>175</v>
      </c>
      <c r="E4894" s="42" t="s">
        <v>808</v>
      </c>
      <c r="F4894" s="45">
        <v>214000000</v>
      </c>
      <c r="G4894" s="42" t="s">
        <v>763</v>
      </c>
      <c r="H4894" s="42" t="s">
        <v>141</v>
      </c>
      <c r="I4894" s="42" t="s">
        <v>893</v>
      </c>
    </row>
    <row r="4895" spans="1:9">
      <c r="A4895" s="42" t="s">
        <v>1088</v>
      </c>
      <c r="B4895" s="42" t="s">
        <v>261</v>
      </c>
      <c r="C4895" s="42" t="s">
        <v>1125</v>
      </c>
      <c r="D4895" s="42" t="s">
        <v>175</v>
      </c>
      <c r="E4895" s="42" t="s">
        <v>808</v>
      </c>
      <c r="F4895" s="45">
        <v>44000000</v>
      </c>
      <c r="G4895" s="42" t="s">
        <v>763</v>
      </c>
      <c r="H4895" s="42" t="s">
        <v>141</v>
      </c>
      <c r="I4895" s="42" t="s">
        <v>893</v>
      </c>
    </row>
    <row r="4896" spans="1:9">
      <c r="A4896" s="42" t="s">
        <v>1088</v>
      </c>
      <c r="B4896" s="42" t="s">
        <v>1111</v>
      </c>
      <c r="C4896" s="42" t="s">
        <v>1115</v>
      </c>
      <c r="D4896" s="42" t="s">
        <v>175</v>
      </c>
      <c r="E4896" s="42" t="s">
        <v>808</v>
      </c>
      <c r="F4896" s="45">
        <v>863000000</v>
      </c>
      <c r="G4896" s="42" t="s">
        <v>763</v>
      </c>
      <c r="H4896" s="42" t="s">
        <v>141</v>
      </c>
      <c r="I4896" s="42" t="s">
        <v>893</v>
      </c>
    </row>
    <row r="4897" spans="1:9">
      <c r="A4897" s="42" t="s">
        <v>1088</v>
      </c>
      <c r="B4897" s="42" t="s">
        <v>261</v>
      </c>
      <c r="C4897" s="42" t="s">
        <v>1116</v>
      </c>
      <c r="D4897" s="42" t="s">
        <v>175</v>
      </c>
      <c r="E4897" s="42" t="s">
        <v>808</v>
      </c>
      <c r="F4897" s="45">
        <v>52000000</v>
      </c>
      <c r="G4897" s="42" t="s">
        <v>763</v>
      </c>
      <c r="H4897" s="42" t="s">
        <v>141</v>
      </c>
      <c r="I4897" s="42" t="s">
        <v>893</v>
      </c>
    </row>
    <row r="4898" spans="1:9">
      <c r="A4898" s="42" t="s">
        <v>1088</v>
      </c>
      <c r="B4898" s="42" t="s">
        <v>219</v>
      </c>
      <c r="C4898" s="42" t="s">
        <v>1117</v>
      </c>
      <c r="D4898" s="42" t="s">
        <v>175</v>
      </c>
      <c r="E4898" s="42" t="s">
        <v>808</v>
      </c>
      <c r="F4898" s="45">
        <v>1660000</v>
      </c>
      <c r="G4898" s="42" t="s">
        <v>763</v>
      </c>
      <c r="H4898" s="42" t="s">
        <v>141</v>
      </c>
      <c r="I4898" s="42" t="s">
        <v>893</v>
      </c>
    </row>
    <row r="4899" spans="1:9">
      <c r="A4899" s="42" t="s">
        <v>1088</v>
      </c>
      <c r="B4899" s="42" t="s">
        <v>192</v>
      </c>
      <c r="C4899" s="42" t="s">
        <v>1089</v>
      </c>
      <c r="D4899" s="42" t="s">
        <v>176</v>
      </c>
      <c r="E4899" s="42" t="s">
        <v>808</v>
      </c>
      <c r="F4899" s="45">
        <v>4935000000</v>
      </c>
      <c r="G4899" s="42" t="s">
        <v>763</v>
      </c>
      <c r="H4899" s="42" t="s">
        <v>143</v>
      </c>
      <c r="I4899" s="42" t="s">
        <v>893</v>
      </c>
    </row>
    <row r="4900" spans="1:9">
      <c r="A4900" s="42" t="s">
        <v>1088</v>
      </c>
      <c r="B4900" s="42" t="s">
        <v>193</v>
      </c>
      <c r="C4900" s="42" t="s">
        <v>1090</v>
      </c>
      <c r="D4900" s="42" t="s">
        <v>176</v>
      </c>
      <c r="E4900" s="42" t="s">
        <v>808</v>
      </c>
      <c r="F4900" s="45">
        <v>-3457000000</v>
      </c>
      <c r="G4900" s="42" t="s">
        <v>763</v>
      </c>
      <c r="H4900" s="42" t="s">
        <v>143</v>
      </c>
      <c r="I4900" s="42" t="s">
        <v>893</v>
      </c>
    </row>
    <row r="4901" spans="1:9">
      <c r="A4901" s="42" t="s">
        <v>1088</v>
      </c>
      <c r="B4901" s="42" t="s">
        <v>194</v>
      </c>
      <c r="C4901" s="42" t="s">
        <v>1091</v>
      </c>
      <c r="D4901" s="42" t="s">
        <v>176</v>
      </c>
      <c r="E4901" s="42" t="s">
        <v>808</v>
      </c>
      <c r="F4901" s="45">
        <v>1478000000</v>
      </c>
      <c r="G4901" s="42" t="s">
        <v>763</v>
      </c>
      <c r="H4901" s="42" t="s">
        <v>143</v>
      </c>
      <c r="I4901" s="42" t="s">
        <v>893</v>
      </c>
    </row>
    <row r="4902" spans="1:9">
      <c r="A4902" s="42" t="s">
        <v>1088</v>
      </c>
      <c r="B4902" s="42" t="s">
        <v>195</v>
      </c>
      <c r="C4902" s="42" t="s">
        <v>1092</v>
      </c>
      <c r="D4902" s="42" t="s">
        <v>176</v>
      </c>
      <c r="E4902" s="42" t="s">
        <v>808</v>
      </c>
      <c r="F4902" s="45">
        <v>-577000000</v>
      </c>
      <c r="G4902" s="42" t="s">
        <v>763</v>
      </c>
      <c r="H4902" s="42" t="s">
        <v>143</v>
      </c>
      <c r="I4902" s="42" t="s">
        <v>893</v>
      </c>
    </row>
    <row r="4903" spans="1:9">
      <c r="A4903" s="42" t="s">
        <v>1088</v>
      </c>
      <c r="B4903" s="42" t="s">
        <v>196</v>
      </c>
      <c r="C4903" s="42" t="s">
        <v>1093</v>
      </c>
      <c r="D4903" s="42" t="s">
        <v>176</v>
      </c>
      <c r="E4903" s="42" t="s">
        <v>808</v>
      </c>
      <c r="F4903" s="45">
        <v>-210000000</v>
      </c>
      <c r="G4903" s="42" t="s">
        <v>763</v>
      </c>
      <c r="H4903" s="42" t="s">
        <v>143</v>
      </c>
      <c r="I4903" s="42" t="s">
        <v>893</v>
      </c>
    </row>
    <row r="4904" spans="1:9">
      <c r="A4904" s="42" t="s">
        <v>1088</v>
      </c>
      <c r="B4904" s="42" t="s">
        <v>197</v>
      </c>
      <c r="C4904" s="42" t="s">
        <v>1094</v>
      </c>
      <c r="D4904" s="42" t="s">
        <v>176</v>
      </c>
      <c r="E4904" s="42" t="s">
        <v>808</v>
      </c>
      <c r="F4904" s="45">
        <v>-88000000</v>
      </c>
      <c r="G4904" s="42" t="s">
        <v>763</v>
      </c>
      <c r="H4904" s="42" t="s">
        <v>143</v>
      </c>
      <c r="I4904" s="42" t="s">
        <v>893</v>
      </c>
    </row>
    <row r="4905" spans="1:9">
      <c r="A4905" s="42" t="s">
        <v>1088</v>
      </c>
      <c r="B4905" s="42" t="s">
        <v>198</v>
      </c>
      <c r="C4905" s="42" t="s">
        <v>1131</v>
      </c>
      <c r="D4905" s="42" t="s">
        <v>176</v>
      </c>
      <c r="E4905" s="42" t="s">
        <v>808</v>
      </c>
      <c r="F4905" s="45">
        <v>-5000000</v>
      </c>
      <c r="G4905" s="42" t="s">
        <v>763</v>
      </c>
      <c r="H4905" s="42" t="s">
        <v>143</v>
      </c>
      <c r="I4905" s="42" t="s">
        <v>893</v>
      </c>
    </row>
    <row r="4906" spans="1:9">
      <c r="A4906" s="42" t="s">
        <v>1088</v>
      </c>
      <c r="B4906" s="42" t="s">
        <v>199</v>
      </c>
      <c r="C4906" s="42" t="s">
        <v>1097</v>
      </c>
      <c r="D4906" s="42" t="s">
        <v>176</v>
      </c>
      <c r="E4906" s="42" t="s">
        <v>808</v>
      </c>
      <c r="F4906" s="45">
        <v>-8000000</v>
      </c>
      <c r="G4906" s="42" t="s">
        <v>763</v>
      </c>
      <c r="H4906" s="42" t="s">
        <v>143</v>
      </c>
      <c r="I4906" s="42" t="s">
        <v>893</v>
      </c>
    </row>
    <row r="4907" spans="1:9">
      <c r="A4907" s="42" t="s">
        <v>1088</v>
      </c>
      <c r="B4907" s="42" t="s">
        <v>200</v>
      </c>
      <c r="C4907" s="42" t="s">
        <v>1098</v>
      </c>
      <c r="D4907" s="42" t="s">
        <v>176</v>
      </c>
      <c r="E4907" s="42" t="s">
        <v>808</v>
      </c>
      <c r="F4907" s="45">
        <v>590000000</v>
      </c>
      <c r="G4907" s="42" t="s">
        <v>763</v>
      </c>
      <c r="H4907" s="42" t="s">
        <v>143</v>
      </c>
      <c r="I4907" s="42" t="s">
        <v>893</v>
      </c>
    </row>
    <row r="4908" spans="1:9">
      <c r="A4908" s="42" t="s">
        <v>1088</v>
      </c>
      <c r="B4908" s="42" t="s">
        <v>201</v>
      </c>
      <c r="C4908" s="42" t="s">
        <v>1099</v>
      </c>
      <c r="D4908" s="42" t="s">
        <v>176</v>
      </c>
      <c r="E4908" s="42" t="s">
        <v>808</v>
      </c>
      <c r="F4908" s="45">
        <v>27000000</v>
      </c>
      <c r="G4908" s="42" t="s">
        <v>763</v>
      </c>
      <c r="H4908" s="42" t="s">
        <v>143</v>
      </c>
      <c r="I4908" s="42" t="s">
        <v>893</v>
      </c>
    </row>
    <row r="4909" spans="1:9">
      <c r="A4909" s="42" t="s">
        <v>1088</v>
      </c>
      <c r="B4909" s="42" t="s">
        <v>202</v>
      </c>
      <c r="C4909" s="42" t="s">
        <v>1100</v>
      </c>
      <c r="D4909" s="42" t="s">
        <v>176</v>
      </c>
      <c r="E4909" s="42" t="s">
        <v>808</v>
      </c>
      <c r="F4909" s="45">
        <v>32000000</v>
      </c>
      <c r="G4909" s="42" t="s">
        <v>763</v>
      </c>
      <c r="H4909" s="42" t="s">
        <v>143</v>
      </c>
      <c r="I4909" s="42" t="s">
        <v>893</v>
      </c>
    </row>
    <row r="4910" spans="1:9">
      <c r="A4910" s="42" t="s">
        <v>1088</v>
      </c>
      <c r="B4910" s="42" t="s">
        <v>203</v>
      </c>
      <c r="C4910" s="42" t="s">
        <v>1129</v>
      </c>
      <c r="D4910" s="42" t="s">
        <v>176</v>
      </c>
      <c r="E4910" s="42" t="s">
        <v>808</v>
      </c>
      <c r="F4910" s="45">
        <v>-308000000</v>
      </c>
      <c r="G4910" s="42" t="s">
        <v>763</v>
      </c>
      <c r="H4910" s="42" t="s">
        <v>143</v>
      </c>
      <c r="I4910" s="42" t="s">
        <v>893</v>
      </c>
    </row>
    <row r="4911" spans="1:9">
      <c r="A4911" s="42" t="s">
        <v>1088</v>
      </c>
      <c r="B4911" s="42" t="s">
        <v>204</v>
      </c>
      <c r="C4911" s="42" t="s">
        <v>1102</v>
      </c>
      <c r="D4911" s="42" t="s">
        <v>176</v>
      </c>
      <c r="E4911" s="42" t="s">
        <v>808</v>
      </c>
      <c r="F4911" s="45">
        <v>115000000</v>
      </c>
      <c r="G4911" s="42" t="s">
        <v>763</v>
      </c>
      <c r="H4911" s="42" t="s">
        <v>143</v>
      </c>
      <c r="I4911" s="42" t="s">
        <v>893</v>
      </c>
    </row>
    <row r="4912" spans="1:9">
      <c r="A4912" s="42" t="s">
        <v>1088</v>
      </c>
      <c r="B4912" s="42" t="s">
        <v>205</v>
      </c>
      <c r="C4912" s="42" t="s">
        <v>1103</v>
      </c>
      <c r="D4912" s="42" t="s">
        <v>176</v>
      </c>
      <c r="E4912" s="42" t="s">
        <v>808</v>
      </c>
      <c r="F4912" s="45">
        <v>-161000000</v>
      </c>
      <c r="G4912" s="42" t="s">
        <v>763</v>
      </c>
      <c r="H4912" s="42" t="s">
        <v>143</v>
      </c>
      <c r="I4912" s="42" t="s">
        <v>893</v>
      </c>
    </row>
    <row r="4913" spans="1:9">
      <c r="A4913" s="42" t="s">
        <v>1088</v>
      </c>
      <c r="B4913" s="42" t="s">
        <v>206</v>
      </c>
      <c r="C4913" s="42" t="s">
        <v>1104</v>
      </c>
      <c r="D4913" s="42" t="s">
        <v>176</v>
      </c>
      <c r="E4913" s="42" t="s">
        <v>808</v>
      </c>
      <c r="F4913" s="45">
        <v>456000000</v>
      </c>
      <c r="G4913" s="42" t="s">
        <v>763</v>
      </c>
      <c r="H4913" s="42" t="s">
        <v>143</v>
      </c>
      <c r="I4913" s="42" t="s">
        <v>893</v>
      </c>
    </row>
    <row r="4914" spans="1:9">
      <c r="A4914" s="42" t="s">
        <v>1088</v>
      </c>
      <c r="B4914" s="42" t="s">
        <v>207</v>
      </c>
      <c r="C4914" s="42" t="s">
        <v>1105</v>
      </c>
      <c r="D4914" s="42" t="s">
        <v>176</v>
      </c>
      <c r="E4914" s="42" t="s">
        <v>808</v>
      </c>
      <c r="F4914" s="45">
        <v>79000000</v>
      </c>
      <c r="G4914" s="42" t="s">
        <v>763</v>
      </c>
      <c r="H4914" s="42" t="s">
        <v>143</v>
      </c>
      <c r="I4914" s="42" t="s">
        <v>893</v>
      </c>
    </row>
    <row r="4915" spans="1:9">
      <c r="A4915" s="42" t="s">
        <v>1088</v>
      </c>
      <c r="B4915" s="42" t="s">
        <v>208</v>
      </c>
      <c r="C4915" s="42" t="s">
        <v>1106</v>
      </c>
      <c r="D4915" s="42" t="s">
        <v>176</v>
      </c>
      <c r="E4915" s="42" t="s">
        <v>808</v>
      </c>
      <c r="F4915" s="45">
        <v>535000000</v>
      </c>
      <c r="G4915" s="42" t="s">
        <v>763</v>
      </c>
      <c r="H4915" s="42" t="s">
        <v>143</v>
      </c>
      <c r="I4915" s="42" t="s">
        <v>893</v>
      </c>
    </row>
    <row r="4916" spans="1:9">
      <c r="A4916" s="42" t="s">
        <v>1088</v>
      </c>
      <c r="B4916" s="42" t="s">
        <v>209</v>
      </c>
      <c r="C4916" s="42" t="s">
        <v>1130</v>
      </c>
      <c r="D4916" s="42" t="s">
        <v>176</v>
      </c>
      <c r="E4916" s="42" t="s">
        <v>808</v>
      </c>
      <c r="F4916" s="45">
        <v>-29000000</v>
      </c>
      <c r="G4916" s="42" t="s">
        <v>763</v>
      </c>
      <c r="H4916" s="42" t="s">
        <v>143</v>
      </c>
      <c r="I4916" s="42" t="s">
        <v>893</v>
      </c>
    </row>
    <row r="4917" spans="1:9">
      <c r="A4917" s="42" t="s">
        <v>1088</v>
      </c>
      <c r="B4917" s="42" t="s">
        <v>210</v>
      </c>
      <c r="C4917" s="42" t="s">
        <v>1124</v>
      </c>
      <c r="D4917" s="42" t="s">
        <v>176</v>
      </c>
      <c r="E4917" s="42" t="s">
        <v>808</v>
      </c>
      <c r="F4917" s="45">
        <v>131000000</v>
      </c>
      <c r="G4917" s="42" t="s">
        <v>763</v>
      </c>
      <c r="H4917" s="42" t="s">
        <v>143</v>
      </c>
      <c r="I4917" s="42" t="s">
        <v>893</v>
      </c>
    </row>
    <row r="4918" spans="1:9">
      <c r="A4918" s="42" t="s">
        <v>1088</v>
      </c>
      <c r="B4918" s="42" t="s">
        <v>211</v>
      </c>
      <c r="C4918" s="42" t="s">
        <v>1108</v>
      </c>
      <c r="D4918" s="42" t="s">
        <v>176</v>
      </c>
      <c r="E4918" s="42" t="s">
        <v>808</v>
      </c>
      <c r="F4918" s="45">
        <v>102000000</v>
      </c>
      <c r="G4918" s="42" t="s">
        <v>763</v>
      </c>
      <c r="H4918" s="42" t="s">
        <v>143</v>
      </c>
      <c r="I4918" s="42" t="s">
        <v>893</v>
      </c>
    </row>
    <row r="4919" spans="1:9">
      <c r="A4919" s="42" t="s">
        <v>1088</v>
      </c>
      <c r="B4919" s="42" t="s">
        <v>212</v>
      </c>
      <c r="C4919" s="42" t="s">
        <v>1110</v>
      </c>
      <c r="D4919" s="42" t="s">
        <v>176</v>
      </c>
      <c r="E4919" s="42" t="s">
        <v>808</v>
      </c>
      <c r="F4919" s="45">
        <v>637000000</v>
      </c>
      <c r="G4919" s="42" t="s">
        <v>763</v>
      </c>
      <c r="H4919" s="42" t="s">
        <v>143</v>
      </c>
      <c r="I4919" s="42" t="s">
        <v>893</v>
      </c>
    </row>
    <row r="4920" spans="1:9">
      <c r="A4920" s="42" t="s">
        <v>1088</v>
      </c>
      <c r="B4920" s="42" t="s">
        <v>1111</v>
      </c>
      <c r="C4920" s="42" t="s">
        <v>1112</v>
      </c>
      <c r="D4920" s="42" t="s">
        <v>176</v>
      </c>
      <c r="E4920" s="42" t="s">
        <v>808</v>
      </c>
      <c r="F4920" s="45">
        <v>519000000</v>
      </c>
      <c r="G4920" s="42" t="s">
        <v>763</v>
      </c>
      <c r="H4920" s="42" t="s">
        <v>143</v>
      </c>
      <c r="I4920" s="42" t="s">
        <v>893</v>
      </c>
    </row>
    <row r="4921" spans="1:9">
      <c r="A4921" s="42" t="s">
        <v>1088</v>
      </c>
      <c r="B4921" s="42" t="s">
        <v>261</v>
      </c>
      <c r="C4921" s="42" t="s">
        <v>1113</v>
      </c>
      <c r="D4921" s="42" t="s">
        <v>176</v>
      </c>
      <c r="E4921" s="42" t="s">
        <v>808</v>
      </c>
      <c r="F4921" s="45">
        <v>16000000</v>
      </c>
      <c r="G4921" s="42" t="s">
        <v>763</v>
      </c>
      <c r="H4921" s="42" t="s">
        <v>143</v>
      </c>
      <c r="I4921" s="42" t="s">
        <v>893</v>
      </c>
    </row>
    <row r="4922" spans="1:9">
      <c r="A4922" s="42" t="s">
        <v>1088</v>
      </c>
      <c r="B4922" s="42" t="s">
        <v>1111</v>
      </c>
      <c r="C4922" s="42" t="s">
        <v>1114</v>
      </c>
      <c r="D4922" s="42" t="s">
        <v>176</v>
      </c>
      <c r="E4922" s="42" t="s">
        <v>808</v>
      </c>
      <c r="F4922" s="45">
        <v>85000000</v>
      </c>
      <c r="G4922" s="42" t="s">
        <v>763</v>
      </c>
      <c r="H4922" s="42" t="s">
        <v>143</v>
      </c>
      <c r="I4922" s="42" t="s">
        <v>893</v>
      </c>
    </row>
    <row r="4923" spans="1:9">
      <c r="A4923" s="42" t="s">
        <v>1088</v>
      </c>
      <c r="B4923" s="42" t="s">
        <v>261</v>
      </c>
      <c r="C4923" s="42" t="s">
        <v>1125</v>
      </c>
      <c r="D4923" s="42" t="s">
        <v>176</v>
      </c>
      <c r="E4923" s="42" t="s">
        <v>808</v>
      </c>
      <c r="F4923" s="45">
        <v>17000000</v>
      </c>
      <c r="G4923" s="42" t="s">
        <v>763</v>
      </c>
      <c r="H4923" s="42" t="s">
        <v>143</v>
      </c>
      <c r="I4923" s="42" t="s">
        <v>893</v>
      </c>
    </row>
    <row r="4924" spans="1:9">
      <c r="A4924" s="42" t="s">
        <v>1088</v>
      </c>
      <c r="B4924" s="42" t="s">
        <v>1111</v>
      </c>
      <c r="C4924" s="42" t="s">
        <v>1115</v>
      </c>
      <c r="D4924" s="42" t="s">
        <v>176</v>
      </c>
      <c r="E4924" s="42" t="s">
        <v>808</v>
      </c>
      <c r="F4924" s="45">
        <v>604000000</v>
      </c>
      <c r="G4924" s="42" t="s">
        <v>763</v>
      </c>
      <c r="H4924" s="42" t="s">
        <v>143</v>
      </c>
      <c r="I4924" s="42" t="s">
        <v>893</v>
      </c>
    </row>
    <row r="4925" spans="1:9">
      <c r="A4925" s="42" t="s">
        <v>1088</v>
      </c>
      <c r="B4925" s="42" t="s">
        <v>261</v>
      </c>
      <c r="C4925" s="42" t="s">
        <v>1116</v>
      </c>
      <c r="D4925" s="42" t="s">
        <v>176</v>
      </c>
      <c r="E4925" s="42" t="s">
        <v>808</v>
      </c>
      <c r="F4925" s="45">
        <v>33000000</v>
      </c>
      <c r="G4925" s="42" t="s">
        <v>763</v>
      </c>
      <c r="H4925" s="42" t="s">
        <v>143</v>
      </c>
      <c r="I4925" s="42" t="s">
        <v>893</v>
      </c>
    </row>
    <row r="4926" spans="1:9">
      <c r="A4926" s="42" t="s">
        <v>1088</v>
      </c>
      <c r="B4926" s="42" t="s">
        <v>219</v>
      </c>
      <c r="C4926" s="42" t="s">
        <v>1117</v>
      </c>
      <c r="D4926" s="42" t="s">
        <v>176</v>
      </c>
      <c r="E4926" s="42" t="s">
        <v>808</v>
      </c>
      <c r="F4926" s="45">
        <v>1320000</v>
      </c>
      <c r="G4926" s="42" t="s">
        <v>763</v>
      </c>
      <c r="H4926" s="42" t="s">
        <v>143</v>
      </c>
      <c r="I4926" s="42" t="s">
        <v>893</v>
      </c>
    </row>
    <row r="4927" spans="1:9">
      <c r="A4927" s="42" t="s">
        <v>1088</v>
      </c>
      <c r="B4927" s="42" t="s">
        <v>192</v>
      </c>
      <c r="C4927" s="42" t="s">
        <v>1089</v>
      </c>
      <c r="D4927" s="42" t="s">
        <v>177</v>
      </c>
      <c r="E4927" s="42" t="s">
        <v>808</v>
      </c>
      <c r="F4927" s="45">
        <v>5297000000</v>
      </c>
      <c r="G4927" s="42" t="s">
        <v>763</v>
      </c>
      <c r="H4927" s="42" t="s">
        <v>145</v>
      </c>
      <c r="I4927" s="42" t="s">
        <v>893</v>
      </c>
    </row>
    <row r="4928" spans="1:9">
      <c r="A4928" s="42" t="s">
        <v>1088</v>
      </c>
      <c r="B4928" s="42" t="s">
        <v>193</v>
      </c>
      <c r="C4928" s="42" t="s">
        <v>1090</v>
      </c>
      <c r="D4928" s="42" t="s">
        <v>177</v>
      </c>
      <c r="E4928" s="42" t="s">
        <v>808</v>
      </c>
      <c r="F4928" s="45">
        <v>-3678000000</v>
      </c>
      <c r="G4928" s="42" t="s">
        <v>763</v>
      </c>
      <c r="H4928" s="42" t="s">
        <v>145</v>
      </c>
      <c r="I4928" s="42" t="s">
        <v>893</v>
      </c>
    </row>
    <row r="4929" spans="1:9">
      <c r="A4929" s="42" t="s">
        <v>1088</v>
      </c>
      <c r="B4929" s="42" t="s">
        <v>194</v>
      </c>
      <c r="C4929" s="42" t="s">
        <v>1091</v>
      </c>
      <c r="D4929" s="42" t="s">
        <v>177</v>
      </c>
      <c r="E4929" s="42" t="s">
        <v>808</v>
      </c>
      <c r="F4929" s="45">
        <v>1619000000</v>
      </c>
      <c r="G4929" s="42" t="s">
        <v>763</v>
      </c>
      <c r="H4929" s="42" t="s">
        <v>145</v>
      </c>
      <c r="I4929" s="42" t="s">
        <v>893</v>
      </c>
    </row>
    <row r="4930" spans="1:9">
      <c r="A4930" s="42" t="s">
        <v>1088</v>
      </c>
      <c r="B4930" s="42" t="s">
        <v>195</v>
      </c>
      <c r="C4930" s="42" t="s">
        <v>1092</v>
      </c>
      <c r="D4930" s="42" t="s">
        <v>177</v>
      </c>
      <c r="E4930" s="42" t="s">
        <v>808</v>
      </c>
      <c r="F4930" s="45">
        <v>-552000000</v>
      </c>
      <c r="G4930" s="42" t="s">
        <v>763</v>
      </c>
      <c r="H4930" s="42" t="s">
        <v>145</v>
      </c>
      <c r="I4930" s="42" t="s">
        <v>893</v>
      </c>
    </row>
    <row r="4931" spans="1:9">
      <c r="A4931" s="42" t="s">
        <v>1088</v>
      </c>
      <c r="B4931" s="42" t="s">
        <v>196</v>
      </c>
      <c r="C4931" s="42" t="s">
        <v>1093</v>
      </c>
      <c r="D4931" s="42" t="s">
        <v>177</v>
      </c>
      <c r="E4931" s="42" t="s">
        <v>808</v>
      </c>
      <c r="F4931" s="45">
        <v>-224000000</v>
      </c>
      <c r="G4931" s="42" t="s">
        <v>763</v>
      </c>
      <c r="H4931" s="42" t="s">
        <v>145</v>
      </c>
      <c r="I4931" s="42" t="s">
        <v>893</v>
      </c>
    </row>
    <row r="4932" spans="1:9">
      <c r="A4932" s="42" t="s">
        <v>1088</v>
      </c>
      <c r="B4932" s="42" t="s">
        <v>197</v>
      </c>
      <c r="C4932" s="42" t="s">
        <v>1094</v>
      </c>
      <c r="D4932" s="42" t="s">
        <v>177</v>
      </c>
      <c r="E4932" s="42" t="s">
        <v>808</v>
      </c>
      <c r="F4932" s="45">
        <v>-20000000</v>
      </c>
      <c r="G4932" s="42" t="s">
        <v>763</v>
      </c>
      <c r="H4932" s="42" t="s">
        <v>145</v>
      </c>
      <c r="I4932" s="42" t="s">
        <v>893</v>
      </c>
    </row>
    <row r="4933" spans="1:9">
      <c r="A4933" s="42" t="s">
        <v>1088</v>
      </c>
      <c r="B4933" s="42" t="s">
        <v>198</v>
      </c>
      <c r="C4933" s="42" t="s">
        <v>1131</v>
      </c>
      <c r="D4933" s="42" t="s">
        <v>177</v>
      </c>
      <c r="E4933" s="42" t="s">
        <v>808</v>
      </c>
      <c r="F4933" s="45">
        <v>-21000000</v>
      </c>
      <c r="G4933" s="42" t="s">
        <v>763</v>
      </c>
      <c r="H4933" s="42" t="s">
        <v>145</v>
      </c>
      <c r="I4933" s="42" t="s">
        <v>893</v>
      </c>
    </row>
    <row r="4934" spans="1:9">
      <c r="A4934" s="42" t="s">
        <v>1088</v>
      </c>
      <c r="B4934" s="42" t="s">
        <v>199</v>
      </c>
      <c r="C4934" s="42" t="s">
        <v>1097</v>
      </c>
      <c r="D4934" s="42" t="s">
        <v>177</v>
      </c>
      <c r="E4934" s="42" t="s">
        <v>808</v>
      </c>
      <c r="F4934" s="45">
        <v>-48000000</v>
      </c>
      <c r="G4934" s="42" t="s">
        <v>763</v>
      </c>
      <c r="H4934" s="42" t="s">
        <v>145</v>
      </c>
      <c r="I4934" s="42" t="s">
        <v>893</v>
      </c>
    </row>
    <row r="4935" spans="1:9">
      <c r="A4935" s="42" t="s">
        <v>1088</v>
      </c>
      <c r="B4935" s="42" t="s">
        <v>200</v>
      </c>
      <c r="C4935" s="42" t="s">
        <v>1098</v>
      </c>
      <c r="D4935" s="42" t="s">
        <v>177</v>
      </c>
      <c r="E4935" s="42" t="s">
        <v>808</v>
      </c>
      <c r="F4935" s="45">
        <v>754000000</v>
      </c>
      <c r="G4935" s="42" t="s">
        <v>763</v>
      </c>
      <c r="H4935" s="42" t="s">
        <v>145</v>
      </c>
      <c r="I4935" s="42" t="s">
        <v>893</v>
      </c>
    </row>
    <row r="4936" spans="1:9">
      <c r="A4936" s="42" t="s">
        <v>1088</v>
      </c>
      <c r="B4936" s="42" t="s">
        <v>201</v>
      </c>
      <c r="C4936" s="42" t="s">
        <v>1099</v>
      </c>
      <c r="D4936" s="42" t="s">
        <v>177</v>
      </c>
      <c r="E4936" s="42" t="s">
        <v>808</v>
      </c>
      <c r="F4936" s="45">
        <v>107000000</v>
      </c>
      <c r="G4936" s="42" t="s">
        <v>763</v>
      </c>
      <c r="H4936" s="42" t="s">
        <v>145</v>
      </c>
      <c r="I4936" s="42" t="s">
        <v>893</v>
      </c>
    </row>
    <row r="4937" spans="1:9">
      <c r="A4937" s="42" t="s">
        <v>1088</v>
      </c>
      <c r="B4937" s="42" t="s">
        <v>202</v>
      </c>
      <c r="C4937" s="42" t="s">
        <v>1100</v>
      </c>
      <c r="D4937" s="42" t="s">
        <v>177</v>
      </c>
      <c r="E4937" s="42" t="s">
        <v>808</v>
      </c>
      <c r="F4937" s="45">
        <v>19000000</v>
      </c>
      <c r="G4937" s="42" t="s">
        <v>763</v>
      </c>
      <c r="H4937" s="42" t="s">
        <v>145</v>
      </c>
      <c r="I4937" s="42" t="s">
        <v>893</v>
      </c>
    </row>
    <row r="4938" spans="1:9">
      <c r="A4938" s="42" t="s">
        <v>1088</v>
      </c>
      <c r="B4938" s="42" t="s">
        <v>203</v>
      </c>
      <c r="C4938" s="42" t="s">
        <v>1129</v>
      </c>
      <c r="D4938" s="42" t="s">
        <v>177</v>
      </c>
      <c r="E4938" s="42" t="s">
        <v>808</v>
      </c>
      <c r="F4938" s="45">
        <v>-267000000</v>
      </c>
      <c r="G4938" s="42" t="s">
        <v>763</v>
      </c>
      <c r="H4938" s="42" t="s">
        <v>145</v>
      </c>
      <c r="I4938" s="42" t="s">
        <v>893</v>
      </c>
    </row>
    <row r="4939" spans="1:9">
      <c r="A4939" s="42" t="s">
        <v>1088</v>
      </c>
      <c r="B4939" s="42" t="s">
        <v>204</v>
      </c>
      <c r="C4939" s="42" t="s">
        <v>1102</v>
      </c>
      <c r="D4939" s="42" t="s">
        <v>177</v>
      </c>
      <c r="E4939" s="42" t="s">
        <v>808</v>
      </c>
      <c r="F4939" s="45">
        <v>38000000</v>
      </c>
      <c r="G4939" s="42" t="s">
        <v>763</v>
      </c>
      <c r="H4939" s="42" t="s">
        <v>145</v>
      </c>
      <c r="I4939" s="42" t="s">
        <v>893</v>
      </c>
    </row>
    <row r="4940" spans="1:9">
      <c r="A4940" s="42" t="s">
        <v>1088</v>
      </c>
      <c r="B4940" s="42" t="s">
        <v>205</v>
      </c>
      <c r="C4940" s="42" t="s">
        <v>1103</v>
      </c>
      <c r="D4940" s="42" t="s">
        <v>177</v>
      </c>
      <c r="E4940" s="42" t="s">
        <v>808</v>
      </c>
      <c r="F4940" s="45">
        <v>-210000000</v>
      </c>
      <c r="G4940" s="42" t="s">
        <v>763</v>
      </c>
      <c r="H4940" s="42" t="s">
        <v>145</v>
      </c>
      <c r="I4940" s="42" t="s">
        <v>893</v>
      </c>
    </row>
    <row r="4941" spans="1:9">
      <c r="A4941" s="42" t="s">
        <v>1088</v>
      </c>
      <c r="B4941" s="42" t="s">
        <v>206</v>
      </c>
      <c r="C4941" s="42" t="s">
        <v>1104</v>
      </c>
      <c r="D4941" s="42" t="s">
        <v>177</v>
      </c>
      <c r="E4941" s="42" t="s">
        <v>808</v>
      </c>
      <c r="F4941" s="45">
        <v>651000000</v>
      </c>
      <c r="G4941" s="42" t="s">
        <v>763</v>
      </c>
      <c r="H4941" s="42" t="s">
        <v>145</v>
      </c>
      <c r="I4941" s="42" t="s">
        <v>893</v>
      </c>
    </row>
    <row r="4942" spans="1:9">
      <c r="A4942" s="42" t="s">
        <v>1088</v>
      </c>
      <c r="B4942" s="42" t="s">
        <v>207</v>
      </c>
      <c r="C4942" s="42" t="s">
        <v>1105</v>
      </c>
      <c r="D4942" s="42" t="s">
        <v>177</v>
      </c>
      <c r="E4942" s="42" t="s">
        <v>808</v>
      </c>
      <c r="F4942" s="45">
        <v>834000000</v>
      </c>
      <c r="G4942" s="42" t="s">
        <v>763</v>
      </c>
      <c r="H4942" s="42" t="s">
        <v>145</v>
      </c>
      <c r="I4942" s="42" t="s">
        <v>893</v>
      </c>
    </row>
    <row r="4943" spans="1:9">
      <c r="A4943" s="42" t="s">
        <v>1088</v>
      </c>
      <c r="B4943" s="42" t="s">
        <v>208</v>
      </c>
      <c r="C4943" s="42" t="s">
        <v>1106</v>
      </c>
      <c r="D4943" s="42" t="s">
        <v>177</v>
      </c>
      <c r="E4943" s="42" t="s">
        <v>808</v>
      </c>
      <c r="F4943" s="45">
        <v>1485000000</v>
      </c>
      <c r="G4943" s="42" t="s">
        <v>763</v>
      </c>
      <c r="H4943" s="42" t="s">
        <v>145</v>
      </c>
      <c r="I4943" s="42" t="s">
        <v>893</v>
      </c>
    </row>
    <row r="4944" spans="1:9">
      <c r="A4944" s="42" t="s">
        <v>1088</v>
      </c>
      <c r="B4944" s="42" t="s">
        <v>209</v>
      </c>
      <c r="C4944" s="42" t="s">
        <v>1130</v>
      </c>
      <c r="D4944" s="42" t="s">
        <v>177</v>
      </c>
      <c r="E4944" s="42" t="s">
        <v>808</v>
      </c>
      <c r="F4944" s="45">
        <v>-22000000</v>
      </c>
      <c r="G4944" s="42" t="s">
        <v>763</v>
      </c>
      <c r="H4944" s="42" t="s">
        <v>145</v>
      </c>
      <c r="I4944" s="42" t="s">
        <v>893</v>
      </c>
    </row>
    <row r="4945" spans="1:9">
      <c r="A4945" s="42" t="s">
        <v>1088</v>
      </c>
      <c r="B4945" s="42" t="s">
        <v>210</v>
      </c>
      <c r="C4945" s="42" t="s">
        <v>1124</v>
      </c>
      <c r="D4945" s="42" t="s">
        <v>177</v>
      </c>
      <c r="E4945" s="42" t="s">
        <v>808</v>
      </c>
      <c r="F4945" s="45">
        <v>69000000</v>
      </c>
      <c r="G4945" s="42" t="s">
        <v>763</v>
      </c>
      <c r="H4945" s="42" t="s">
        <v>145</v>
      </c>
      <c r="I4945" s="42" t="s">
        <v>893</v>
      </c>
    </row>
    <row r="4946" spans="1:9">
      <c r="A4946" s="42" t="s">
        <v>1088</v>
      </c>
      <c r="B4946" s="42" t="s">
        <v>211</v>
      </c>
      <c r="C4946" s="42" t="s">
        <v>1108</v>
      </c>
      <c r="D4946" s="42" t="s">
        <v>177</v>
      </c>
      <c r="E4946" s="42" t="s">
        <v>808</v>
      </c>
      <c r="F4946" s="45">
        <v>47000000</v>
      </c>
      <c r="G4946" s="42" t="s">
        <v>763</v>
      </c>
      <c r="H4946" s="42" t="s">
        <v>145</v>
      </c>
      <c r="I4946" s="42" t="s">
        <v>893</v>
      </c>
    </row>
    <row r="4947" spans="1:9">
      <c r="A4947" s="42" t="s">
        <v>1088</v>
      </c>
      <c r="B4947" s="42" t="s">
        <v>212</v>
      </c>
      <c r="C4947" s="42" t="s">
        <v>1110</v>
      </c>
      <c r="D4947" s="42" t="s">
        <v>177</v>
      </c>
      <c r="E4947" s="42" t="s">
        <v>808</v>
      </c>
      <c r="F4947" s="45">
        <v>1532000000</v>
      </c>
      <c r="G4947" s="42" t="s">
        <v>763</v>
      </c>
      <c r="H4947" s="42" t="s">
        <v>145</v>
      </c>
      <c r="I4947" s="42" t="s">
        <v>893</v>
      </c>
    </row>
    <row r="4948" spans="1:9">
      <c r="A4948" s="42" t="s">
        <v>1088</v>
      </c>
      <c r="B4948" s="42" t="s">
        <v>1111</v>
      </c>
      <c r="C4948" s="42" t="s">
        <v>1112</v>
      </c>
      <c r="D4948" s="42" t="s">
        <v>177</v>
      </c>
      <c r="E4948" s="42" t="s">
        <v>808</v>
      </c>
      <c r="F4948" s="45">
        <v>1470000000</v>
      </c>
      <c r="G4948" s="42" t="s">
        <v>763</v>
      </c>
      <c r="H4948" s="42" t="s">
        <v>145</v>
      </c>
      <c r="I4948" s="42" t="s">
        <v>893</v>
      </c>
    </row>
    <row r="4949" spans="1:9">
      <c r="A4949" s="42" t="s">
        <v>1088</v>
      </c>
      <c r="B4949" s="42" t="s">
        <v>261</v>
      </c>
      <c r="C4949" s="42" t="s">
        <v>1113</v>
      </c>
      <c r="D4949" s="42" t="s">
        <v>177</v>
      </c>
      <c r="E4949" s="42" t="s">
        <v>808</v>
      </c>
      <c r="F4949" s="45">
        <v>15000000</v>
      </c>
      <c r="G4949" s="42" t="s">
        <v>763</v>
      </c>
      <c r="H4949" s="42" t="s">
        <v>145</v>
      </c>
      <c r="I4949" s="42" t="s">
        <v>893</v>
      </c>
    </row>
    <row r="4950" spans="1:9">
      <c r="A4950" s="42" t="s">
        <v>1088</v>
      </c>
      <c r="B4950" s="42" t="s">
        <v>1111</v>
      </c>
      <c r="C4950" s="42" t="s">
        <v>1114</v>
      </c>
      <c r="D4950" s="42" t="s">
        <v>177</v>
      </c>
      <c r="E4950" s="42" t="s">
        <v>808</v>
      </c>
      <c r="F4950" s="45">
        <v>40000000</v>
      </c>
      <c r="G4950" s="42" t="s">
        <v>763</v>
      </c>
      <c r="H4950" s="42" t="s">
        <v>145</v>
      </c>
      <c r="I4950" s="42" t="s">
        <v>893</v>
      </c>
    </row>
    <row r="4951" spans="1:9">
      <c r="A4951" s="42" t="s">
        <v>1088</v>
      </c>
      <c r="B4951" s="42" t="s">
        <v>261</v>
      </c>
      <c r="C4951" s="42" t="s">
        <v>1125</v>
      </c>
      <c r="D4951" s="42" t="s">
        <v>177</v>
      </c>
      <c r="E4951" s="42" t="s">
        <v>808</v>
      </c>
      <c r="F4951" s="45">
        <v>7000000</v>
      </c>
      <c r="G4951" s="42" t="s">
        <v>763</v>
      </c>
      <c r="H4951" s="42" t="s">
        <v>145</v>
      </c>
      <c r="I4951" s="42" t="s">
        <v>893</v>
      </c>
    </row>
    <row r="4952" spans="1:9">
      <c r="A4952" s="42" t="s">
        <v>1088</v>
      </c>
      <c r="B4952" s="42" t="s">
        <v>1111</v>
      </c>
      <c r="C4952" s="42" t="s">
        <v>1115</v>
      </c>
      <c r="D4952" s="42" t="s">
        <v>177</v>
      </c>
      <c r="E4952" s="42" t="s">
        <v>808</v>
      </c>
      <c r="F4952" s="45">
        <v>1510000000</v>
      </c>
      <c r="G4952" s="42" t="s">
        <v>763</v>
      </c>
      <c r="H4952" s="42" t="s">
        <v>145</v>
      </c>
      <c r="I4952" s="42" t="s">
        <v>893</v>
      </c>
    </row>
    <row r="4953" spans="1:9">
      <c r="A4953" s="42" t="s">
        <v>1088</v>
      </c>
      <c r="B4953" s="42" t="s">
        <v>261</v>
      </c>
      <c r="C4953" s="42" t="s">
        <v>1116</v>
      </c>
      <c r="D4953" s="42" t="s">
        <v>177</v>
      </c>
      <c r="E4953" s="42" t="s">
        <v>808</v>
      </c>
      <c r="F4953" s="45">
        <v>22000000</v>
      </c>
      <c r="G4953" s="42" t="s">
        <v>763</v>
      </c>
      <c r="H4953" s="42" t="s">
        <v>145</v>
      </c>
      <c r="I4953" s="42" t="s">
        <v>893</v>
      </c>
    </row>
    <row r="4954" spans="1:9">
      <c r="A4954" s="42" t="s">
        <v>1088</v>
      </c>
      <c r="B4954" s="42" t="s">
        <v>219</v>
      </c>
      <c r="C4954" s="42" t="s">
        <v>1117</v>
      </c>
      <c r="D4954" s="42" t="s">
        <v>177</v>
      </c>
      <c r="E4954" s="42" t="s">
        <v>808</v>
      </c>
      <c r="F4954" s="45">
        <v>3750000</v>
      </c>
      <c r="G4954" s="42" t="s">
        <v>763</v>
      </c>
      <c r="H4954" s="42" t="s">
        <v>145</v>
      </c>
      <c r="I4954" s="42" t="s">
        <v>893</v>
      </c>
    </row>
    <row r="4955" spans="1:9">
      <c r="A4955" s="42" t="s">
        <v>1088</v>
      </c>
      <c r="B4955" s="42" t="s">
        <v>192</v>
      </c>
      <c r="C4955" s="42" t="s">
        <v>1089</v>
      </c>
      <c r="D4955" s="42" t="s">
        <v>178</v>
      </c>
      <c r="E4955" s="42" t="s">
        <v>808</v>
      </c>
      <c r="F4955" s="45">
        <v>4751000000</v>
      </c>
      <c r="G4955" s="42" t="s">
        <v>1025</v>
      </c>
      <c r="H4955" s="42" t="s">
        <v>1083</v>
      </c>
      <c r="I4955" s="42" t="s">
        <v>893</v>
      </c>
    </row>
    <row r="4956" spans="1:9">
      <c r="A4956" s="42" t="s">
        <v>1088</v>
      </c>
      <c r="B4956" s="42" t="s">
        <v>193</v>
      </c>
      <c r="C4956" s="42" t="s">
        <v>1090</v>
      </c>
      <c r="D4956" s="42" t="s">
        <v>178</v>
      </c>
      <c r="E4956" s="42" t="s">
        <v>808</v>
      </c>
      <c r="F4956" s="45">
        <v>-3756000000</v>
      </c>
      <c r="G4956" s="42" t="s">
        <v>1025</v>
      </c>
      <c r="H4956" s="42" t="s">
        <v>1083</v>
      </c>
      <c r="I4956" s="42" t="s">
        <v>893</v>
      </c>
    </row>
    <row r="4957" spans="1:9">
      <c r="A4957" s="42" t="s">
        <v>1088</v>
      </c>
      <c r="B4957" s="42" t="s">
        <v>194</v>
      </c>
      <c r="C4957" s="42" t="s">
        <v>1091</v>
      </c>
      <c r="D4957" s="42" t="s">
        <v>178</v>
      </c>
      <c r="E4957" s="42" t="s">
        <v>808</v>
      </c>
      <c r="F4957" s="45">
        <v>995000000</v>
      </c>
      <c r="G4957" s="42" t="s">
        <v>1025</v>
      </c>
      <c r="H4957" s="42" t="s">
        <v>1083</v>
      </c>
      <c r="I4957" s="42" t="s">
        <v>893</v>
      </c>
    </row>
    <row r="4958" spans="1:9">
      <c r="A4958" s="42" t="s">
        <v>1088</v>
      </c>
      <c r="B4958" s="42" t="s">
        <v>195</v>
      </c>
      <c r="C4958" s="42" t="s">
        <v>1092</v>
      </c>
      <c r="D4958" s="42" t="s">
        <v>178</v>
      </c>
      <c r="E4958" s="42" t="s">
        <v>808</v>
      </c>
      <c r="F4958" s="45">
        <v>-536000000</v>
      </c>
      <c r="G4958" s="42" t="s">
        <v>1025</v>
      </c>
      <c r="H4958" s="42" t="s">
        <v>1083</v>
      </c>
      <c r="I4958" s="42" t="s">
        <v>893</v>
      </c>
    </row>
    <row r="4959" spans="1:9">
      <c r="A4959" s="42" t="s">
        <v>1088</v>
      </c>
      <c r="B4959" s="42" t="s">
        <v>196</v>
      </c>
      <c r="C4959" s="42" t="s">
        <v>1093</v>
      </c>
      <c r="D4959" s="42" t="s">
        <v>178</v>
      </c>
      <c r="E4959" s="42" t="s">
        <v>808</v>
      </c>
      <c r="F4959" s="45">
        <v>-261000000</v>
      </c>
      <c r="G4959" s="42" t="s">
        <v>1025</v>
      </c>
      <c r="H4959" s="42" t="s">
        <v>1083</v>
      </c>
      <c r="I4959" s="42" t="s">
        <v>893</v>
      </c>
    </row>
    <row r="4960" spans="1:9">
      <c r="A4960" s="42" t="s">
        <v>1088</v>
      </c>
      <c r="B4960" s="42" t="s">
        <v>197</v>
      </c>
      <c r="C4960" s="42" t="s">
        <v>1094</v>
      </c>
      <c r="D4960" s="42" t="s">
        <v>178</v>
      </c>
      <c r="E4960" s="42" t="s">
        <v>808</v>
      </c>
      <c r="F4960" s="45">
        <v>-108000000</v>
      </c>
      <c r="G4960" s="42" t="s">
        <v>1025</v>
      </c>
      <c r="H4960" s="42" t="s">
        <v>1083</v>
      </c>
      <c r="I4960" s="42" t="s">
        <v>893</v>
      </c>
    </row>
    <row r="4961" spans="1:9">
      <c r="A4961" s="42" t="s">
        <v>1088</v>
      </c>
      <c r="B4961" s="42" t="s">
        <v>198</v>
      </c>
      <c r="C4961" s="42" t="s">
        <v>1131</v>
      </c>
      <c r="D4961" s="42" t="s">
        <v>178</v>
      </c>
      <c r="E4961" s="42" t="s">
        <v>808</v>
      </c>
      <c r="F4961" s="45">
        <v>-61000000</v>
      </c>
      <c r="G4961" s="42" t="s">
        <v>1025</v>
      </c>
      <c r="H4961" s="42" t="s">
        <v>1083</v>
      </c>
      <c r="I4961" s="42" t="s">
        <v>893</v>
      </c>
    </row>
    <row r="4962" spans="1:9">
      <c r="A4962" s="42" t="s">
        <v>1088</v>
      </c>
      <c r="B4962" s="42" t="s">
        <v>199</v>
      </c>
      <c r="C4962" s="42" t="s">
        <v>1097</v>
      </c>
      <c r="D4962" s="42" t="s">
        <v>178</v>
      </c>
      <c r="E4962" s="42" t="s">
        <v>808</v>
      </c>
      <c r="F4962" s="45">
        <v>-559000000</v>
      </c>
      <c r="G4962" s="42" t="s">
        <v>1025</v>
      </c>
      <c r="H4962" s="42" t="s">
        <v>1083</v>
      </c>
      <c r="I4962" s="42" t="s">
        <v>893</v>
      </c>
    </row>
    <row r="4963" spans="1:9">
      <c r="A4963" s="42" t="s">
        <v>1088</v>
      </c>
      <c r="B4963" s="42" t="s">
        <v>200</v>
      </c>
      <c r="C4963" s="42" t="s">
        <v>1098</v>
      </c>
      <c r="D4963" s="42" t="s">
        <v>178</v>
      </c>
      <c r="E4963" s="42" t="s">
        <v>808</v>
      </c>
      <c r="F4963" s="45">
        <v>-530000000</v>
      </c>
      <c r="G4963" s="42" t="s">
        <v>1025</v>
      </c>
      <c r="H4963" s="42" t="s">
        <v>1083</v>
      </c>
      <c r="I4963" s="42" t="s">
        <v>893</v>
      </c>
    </row>
    <row r="4964" spans="1:9">
      <c r="A4964" s="42" t="s">
        <v>1088</v>
      </c>
      <c r="B4964" s="42" t="s">
        <v>201</v>
      </c>
      <c r="C4964" s="42" t="s">
        <v>1099</v>
      </c>
      <c r="D4964" s="42" t="s">
        <v>178</v>
      </c>
      <c r="E4964" s="42" t="s">
        <v>808</v>
      </c>
      <c r="F4964" s="45">
        <v>133000000</v>
      </c>
      <c r="G4964" s="42" t="s">
        <v>1025</v>
      </c>
      <c r="H4964" s="42" t="s">
        <v>1083</v>
      </c>
      <c r="I4964" s="42" t="s">
        <v>893</v>
      </c>
    </row>
    <row r="4965" spans="1:9">
      <c r="A4965" s="42" t="s">
        <v>1088</v>
      </c>
      <c r="B4965" s="42" t="s">
        <v>202</v>
      </c>
      <c r="C4965" s="42" t="s">
        <v>1100</v>
      </c>
      <c r="D4965" s="42" t="s">
        <v>178</v>
      </c>
      <c r="E4965" s="42" t="s">
        <v>808</v>
      </c>
      <c r="F4965" s="45">
        <v>47000000</v>
      </c>
      <c r="G4965" s="42" t="s">
        <v>1025</v>
      </c>
      <c r="H4965" s="42" t="s">
        <v>1083</v>
      </c>
      <c r="I4965" s="42" t="s">
        <v>893</v>
      </c>
    </row>
    <row r="4966" spans="1:9">
      <c r="A4966" s="42" t="s">
        <v>1088</v>
      </c>
      <c r="B4966" s="42" t="s">
        <v>203</v>
      </c>
      <c r="C4966" s="42" t="s">
        <v>1129</v>
      </c>
      <c r="D4966" s="42" t="s">
        <v>178</v>
      </c>
      <c r="E4966" s="42" t="s">
        <v>808</v>
      </c>
      <c r="F4966" s="45">
        <v>-258000000</v>
      </c>
      <c r="G4966" s="42" t="s">
        <v>1025</v>
      </c>
      <c r="H4966" s="42" t="s">
        <v>1083</v>
      </c>
      <c r="I4966" s="42" t="s">
        <v>893</v>
      </c>
    </row>
    <row r="4967" spans="1:9">
      <c r="A4967" s="42" t="s">
        <v>1088</v>
      </c>
      <c r="B4967" s="42" t="s">
        <v>204</v>
      </c>
      <c r="C4967" s="42" t="s">
        <v>1102</v>
      </c>
      <c r="D4967" s="42" t="s">
        <v>178</v>
      </c>
      <c r="E4967" s="42" t="s">
        <v>808</v>
      </c>
      <c r="F4967" s="45">
        <v>108000000</v>
      </c>
      <c r="G4967" s="42" t="s">
        <v>1025</v>
      </c>
      <c r="H4967" s="42" t="s">
        <v>1083</v>
      </c>
      <c r="I4967" s="42" t="s">
        <v>893</v>
      </c>
    </row>
    <row r="4968" spans="1:9">
      <c r="A4968" s="42" t="s">
        <v>1088</v>
      </c>
      <c r="B4968" s="42" t="s">
        <v>205</v>
      </c>
      <c r="C4968" s="42" t="s">
        <v>1103</v>
      </c>
      <c r="D4968" s="42" t="s">
        <v>178</v>
      </c>
      <c r="E4968" s="42" t="s">
        <v>808</v>
      </c>
      <c r="F4968" s="45">
        <v>-103000000</v>
      </c>
      <c r="G4968" s="42" t="s">
        <v>1025</v>
      </c>
      <c r="H4968" s="42" t="s">
        <v>1083</v>
      </c>
      <c r="I4968" s="42" t="s">
        <v>893</v>
      </c>
    </row>
    <row r="4969" spans="1:9">
      <c r="A4969" s="42" t="s">
        <v>1088</v>
      </c>
      <c r="B4969" s="42" t="s">
        <v>206</v>
      </c>
      <c r="C4969" s="42" t="s">
        <v>1104</v>
      </c>
      <c r="D4969" s="42" t="s">
        <v>178</v>
      </c>
      <c r="E4969" s="42" t="s">
        <v>808</v>
      </c>
      <c r="F4969" s="45">
        <v>-500000000</v>
      </c>
      <c r="G4969" s="42" t="s">
        <v>1025</v>
      </c>
      <c r="H4969" s="42" t="s">
        <v>1083</v>
      </c>
      <c r="I4969" s="42" t="s">
        <v>893</v>
      </c>
    </row>
    <row r="4970" spans="1:9">
      <c r="A4970" s="42" t="s">
        <v>1088</v>
      </c>
      <c r="B4970" s="42" t="s">
        <v>207</v>
      </c>
      <c r="C4970" s="42" t="s">
        <v>1105</v>
      </c>
      <c r="D4970" s="42" t="s">
        <v>178</v>
      </c>
      <c r="E4970" s="42" t="s">
        <v>808</v>
      </c>
      <c r="F4970" s="45">
        <v>216000000</v>
      </c>
      <c r="G4970" s="42" t="s">
        <v>1025</v>
      </c>
      <c r="H4970" s="42" t="s">
        <v>1083</v>
      </c>
      <c r="I4970" s="42" t="s">
        <v>893</v>
      </c>
    </row>
    <row r="4971" spans="1:9">
      <c r="A4971" s="42" t="s">
        <v>1088</v>
      </c>
      <c r="B4971" s="42" t="s">
        <v>208</v>
      </c>
      <c r="C4971" s="42" t="s">
        <v>1106</v>
      </c>
      <c r="D4971" s="42" t="s">
        <v>178</v>
      </c>
      <c r="E4971" s="42" t="s">
        <v>808</v>
      </c>
      <c r="F4971" s="45">
        <v>-284000000</v>
      </c>
      <c r="G4971" s="42" t="s">
        <v>1025</v>
      </c>
      <c r="H4971" s="42" t="s">
        <v>1083</v>
      </c>
      <c r="I4971" s="42" t="s">
        <v>893</v>
      </c>
    </row>
    <row r="4972" spans="1:9">
      <c r="A4972" s="42" t="s">
        <v>1088</v>
      </c>
      <c r="B4972" s="42" t="s">
        <v>209</v>
      </c>
      <c r="C4972" s="42" t="s">
        <v>1130</v>
      </c>
      <c r="D4972" s="42" t="s">
        <v>178</v>
      </c>
      <c r="E4972" s="42" t="s">
        <v>808</v>
      </c>
      <c r="F4972" s="45">
        <v>-25000000</v>
      </c>
      <c r="G4972" s="42" t="s">
        <v>1025</v>
      </c>
      <c r="H4972" s="42" t="s">
        <v>1083</v>
      </c>
      <c r="I4972" s="42" t="s">
        <v>893</v>
      </c>
    </row>
    <row r="4973" spans="1:9">
      <c r="A4973" s="42" t="s">
        <v>1088</v>
      </c>
      <c r="B4973" s="42" t="s">
        <v>210</v>
      </c>
      <c r="C4973" s="42" t="s">
        <v>1124</v>
      </c>
      <c r="D4973" s="42" t="s">
        <v>178</v>
      </c>
      <c r="E4973" s="42" t="s">
        <v>808</v>
      </c>
      <c r="F4973" s="45">
        <v>42000000</v>
      </c>
      <c r="G4973" s="42" t="s">
        <v>1025</v>
      </c>
      <c r="H4973" s="42" t="s">
        <v>1083</v>
      </c>
      <c r="I4973" s="42" t="s">
        <v>893</v>
      </c>
    </row>
    <row r="4974" spans="1:9">
      <c r="A4974" s="42" t="s">
        <v>1088</v>
      </c>
      <c r="B4974" s="42" t="s">
        <v>211</v>
      </c>
      <c r="C4974" s="42" t="s">
        <v>1108</v>
      </c>
      <c r="D4974" s="42" t="s">
        <v>178</v>
      </c>
      <c r="E4974" s="42" t="s">
        <v>808</v>
      </c>
      <c r="F4974" s="45">
        <v>17000000</v>
      </c>
      <c r="G4974" s="42" t="s">
        <v>1025</v>
      </c>
      <c r="H4974" s="42" t="s">
        <v>1083</v>
      </c>
      <c r="I4974" s="42" t="s">
        <v>893</v>
      </c>
    </row>
    <row r="4975" spans="1:9">
      <c r="A4975" s="42" t="s">
        <v>1088</v>
      </c>
      <c r="B4975" s="42" t="s">
        <v>212</v>
      </c>
      <c r="C4975" s="42" t="s">
        <v>1110</v>
      </c>
      <c r="D4975" s="42" t="s">
        <v>178</v>
      </c>
      <c r="E4975" s="42" t="s">
        <v>808</v>
      </c>
      <c r="F4975" s="45">
        <v>-267000000</v>
      </c>
      <c r="G4975" s="42" t="s">
        <v>1025</v>
      </c>
      <c r="H4975" s="42" t="s">
        <v>1083</v>
      </c>
      <c r="I4975" s="42" t="s">
        <v>893</v>
      </c>
    </row>
    <row r="4976" spans="1:9">
      <c r="A4976" s="42" t="s">
        <v>1088</v>
      </c>
      <c r="B4976" s="42" t="s">
        <v>1111</v>
      </c>
      <c r="C4976" s="42" t="s">
        <v>1112</v>
      </c>
      <c r="D4976" s="42" t="s">
        <v>178</v>
      </c>
      <c r="E4976" s="42" t="s">
        <v>808</v>
      </c>
      <c r="F4976" s="45">
        <v>-290000000</v>
      </c>
      <c r="G4976" s="42" t="s">
        <v>1025</v>
      </c>
      <c r="H4976" s="42" t="s">
        <v>1083</v>
      </c>
      <c r="I4976" s="42" t="s">
        <v>893</v>
      </c>
    </row>
    <row r="4977" spans="1:9">
      <c r="A4977" s="42" t="s">
        <v>1088</v>
      </c>
      <c r="B4977" s="42" t="s">
        <v>261</v>
      </c>
      <c r="C4977" s="42" t="s">
        <v>1113</v>
      </c>
      <c r="D4977" s="42" t="s">
        <v>178</v>
      </c>
      <c r="E4977" s="42" t="s">
        <v>808</v>
      </c>
      <c r="F4977" s="45">
        <v>6000000</v>
      </c>
      <c r="G4977" s="42" t="s">
        <v>1025</v>
      </c>
      <c r="H4977" s="42" t="s">
        <v>1083</v>
      </c>
      <c r="I4977" s="42" t="s">
        <v>893</v>
      </c>
    </row>
    <row r="4978" spans="1:9">
      <c r="A4978" s="42" t="s">
        <v>1088</v>
      </c>
      <c r="B4978" s="42" t="s">
        <v>1111</v>
      </c>
      <c r="C4978" s="42" t="s">
        <v>1114</v>
      </c>
      <c r="D4978" s="42" t="s">
        <v>178</v>
      </c>
      <c r="E4978" s="42" t="s">
        <v>808</v>
      </c>
      <c r="F4978" s="45">
        <v>14000000</v>
      </c>
      <c r="G4978" s="42" t="s">
        <v>1025</v>
      </c>
      <c r="H4978" s="42" t="s">
        <v>1083</v>
      </c>
      <c r="I4978" s="42" t="s">
        <v>893</v>
      </c>
    </row>
    <row r="4979" spans="1:9">
      <c r="A4979" s="42" t="s">
        <v>1088</v>
      </c>
      <c r="B4979" s="42" t="s">
        <v>261</v>
      </c>
      <c r="C4979" s="42" t="s">
        <v>1125</v>
      </c>
      <c r="D4979" s="42" t="s">
        <v>178</v>
      </c>
      <c r="E4979" s="42" t="s">
        <v>808</v>
      </c>
      <c r="F4979" s="45">
        <v>3000000</v>
      </c>
      <c r="G4979" s="42" t="s">
        <v>1025</v>
      </c>
      <c r="H4979" s="42" t="s">
        <v>1083</v>
      </c>
      <c r="I4979" s="42" t="s">
        <v>893</v>
      </c>
    </row>
    <row r="4980" spans="1:9">
      <c r="A4980" s="42" t="s">
        <v>1088</v>
      </c>
      <c r="B4980" s="42" t="s">
        <v>1111</v>
      </c>
      <c r="C4980" s="42" t="s">
        <v>1115</v>
      </c>
      <c r="D4980" s="42" t="s">
        <v>178</v>
      </c>
      <c r="E4980" s="42" t="s">
        <v>808</v>
      </c>
      <c r="F4980" s="45">
        <v>-276000000</v>
      </c>
      <c r="G4980" s="42" t="s">
        <v>1025</v>
      </c>
      <c r="H4980" s="42" t="s">
        <v>1083</v>
      </c>
      <c r="I4980" s="42" t="s">
        <v>893</v>
      </c>
    </row>
    <row r="4981" spans="1:9">
      <c r="A4981" s="42" t="s">
        <v>1088</v>
      </c>
      <c r="B4981" s="42" t="s">
        <v>261</v>
      </c>
      <c r="C4981" s="42" t="s">
        <v>1116</v>
      </c>
      <c r="D4981" s="42" t="s">
        <v>178</v>
      </c>
      <c r="E4981" s="42" t="s">
        <v>808</v>
      </c>
      <c r="F4981" s="45">
        <v>9000000</v>
      </c>
      <c r="G4981" s="42" t="s">
        <v>1025</v>
      </c>
      <c r="H4981" s="42" t="s">
        <v>1083</v>
      </c>
      <c r="I4981" s="42" t="s">
        <v>893</v>
      </c>
    </row>
    <row r="4982" spans="1:9">
      <c r="A4982" s="42" t="s">
        <v>1088</v>
      </c>
      <c r="B4982" s="42" t="s">
        <v>192</v>
      </c>
      <c r="C4982" s="42" t="s">
        <v>1089</v>
      </c>
      <c r="D4982" s="42" t="s">
        <v>666</v>
      </c>
      <c r="E4982" s="42" t="s">
        <v>762</v>
      </c>
      <c r="F4982" s="45">
        <v>18448000000</v>
      </c>
      <c r="G4982" s="42" t="s">
        <v>763</v>
      </c>
      <c r="H4982" s="42" t="s">
        <v>149</v>
      </c>
      <c r="I4982" s="42" t="s">
        <v>893</v>
      </c>
    </row>
    <row r="4983" spans="1:9">
      <c r="A4983" s="42" t="s">
        <v>1088</v>
      </c>
      <c r="B4983" s="42" t="s">
        <v>193</v>
      </c>
      <c r="C4983" s="42" t="s">
        <v>1090</v>
      </c>
      <c r="D4983" s="42" t="s">
        <v>666</v>
      </c>
      <c r="E4983" s="42" t="s">
        <v>762</v>
      </c>
      <c r="F4983" s="45">
        <v>-13348000000</v>
      </c>
      <c r="G4983" s="42" t="s">
        <v>763</v>
      </c>
      <c r="H4983" s="42" t="s">
        <v>149</v>
      </c>
      <c r="I4983" s="42" t="s">
        <v>893</v>
      </c>
    </row>
    <row r="4984" spans="1:9">
      <c r="A4984" s="42" t="s">
        <v>1088</v>
      </c>
      <c r="B4984" s="42" t="s">
        <v>194</v>
      </c>
      <c r="C4984" s="42" t="s">
        <v>1091</v>
      </c>
      <c r="D4984" s="42" t="s">
        <v>666</v>
      </c>
      <c r="E4984" s="42" t="s">
        <v>762</v>
      </c>
      <c r="F4984" s="45">
        <v>5100000000</v>
      </c>
      <c r="G4984" s="42" t="s">
        <v>763</v>
      </c>
      <c r="H4984" s="42" t="s">
        <v>149</v>
      </c>
      <c r="I4984" s="42" t="s">
        <v>893</v>
      </c>
    </row>
    <row r="4985" spans="1:9">
      <c r="A4985" s="42" t="s">
        <v>1088</v>
      </c>
      <c r="B4985" s="42" t="s">
        <v>195</v>
      </c>
      <c r="C4985" s="42" t="s">
        <v>1092</v>
      </c>
      <c r="D4985" s="42" t="s">
        <v>666</v>
      </c>
      <c r="E4985" s="42" t="s">
        <v>762</v>
      </c>
      <c r="F4985" s="45">
        <v>-2088000000</v>
      </c>
      <c r="G4985" s="42" t="s">
        <v>763</v>
      </c>
      <c r="H4985" s="42" t="s">
        <v>149</v>
      </c>
      <c r="I4985" s="42" t="s">
        <v>893</v>
      </c>
    </row>
    <row r="4986" spans="1:9">
      <c r="A4986" s="42" t="s">
        <v>1088</v>
      </c>
      <c r="B4986" s="42" t="s">
        <v>196</v>
      </c>
      <c r="C4986" s="42" t="s">
        <v>1093</v>
      </c>
      <c r="D4986" s="42" t="s">
        <v>666</v>
      </c>
      <c r="E4986" s="42" t="s">
        <v>762</v>
      </c>
      <c r="F4986" s="45">
        <v>-830000000</v>
      </c>
      <c r="G4986" s="42" t="s">
        <v>763</v>
      </c>
      <c r="H4986" s="42" t="s">
        <v>149</v>
      </c>
      <c r="I4986" s="42" t="s">
        <v>893</v>
      </c>
    </row>
    <row r="4987" spans="1:9">
      <c r="A4987" s="42" t="s">
        <v>1088</v>
      </c>
      <c r="B4987" s="42" t="s">
        <v>197</v>
      </c>
      <c r="C4987" s="42" t="s">
        <v>1094</v>
      </c>
      <c r="D4987" s="42" t="s">
        <v>666</v>
      </c>
      <c r="E4987" s="42" t="s">
        <v>762</v>
      </c>
      <c r="F4987" s="45">
        <v>-116000000</v>
      </c>
      <c r="G4987" s="42" t="s">
        <v>763</v>
      </c>
      <c r="H4987" s="42" t="s">
        <v>149</v>
      </c>
      <c r="I4987" s="42" t="s">
        <v>893</v>
      </c>
    </row>
    <row r="4988" spans="1:9">
      <c r="A4988" s="42" t="s">
        <v>1088</v>
      </c>
      <c r="B4988" s="42" t="s">
        <v>198</v>
      </c>
      <c r="C4988" s="42" t="s">
        <v>1131</v>
      </c>
      <c r="D4988" s="42" t="s">
        <v>666</v>
      </c>
      <c r="E4988" s="42" t="s">
        <v>762</v>
      </c>
      <c r="F4988" s="45">
        <v>4000000</v>
      </c>
      <c r="G4988" s="42" t="s">
        <v>763</v>
      </c>
      <c r="H4988" s="42" t="s">
        <v>149</v>
      </c>
      <c r="I4988" s="42" t="s">
        <v>893</v>
      </c>
    </row>
    <row r="4989" spans="1:9">
      <c r="A4989" s="42" t="s">
        <v>1088</v>
      </c>
      <c r="B4989" s="42" t="s">
        <v>199</v>
      </c>
      <c r="C4989" s="42" t="s">
        <v>1097</v>
      </c>
      <c r="D4989" s="42" t="s">
        <v>666</v>
      </c>
      <c r="E4989" s="42" t="s">
        <v>762</v>
      </c>
      <c r="F4989" s="45">
        <v>-330000000</v>
      </c>
      <c r="G4989" s="42" t="s">
        <v>763</v>
      </c>
      <c r="H4989" s="42" t="s">
        <v>149</v>
      </c>
      <c r="I4989" s="42" t="s">
        <v>893</v>
      </c>
    </row>
    <row r="4990" spans="1:9">
      <c r="A4990" s="42" t="s">
        <v>1088</v>
      </c>
      <c r="B4990" s="42" t="s">
        <v>200</v>
      </c>
      <c r="C4990" s="42" t="s">
        <v>1098</v>
      </c>
      <c r="D4990" s="42" t="s">
        <v>666</v>
      </c>
      <c r="E4990" s="42" t="s">
        <v>762</v>
      </c>
      <c r="F4990" s="45">
        <v>1740000000</v>
      </c>
      <c r="G4990" s="42" t="s">
        <v>763</v>
      </c>
      <c r="H4990" s="42" t="s">
        <v>149</v>
      </c>
      <c r="I4990" s="42" t="s">
        <v>893</v>
      </c>
    </row>
    <row r="4991" spans="1:9">
      <c r="A4991" s="42" t="s">
        <v>1088</v>
      </c>
      <c r="B4991" s="42" t="s">
        <v>201</v>
      </c>
      <c r="C4991" s="42" t="s">
        <v>1099</v>
      </c>
      <c r="D4991" s="42" t="s">
        <v>666</v>
      </c>
      <c r="E4991" s="42" t="s">
        <v>762</v>
      </c>
      <c r="F4991" s="45">
        <v>122000000</v>
      </c>
      <c r="G4991" s="42" t="s">
        <v>763</v>
      </c>
      <c r="H4991" s="42" t="s">
        <v>149</v>
      </c>
      <c r="I4991" s="42" t="s">
        <v>893</v>
      </c>
    </row>
    <row r="4992" spans="1:9">
      <c r="A4992" s="42" t="s">
        <v>1088</v>
      </c>
      <c r="B4992" s="42" t="s">
        <v>202</v>
      </c>
      <c r="C4992" s="42" t="s">
        <v>1100</v>
      </c>
      <c r="D4992" s="42" t="s">
        <v>666</v>
      </c>
      <c r="E4992" s="42" t="s">
        <v>762</v>
      </c>
      <c r="F4992" s="45">
        <v>105000000</v>
      </c>
      <c r="G4992" s="42" t="s">
        <v>763</v>
      </c>
      <c r="H4992" s="42" t="s">
        <v>149</v>
      </c>
      <c r="I4992" s="42" t="s">
        <v>893</v>
      </c>
    </row>
    <row r="4993" spans="1:9">
      <c r="A4993" s="42" t="s">
        <v>1088</v>
      </c>
      <c r="B4993" s="42" t="s">
        <v>203</v>
      </c>
      <c r="C4993" s="42" t="s">
        <v>1129</v>
      </c>
      <c r="D4993" s="42" t="s">
        <v>666</v>
      </c>
      <c r="E4993" s="42" t="s">
        <v>762</v>
      </c>
      <c r="F4993" s="45">
        <v>-1087000000</v>
      </c>
      <c r="G4993" s="42" t="s">
        <v>763</v>
      </c>
      <c r="H4993" s="42" t="s">
        <v>149</v>
      </c>
      <c r="I4993" s="42" t="s">
        <v>893</v>
      </c>
    </row>
    <row r="4994" spans="1:9">
      <c r="A4994" s="42" t="s">
        <v>1088</v>
      </c>
      <c r="B4994" s="42" t="s">
        <v>204</v>
      </c>
      <c r="C4994" s="42" t="s">
        <v>1102</v>
      </c>
      <c r="D4994" s="42" t="s">
        <v>666</v>
      </c>
      <c r="E4994" s="42" t="s">
        <v>762</v>
      </c>
      <c r="F4994" s="45">
        <v>30000000</v>
      </c>
      <c r="G4994" s="42" t="s">
        <v>763</v>
      </c>
      <c r="H4994" s="42" t="s">
        <v>149</v>
      </c>
      <c r="I4994" s="42" t="s">
        <v>893</v>
      </c>
    </row>
    <row r="4995" spans="1:9">
      <c r="A4995" s="42" t="s">
        <v>1088</v>
      </c>
      <c r="B4995" s="42" t="s">
        <v>205</v>
      </c>
      <c r="C4995" s="42" t="s">
        <v>1103</v>
      </c>
      <c r="D4995" s="42" t="s">
        <v>666</v>
      </c>
      <c r="E4995" s="42" t="s">
        <v>762</v>
      </c>
      <c r="F4995" s="45">
        <v>-952000000</v>
      </c>
      <c r="G4995" s="42" t="s">
        <v>763</v>
      </c>
      <c r="H4995" s="42" t="s">
        <v>149</v>
      </c>
      <c r="I4995" s="42" t="s">
        <v>893</v>
      </c>
    </row>
    <row r="4996" spans="1:9">
      <c r="A4996" s="42" t="s">
        <v>1088</v>
      </c>
      <c r="B4996" s="42" t="s">
        <v>206</v>
      </c>
      <c r="C4996" s="42" t="s">
        <v>1104</v>
      </c>
      <c r="D4996" s="42" t="s">
        <v>666</v>
      </c>
      <c r="E4996" s="42" t="s">
        <v>762</v>
      </c>
      <c r="F4996" s="45">
        <v>910000000</v>
      </c>
      <c r="G4996" s="42" t="s">
        <v>763</v>
      </c>
      <c r="H4996" s="42" t="s">
        <v>149</v>
      </c>
      <c r="I4996" s="42" t="s">
        <v>893</v>
      </c>
    </row>
    <row r="4997" spans="1:9">
      <c r="A4997" s="42" t="s">
        <v>1088</v>
      </c>
      <c r="B4997" s="42" t="s">
        <v>207</v>
      </c>
      <c r="C4997" s="42" t="s">
        <v>1105</v>
      </c>
      <c r="D4997" s="42" t="s">
        <v>666</v>
      </c>
      <c r="E4997" s="42" t="s">
        <v>762</v>
      </c>
      <c r="F4997" s="45">
        <v>-1709000000</v>
      </c>
      <c r="G4997" s="42" t="s">
        <v>763</v>
      </c>
      <c r="H4997" s="42" t="s">
        <v>149</v>
      </c>
      <c r="I4997" s="42" t="s">
        <v>893</v>
      </c>
    </row>
    <row r="4998" spans="1:9">
      <c r="A4998" s="42" t="s">
        <v>1088</v>
      </c>
      <c r="B4998" s="42" t="s">
        <v>208</v>
      </c>
      <c r="C4998" s="42" t="s">
        <v>1106</v>
      </c>
      <c r="D4998" s="42" t="s">
        <v>666</v>
      </c>
      <c r="E4998" s="42" t="s">
        <v>762</v>
      </c>
      <c r="F4998" s="45">
        <v>-799000000</v>
      </c>
      <c r="G4998" s="42" t="s">
        <v>763</v>
      </c>
      <c r="H4998" s="42" t="s">
        <v>149</v>
      </c>
      <c r="I4998" s="42" t="s">
        <v>893</v>
      </c>
    </row>
    <row r="4999" spans="1:9">
      <c r="A4999" s="42" t="s">
        <v>1088</v>
      </c>
      <c r="B4999" s="42" t="s">
        <v>209</v>
      </c>
      <c r="C4999" s="42" t="s">
        <v>1130</v>
      </c>
      <c r="D4999" s="42" t="s">
        <v>666</v>
      </c>
      <c r="E4999" s="42" t="s">
        <v>762</v>
      </c>
      <c r="F4999" s="45">
        <v>-258000000</v>
      </c>
      <c r="G4999" s="42" t="s">
        <v>763</v>
      </c>
      <c r="H4999" s="42" t="s">
        <v>149</v>
      </c>
      <c r="I4999" s="42" t="s">
        <v>893</v>
      </c>
    </row>
    <row r="5000" spans="1:9">
      <c r="A5000" s="42" t="s">
        <v>1088</v>
      </c>
      <c r="B5000" s="42" t="s">
        <v>210</v>
      </c>
      <c r="C5000" s="42" t="s">
        <v>1124</v>
      </c>
      <c r="D5000" s="42" t="s">
        <v>666</v>
      </c>
      <c r="E5000" s="42" t="s">
        <v>762</v>
      </c>
      <c r="F5000" s="45">
        <v>190000000</v>
      </c>
      <c r="G5000" s="42" t="s">
        <v>763</v>
      </c>
      <c r="H5000" s="42" t="s">
        <v>149</v>
      </c>
      <c r="I5000" s="42" t="s">
        <v>893</v>
      </c>
    </row>
    <row r="5001" spans="1:9">
      <c r="A5001" s="42" t="s">
        <v>1088</v>
      </c>
      <c r="B5001" s="42" t="s">
        <v>211</v>
      </c>
      <c r="C5001" s="42" t="s">
        <v>1108</v>
      </c>
      <c r="D5001" s="42" t="s">
        <v>666</v>
      </c>
      <c r="E5001" s="42" t="s">
        <v>762</v>
      </c>
      <c r="F5001" s="45">
        <v>-22000000</v>
      </c>
      <c r="G5001" s="42" t="s">
        <v>763</v>
      </c>
      <c r="H5001" s="42" t="s">
        <v>149</v>
      </c>
      <c r="I5001" s="42" t="s">
        <v>893</v>
      </c>
    </row>
    <row r="5002" spans="1:9">
      <c r="A5002" s="42" t="s">
        <v>1088</v>
      </c>
      <c r="B5002" s="42" t="s">
        <v>229</v>
      </c>
      <c r="C5002" s="42" t="s">
        <v>1134</v>
      </c>
      <c r="D5002" s="42" t="s">
        <v>666</v>
      </c>
      <c r="E5002" s="42" t="s">
        <v>762</v>
      </c>
      <c r="F5002" s="45">
        <v>46000000</v>
      </c>
      <c r="G5002" s="42" t="s">
        <v>763</v>
      </c>
      <c r="H5002" s="42" t="s">
        <v>149</v>
      </c>
      <c r="I5002" s="42" t="s">
        <v>871</v>
      </c>
    </row>
    <row r="5003" spans="1:9">
      <c r="A5003" s="42" t="s">
        <v>1088</v>
      </c>
      <c r="B5003" s="42" t="s">
        <v>212</v>
      </c>
      <c r="C5003" s="42" t="s">
        <v>1110</v>
      </c>
      <c r="D5003" s="42" t="s">
        <v>666</v>
      </c>
      <c r="E5003" s="42" t="s">
        <v>762</v>
      </c>
      <c r="F5003" s="45">
        <v>-821000000</v>
      </c>
      <c r="G5003" s="42" t="s">
        <v>763</v>
      </c>
      <c r="H5003" s="42" t="s">
        <v>149</v>
      </c>
      <c r="I5003" s="42" t="s">
        <v>893</v>
      </c>
    </row>
    <row r="5004" spans="1:9">
      <c r="A5004" s="42" t="s">
        <v>1088</v>
      </c>
      <c r="B5004" s="42" t="s">
        <v>1111</v>
      </c>
      <c r="C5004" s="42" t="s">
        <v>1112</v>
      </c>
      <c r="D5004" s="42" t="s">
        <v>666</v>
      </c>
      <c r="E5004" s="42" t="s">
        <v>762</v>
      </c>
      <c r="F5004" s="45">
        <v>-826000000</v>
      </c>
      <c r="G5004" s="42" t="s">
        <v>763</v>
      </c>
      <c r="H5004" s="42" t="s">
        <v>149</v>
      </c>
      <c r="I5004" s="42" t="s">
        <v>893</v>
      </c>
    </row>
    <row r="5005" spans="1:9">
      <c r="A5005" s="42" t="s">
        <v>1088</v>
      </c>
      <c r="B5005" s="42" t="s">
        <v>261</v>
      </c>
      <c r="C5005" s="42" t="s">
        <v>1113</v>
      </c>
      <c r="D5005" s="42" t="s">
        <v>666</v>
      </c>
      <c r="E5005" s="42" t="s">
        <v>762</v>
      </c>
      <c r="F5005" s="45">
        <v>27000000</v>
      </c>
      <c r="G5005" s="42" t="s">
        <v>763</v>
      </c>
      <c r="H5005" s="42" t="s">
        <v>149</v>
      </c>
      <c r="I5005" s="42" t="s">
        <v>893</v>
      </c>
    </row>
    <row r="5006" spans="1:9">
      <c r="A5006" s="42" t="s">
        <v>1088</v>
      </c>
      <c r="B5006" s="42" t="s">
        <v>1111</v>
      </c>
      <c r="C5006" s="42" t="s">
        <v>1114</v>
      </c>
      <c r="D5006" s="42" t="s">
        <v>666</v>
      </c>
      <c r="E5006" s="42" t="s">
        <v>762</v>
      </c>
      <c r="F5006" s="45">
        <v>-7000000</v>
      </c>
      <c r="G5006" s="42" t="s">
        <v>763</v>
      </c>
      <c r="H5006" s="42" t="s">
        <v>149</v>
      </c>
      <c r="I5006" s="42" t="s">
        <v>893</v>
      </c>
    </row>
    <row r="5007" spans="1:9">
      <c r="A5007" s="42" t="s">
        <v>1088</v>
      </c>
      <c r="B5007" s="42" t="s">
        <v>261</v>
      </c>
      <c r="C5007" s="42" t="s">
        <v>1125</v>
      </c>
      <c r="D5007" s="42" t="s">
        <v>666</v>
      </c>
      <c r="E5007" s="42" t="s">
        <v>762</v>
      </c>
      <c r="F5007" s="45">
        <v>-15000000</v>
      </c>
      <c r="G5007" s="42" t="s">
        <v>763</v>
      </c>
      <c r="H5007" s="42" t="s">
        <v>149</v>
      </c>
      <c r="I5007" s="42" t="s">
        <v>893</v>
      </c>
    </row>
    <row r="5008" spans="1:9">
      <c r="A5008" s="42" t="s">
        <v>1088</v>
      </c>
      <c r="B5008" s="42" t="s">
        <v>1111</v>
      </c>
      <c r="C5008" s="42" t="s">
        <v>1115</v>
      </c>
      <c r="D5008" s="42" t="s">
        <v>666</v>
      </c>
      <c r="E5008" s="42" t="s">
        <v>762</v>
      </c>
      <c r="F5008" s="45">
        <v>-833000000</v>
      </c>
      <c r="G5008" s="42" t="s">
        <v>763</v>
      </c>
      <c r="H5008" s="42" t="s">
        <v>149</v>
      </c>
      <c r="I5008" s="42" t="s">
        <v>893</v>
      </c>
    </row>
    <row r="5009" spans="1:9">
      <c r="A5009" s="42" t="s">
        <v>1088</v>
      </c>
      <c r="B5009" s="42" t="s">
        <v>261</v>
      </c>
      <c r="C5009" s="42" t="s">
        <v>1116</v>
      </c>
      <c r="D5009" s="42" t="s">
        <v>666</v>
      </c>
      <c r="E5009" s="42" t="s">
        <v>762</v>
      </c>
      <c r="F5009" s="45">
        <v>12000000</v>
      </c>
      <c r="G5009" s="42" t="s">
        <v>763</v>
      </c>
      <c r="H5009" s="42" t="s">
        <v>149</v>
      </c>
      <c r="I5009" s="42" t="s">
        <v>893</v>
      </c>
    </row>
    <row r="5010" spans="1:9">
      <c r="A5010" s="42" t="s">
        <v>1088</v>
      </c>
      <c r="B5010" s="42" t="s">
        <v>219</v>
      </c>
      <c r="C5010" s="42" t="s">
        <v>1117</v>
      </c>
      <c r="D5010" s="42" t="s">
        <v>666</v>
      </c>
      <c r="E5010" s="42" t="s">
        <v>762</v>
      </c>
      <c r="F5010" s="45">
        <v>-2110000</v>
      </c>
      <c r="G5010" s="42" t="s">
        <v>763</v>
      </c>
      <c r="H5010" s="42" t="s">
        <v>149</v>
      </c>
      <c r="I5010" s="42" t="s">
        <v>893</v>
      </c>
    </row>
    <row r="5011" spans="1:9">
      <c r="A5011" s="42" t="s">
        <v>1088</v>
      </c>
      <c r="B5011" s="42" t="s">
        <v>192</v>
      </c>
      <c r="C5011" s="42" t="s">
        <v>1089</v>
      </c>
      <c r="D5011" s="42" t="s">
        <v>179</v>
      </c>
      <c r="E5011" s="42" t="s">
        <v>808</v>
      </c>
      <c r="F5011" s="45">
        <v>4608000000</v>
      </c>
      <c r="G5011" s="42" t="s">
        <v>763</v>
      </c>
      <c r="H5011" s="42" t="s">
        <v>151</v>
      </c>
      <c r="I5011" s="42" t="s">
        <v>893</v>
      </c>
    </row>
    <row r="5012" spans="1:9">
      <c r="A5012" s="42" t="s">
        <v>1088</v>
      </c>
      <c r="B5012" s="42" t="s">
        <v>193</v>
      </c>
      <c r="C5012" s="42" t="s">
        <v>1090</v>
      </c>
      <c r="D5012" s="42" t="s">
        <v>179</v>
      </c>
      <c r="E5012" s="42" t="s">
        <v>808</v>
      </c>
      <c r="F5012" s="45">
        <v>-3308000000</v>
      </c>
      <c r="G5012" s="42" t="s">
        <v>763</v>
      </c>
      <c r="H5012" s="42" t="s">
        <v>151</v>
      </c>
      <c r="I5012" s="42" t="s">
        <v>893</v>
      </c>
    </row>
    <row r="5013" spans="1:9">
      <c r="A5013" s="42" t="s">
        <v>1088</v>
      </c>
      <c r="B5013" s="42" t="s">
        <v>194</v>
      </c>
      <c r="C5013" s="42" t="s">
        <v>1091</v>
      </c>
      <c r="D5013" s="42" t="s">
        <v>179</v>
      </c>
      <c r="E5013" s="42" t="s">
        <v>808</v>
      </c>
      <c r="F5013" s="45">
        <v>1300000000</v>
      </c>
      <c r="G5013" s="42" t="s">
        <v>763</v>
      </c>
      <c r="H5013" s="42" t="s">
        <v>151</v>
      </c>
      <c r="I5013" s="42" t="s">
        <v>893</v>
      </c>
    </row>
    <row r="5014" spans="1:9">
      <c r="A5014" s="42" t="s">
        <v>1088</v>
      </c>
      <c r="B5014" s="42" t="s">
        <v>195</v>
      </c>
      <c r="C5014" s="42" t="s">
        <v>1092</v>
      </c>
      <c r="D5014" s="42" t="s">
        <v>179</v>
      </c>
      <c r="E5014" s="42" t="s">
        <v>808</v>
      </c>
      <c r="F5014" s="45">
        <v>-497000000</v>
      </c>
      <c r="G5014" s="42" t="s">
        <v>763</v>
      </c>
      <c r="H5014" s="42" t="s">
        <v>151</v>
      </c>
      <c r="I5014" s="42" t="s">
        <v>893</v>
      </c>
    </row>
    <row r="5015" spans="1:9">
      <c r="A5015" s="42" t="s">
        <v>1088</v>
      </c>
      <c r="B5015" s="42" t="s">
        <v>196</v>
      </c>
      <c r="C5015" s="42" t="s">
        <v>1093</v>
      </c>
      <c r="D5015" s="42" t="s">
        <v>179</v>
      </c>
      <c r="E5015" s="42" t="s">
        <v>808</v>
      </c>
      <c r="F5015" s="45">
        <v>-258000000</v>
      </c>
      <c r="G5015" s="42" t="s">
        <v>763</v>
      </c>
      <c r="H5015" s="42" t="s">
        <v>151</v>
      </c>
      <c r="I5015" s="42" t="s">
        <v>893</v>
      </c>
    </row>
    <row r="5016" spans="1:9">
      <c r="A5016" s="42" t="s">
        <v>1088</v>
      </c>
      <c r="B5016" s="42" t="s">
        <v>197</v>
      </c>
      <c r="C5016" s="42" t="s">
        <v>1094</v>
      </c>
      <c r="D5016" s="42" t="s">
        <v>179</v>
      </c>
      <c r="E5016" s="42" t="s">
        <v>808</v>
      </c>
      <c r="F5016" s="45">
        <v>-30000000</v>
      </c>
      <c r="G5016" s="42" t="s">
        <v>763</v>
      </c>
      <c r="H5016" s="42" t="s">
        <v>151</v>
      </c>
      <c r="I5016" s="42" t="s">
        <v>893</v>
      </c>
    </row>
    <row r="5017" spans="1:9">
      <c r="A5017" s="42" t="s">
        <v>1088</v>
      </c>
      <c r="B5017" s="42" t="s">
        <v>199</v>
      </c>
      <c r="C5017" s="42" t="s">
        <v>1097</v>
      </c>
      <c r="D5017" s="42" t="s">
        <v>179</v>
      </c>
      <c r="E5017" s="42" t="s">
        <v>808</v>
      </c>
      <c r="F5017" s="45">
        <v>-323000000</v>
      </c>
      <c r="G5017" s="42" t="s">
        <v>763</v>
      </c>
      <c r="H5017" s="42" t="s">
        <v>151</v>
      </c>
      <c r="I5017" s="42" t="s">
        <v>893</v>
      </c>
    </row>
    <row r="5018" spans="1:9">
      <c r="A5018" s="42" t="s">
        <v>1088</v>
      </c>
      <c r="B5018" s="42" t="s">
        <v>200</v>
      </c>
      <c r="C5018" s="42" t="s">
        <v>1098</v>
      </c>
      <c r="D5018" s="42" t="s">
        <v>179</v>
      </c>
      <c r="E5018" s="42" t="s">
        <v>808</v>
      </c>
      <c r="F5018" s="45">
        <v>192000000</v>
      </c>
      <c r="G5018" s="42" t="s">
        <v>763</v>
      </c>
      <c r="H5018" s="42" t="s">
        <v>151</v>
      </c>
      <c r="I5018" s="42" t="s">
        <v>893</v>
      </c>
    </row>
    <row r="5019" spans="1:9">
      <c r="A5019" s="42" t="s">
        <v>1088</v>
      </c>
      <c r="B5019" s="42" t="s">
        <v>201</v>
      </c>
      <c r="C5019" s="42" t="s">
        <v>1099</v>
      </c>
      <c r="D5019" s="42" t="s">
        <v>179</v>
      </c>
      <c r="E5019" s="42" t="s">
        <v>808</v>
      </c>
      <c r="F5019" s="45">
        <v>81000000</v>
      </c>
      <c r="G5019" s="42" t="s">
        <v>763</v>
      </c>
      <c r="H5019" s="42" t="s">
        <v>151</v>
      </c>
      <c r="I5019" s="42" t="s">
        <v>893</v>
      </c>
    </row>
    <row r="5020" spans="1:9">
      <c r="A5020" s="42" t="s">
        <v>1088</v>
      </c>
      <c r="B5020" s="42" t="s">
        <v>202</v>
      </c>
      <c r="C5020" s="42" t="s">
        <v>1100</v>
      </c>
      <c r="D5020" s="42" t="s">
        <v>179</v>
      </c>
      <c r="E5020" s="42" t="s">
        <v>808</v>
      </c>
      <c r="F5020" s="45">
        <v>16000000</v>
      </c>
      <c r="G5020" s="42" t="s">
        <v>763</v>
      </c>
      <c r="H5020" s="42" t="s">
        <v>151</v>
      </c>
      <c r="I5020" s="42" t="s">
        <v>893</v>
      </c>
    </row>
    <row r="5021" spans="1:9">
      <c r="A5021" s="42" t="s">
        <v>1088</v>
      </c>
      <c r="B5021" s="42" t="s">
        <v>203</v>
      </c>
      <c r="C5021" s="42" t="s">
        <v>1129</v>
      </c>
      <c r="D5021" s="42" t="s">
        <v>179</v>
      </c>
      <c r="E5021" s="42" t="s">
        <v>808</v>
      </c>
      <c r="F5021" s="45">
        <v>-285000000</v>
      </c>
      <c r="G5021" s="42" t="s">
        <v>763</v>
      </c>
      <c r="H5021" s="42" t="s">
        <v>151</v>
      </c>
      <c r="I5021" s="42" t="s">
        <v>893</v>
      </c>
    </row>
    <row r="5022" spans="1:9">
      <c r="A5022" s="42" t="s">
        <v>1088</v>
      </c>
      <c r="B5022" s="42" t="s">
        <v>204</v>
      </c>
      <c r="C5022" s="42" t="s">
        <v>1102</v>
      </c>
      <c r="D5022" s="42" t="s">
        <v>179</v>
      </c>
      <c r="E5022" s="42" t="s">
        <v>808</v>
      </c>
      <c r="F5022" s="45">
        <v>24000000</v>
      </c>
      <c r="G5022" s="42" t="s">
        <v>763</v>
      </c>
      <c r="H5022" s="42" t="s">
        <v>151</v>
      </c>
      <c r="I5022" s="42" t="s">
        <v>893</v>
      </c>
    </row>
    <row r="5023" spans="1:9">
      <c r="A5023" s="42" t="s">
        <v>1088</v>
      </c>
      <c r="B5023" s="42" t="s">
        <v>205</v>
      </c>
      <c r="C5023" s="42" t="s">
        <v>1103</v>
      </c>
      <c r="D5023" s="42" t="s">
        <v>179</v>
      </c>
      <c r="E5023" s="42" t="s">
        <v>808</v>
      </c>
      <c r="F5023" s="45">
        <v>-245000000</v>
      </c>
      <c r="G5023" s="42" t="s">
        <v>763</v>
      </c>
      <c r="H5023" s="42" t="s">
        <v>151</v>
      </c>
      <c r="I5023" s="42" t="s">
        <v>893</v>
      </c>
    </row>
    <row r="5024" spans="1:9">
      <c r="A5024" s="42" t="s">
        <v>1088</v>
      </c>
      <c r="B5024" s="42" t="s">
        <v>206</v>
      </c>
      <c r="C5024" s="42" t="s">
        <v>1104</v>
      </c>
      <c r="D5024" s="42" t="s">
        <v>179</v>
      </c>
      <c r="E5024" s="42" t="s">
        <v>808</v>
      </c>
      <c r="F5024" s="45">
        <v>28000000</v>
      </c>
      <c r="G5024" s="42" t="s">
        <v>763</v>
      </c>
      <c r="H5024" s="42" t="s">
        <v>151</v>
      </c>
      <c r="I5024" s="42" t="s">
        <v>893</v>
      </c>
    </row>
    <row r="5025" spans="1:9">
      <c r="A5025" s="42" t="s">
        <v>1088</v>
      </c>
      <c r="B5025" s="42" t="s">
        <v>207</v>
      </c>
      <c r="C5025" s="42" t="s">
        <v>1105</v>
      </c>
      <c r="D5025" s="42" t="s">
        <v>179</v>
      </c>
      <c r="E5025" s="42" t="s">
        <v>808</v>
      </c>
      <c r="F5025" s="45">
        <v>-38000000</v>
      </c>
      <c r="G5025" s="42" t="s">
        <v>763</v>
      </c>
      <c r="H5025" s="42" t="s">
        <v>151</v>
      </c>
      <c r="I5025" s="42" t="s">
        <v>893</v>
      </c>
    </row>
    <row r="5026" spans="1:9">
      <c r="A5026" s="42" t="s">
        <v>1088</v>
      </c>
      <c r="B5026" s="42" t="s">
        <v>208</v>
      </c>
      <c r="C5026" s="42" t="s">
        <v>1106</v>
      </c>
      <c r="D5026" s="42" t="s">
        <v>179</v>
      </c>
      <c r="E5026" s="42" t="s">
        <v>808</v>
      </c>
      <c r="F5026" s="45">
        <v>-10000000</v>
      </c>
      <c r="G5026" s="42" t="s">
        <v>763</v>
      </c>
      <c r="H5026" s="42" t="s">
        <v>151</v>
      </c>
      <c r="I5026" s="42" t="s">
        <v>893</v>
      </c>
    </row>
    <row r="5027" spans="1:9">
      <c r="A5027" s="42" t="s">
        <v>1088</v>
      </c>
      <c r="B5027" s="42" t="s">
        <v>209</v>
      </c>
      <c r="C5027" s="42" t="s">
        <v>1130</v>
      </c>
      <c r="D5027" s="42" t="s">
        <v>179</v>
      </c>
      <c r="E5027" s="42" t="s">
        <v>808</v>
      </c>
      <c r="F5027" s="45">
        <v>-38000000</v>
      </c>
      <c r="G5027" s="42" t="s">
        <v>763</v>
      </c>
      <c r="H5027" s="42" t="s">
        <v>151</v>
      </c>
      <c r="I5027" s="42" t="s">
        <v>893</v>
      </c>
    </row>
    <row r="5028" spans="1:9">
      <c r="A5028" s="42" t="s">
        <v>1088</v>
      </c>
      <c r="B5028" s="42" t="s">
        <v>210</v>
      </c>
      <c r="C5028" s="42" t="s">
        <v>1124</v>
      </c>
      <c r="D5028" s="42" t="s">
        <v>179</v>
      </c>
      <c r="E5028" s="42" t="s">
        <v>808</v>
      </c>
      <c r="F5028" s="45">
        <v>84000000</v>
      </c>
      <c r="G5028" s="42" t="s">
        <v>763</v>
      </c>
      <c r="H5028" s="42" t="s">
        <v>151</v>
      </c>
      <c r="I5028" s="42" t="s">
        <v>893</v>
      </c>
    </row>
    <row r="5029" spans="1:9">
      <c r="A5029" s="42" t="s">
        <v>1088</v>
      </c>
      <c r="B5029" s="42" t="s">
        <v>211</v>
      </c>
      <c r="C5029" s="42" t="s">
        <v>1108</v>
      </c>
      <c r="D5029" s="42" t="s">
        <v>179</v>
      </c>
      <c r="E5029" s="42" t="s">
        <v>808</v>
      </c>
      <c r="F5029" s="45">
        <v>46000000</v>
      </c>
      <c r="G5029" s="42" t="s">
        <v>763</v>
      </c>
      <c r="H5029" s="42" t="s">
        <v>151</v>
      </c>
      <c r="I5029" s="42" t="s">
        <v>893</v>
      </c>
    </row>
    <row r="5030" spans="1:9">
      <c r="A5030" s="42" t="s">
        <v>1088</v>
      </c>
      <c r="B5030" s="42" t="s">
        <v>212</v>
      </c>
      <c r="C5030" s="42" t="s">
        <v>1110</v>
      </c>
      <c r="D5030" s="42" t="s">
        <v>179</v>
      </c>
      <c r="E5030" s="42" t="s">
        <v>808</v>
      </c>
      <c r="F5030" s="45">
        <v>36000000</v>
      </c>
      <c r="G5030" s="42" t="s">
        <v>763</v>
      </c>
      <c r="H5030" s="42" t="s">
        <v>151</v>
      </c>
      <c r="I5030" s="42" t="s">
        <v>893</v>
      </c>
    </row>
    <row r="5031" spans="1:9">
      <c r="A5031" s="42" t="s">
        <v>1088</v>
      </c>
      <c r="B5031" s="42" t="s">
        <v>1111</v>
      </c>
      <c r="C5031" s="42" t="s">
        <v>1112</v>
      </c>
      <c r="D5031" s="42" t="s">
        <v>179</v>
      </c>
      <c r="E5031" s="42" t="s">
        <v>808</v>
      </c>
      <c r="F5031" s="45">
        <v>-16000000</v>
      </c>
      <c r="G5031" s="42" t="s">
        <v>763</v>
      </c>
      <c r="H5031" s="42" t="s">
        <v>151</v>
      </c>
      <c r="I5031" s="42" t="s">
        <v>893</v>
      </c>
    </row>
    <row r="5032" spans="1:9">
      <c r="A5032" s="42" t="s">
        <v>1088</v>
      </c>
      <c r="B5032" s="42" t="s">
        <v>261</v>
      </c>
      <c r="C5032" s="42" t="s">
        <v>1113</v>
      </c>
      <c r="D5032" s="42" t="s">
        <v>179</v>
      </c>
      <c r="E5032" s="42" t="s">
        <v>808</v>
      </c>
      <c r="F5032" s="45">
        <v>6000000</v>
      </c>
      <c r="G5032" s="42" t="s">
        <v>763</v>
      </c>
      <c r="H5032" s="42" t="s">
        <v>151</v>
      </c>
      <c r="I5032" s="42" t="s">
        <v>893</v>
      </c>
    </row>
    <row r="5033" spans="1:9">
      <c r="A5033" s="42" t="s">
        <v>1088</v>
      </c>
      <c r="B5033" s="42" t="s">
        <v>1111</v>
      </c>
      <c r="C5033" s="42" t="s">
        <v>1114</v>
      </c>
      <c r="D5033" s="42" t="s">
        <v>179</v>
      </c>
      <c r="E5033" s="42" t="s">
        <v>808</v>
      </c>
      <c r="F5033" s="45">
        <v>37000000</v>
      </c>
      <c r="G5033" s="42" t="s">
        <v>763</v>
      </c>
      <c r="H5033" s="42" t="s">
        <v>151</v>
      </c>
      <c r="I5033" s="42" t="s">
        <v>893</v>
      </c>
    </row>
    <row r="5034" spans="1:9">
      <c r="A5034" s="42" t="s">
        <v>1088</v>
      </c>
      <c r="B5034" s="42" t="s">
        <v>261</v>
      </c>
      <c r="C5034" s="42" t="s">
        <v>1125</v>
      </c>
      <c r="D5034" s="42" t="s">
        <v>179</v>
      </c>
      <c r="E5034" s="42" t="s">
        <v>808</v>
      </c>
      <c r="F5034" s="45">
        <v>9000000</v>
      </c>
      <c r="G5034" s="42" t="s">
        <v>763</v>
      </c>
      <c r="H5034" s="42" t="s">
        <v>151</v>
      </c>
      <c r="I5034" s="42" t="s">
        <v>893</v>
      </c>
    </row>
    <row r="5035" spans="1:9">
      <c r="A5035" s="42" t="s">
        <v>1088</v>
      </c>
      <c r="B5035" s="42" t="s">
        <v>1111</v>
      </c>
      <c r="C5035" s="42" t="s">
        <v>1115</v>
      </c>
      <c r="D5035" s="42" t="s">
        <v>179</v>
      </c>
      <c r="E5035" s="42" t="s">
        <v>808</v>
      </c>
      <c r="F5035" s="45">
        <v>21000000</v>
      </c>
      <c r="G5035" s="42" t="s">
        <v>763</v>
      </c>
      <c r="H5035" s="42" t="s">
        <v>151</v>
      </c>
      <c r="I5035" s="42" t="s">
        <v>893</v>
      </c>
    </row>
    <row r="5036" spans="1:9">
      <c r="A5036" s="42" t="s">
        <v>1088</v>
      </c>
      <c r="B5036" s="42" t="s">
        <v>261</v>
      </c>
      <c r="C5036" s="42" t="s">
        <v>1116</v>
      </c>
      <c r="D5036" s="42" t="s">
        <v>179</v>
      </c>
      <c r="E5036" s="42" t="s">
        <v>808</v>
      </c>
      <c r="F5036" s="45">
        <v>15000000</v>
      </c>
      <c r="G5036" s="42" t="s">
        <v>763</v>
      </c>
      <c r="H5036" s="42" t="s">
        <v>151</v>
      </c>
      <c r="I5036" s="42" t="s">
        <v>893</v>
      </c>
    </row>
    <row r="5037" spans="1:9">
      <c r="A5037" s="42" t="s">
        <v>1088</v>
      </c>
      <c r="B5037" s="42" t="s">
        <v>219</v>
      </c>
      <c r="C5037" s="42" t="s">
        <v>1117</v>
      </c>
      <c r="D5037" s="42" t="s">
        <v>179</v>
      </c>
      <c r="E5037" s="42" t="s">
        <v>808</v>
      </c>
      <c r="F5037" s="45">
        <v>-40000</v>
      </c>
      <c r="G5037" s="42" t="s">
        <v>763</v>
      </c>
      <c r="H5037" s="42" t="s">
        <v>151</v>
      </c>
      <c r="I5037" s="42" t="s">
        <v>893</v>
      </c>
    </row>
    <row r="5038" spans="1:9">
      <c r="A5038" s="42" t="s">
        <v>1088</v>
      </c>
      <c r="B5038" s="42" t="s">
        <v>192</v>
      </c>
      <c r="C5038" s="42" t="s">
        <v>1089</v>
      </c>
      <c r="D5038" s="42" t="s">
        <v>180</v>
      </c>
      <c r="E5038" s="42" t="s">
        <v>808</v>
      </c>
      <c r="F5038" s="45">
        <v>4641000000</v>
      </c>
      <c r="G5038" s="42" t="s">
        <v>763</v>
      </c>
      <c r="H5038" s="42" t="s">
        <v>153</v>
      </c>
      <c r="I5038" s="42" t="s">
        <v>893</v>
      </c>
    </row>
    <row r="5039" spans="1:9">
      <c r="A5039" s="42" t="s">
        <v>1088</v>
      </c>
      <c r="B5039" s="42" t="s">
        <v>193</v>
      </c>
      <c r="C5039" s="42" t="s">
        <v>1090</v>
      </c>
      <c r="D5039" s="42" t="s">
        <v>180</v>
      </c>
      <c r="E5039" s="42" t="s">
        <v>808</v>
      </c>
      <c r="F5039" s="45">
        <v>-3448000000</v>
      </c>
      <c r="G5039" s="42" t="s">
        <v>763</v>
      </c>
      <c r="H5039" s="42" t="s">
        <v>153</v>
      </c>
      <c r="I5039" s="42" t="s">
        <v>893</v>
      </c>
    </row>
    <row r="5040" spans="1:9">
      <c r="A5040" s="42" t="s">
        <v>1088</v>
      </c>
      <c r="B5040" s="42" t="s">
        <v>194</v>
      </c>
      <c r="C5040" s="42" t="s">
        <v>1091</v>
      </c>
      <c r="D5040" s="42" t="s">
        <v>180</v>
      </c>
      <c r="E5040" s="42" t="s">
        <v>808</v>
      </c>
      <c r="F5040" s="45">
        <v>1193000000</v>
      </c>
      <c r="G5040" s="42" t="s">
        <v>763</v>
      </c>
      <c r="H5040" s="42" t="s">
        <v>153</v>
      </c>
      <c r="I5040" s="42" t="s">
        <v>893</v>
      </c>
    </row>
    <row r="5041" spans="1:9">
      <c r="A5041" s="42" t="s">
        <v>1088</v>
      </c>
      <c r="B5041" s="42" t="s">
        <v>195</v>
      </c>
      <c r="C5041" s="42" t="s">
        <v>1092</v>
      </c>
      <c r="D5041" s="42" t="s">
        <v>180</v>
      </c>
      <c r="E5041" s="42" t="s">
        <v>808</v>
      </c>
      <c r="F5041" s="45">
        <v>-510000000</v>
      </c>
      <c r="G5041" s="42" t="s">
        <v>763</v>
      </c>
      <c r="H5041" s="42" t="s">
        <v>153</v>
      </c>
      <c r="I5041" s="42" t="s">
        <v>893</v>
      </c>
    </row>
    <row r="5042" spans="1:9">
      <c r="A5042" s="42" t="s">
        <v>1088</v>
      </c>
      <c r="B5042" s="42" t="s">
        <v>196</v>
      </c>
      <c r="C5042" s="42" t="s">
        <v>1093</v>
      </c>
      <c r="D5042" s="42" t="s">
        <v>180</v>
      </c>
      <c r="E5042" s="42" t="s">
        <v>808</v>
      </c>
      <c r="F5042" s="45">
        <v>-233000000</v>
      </c>
      <c r="G5042" s="42" t="s">
        <v>763</v>
      </c>
      <c r="H5042" s="42" t="s">
        <v>153</v>
      </c>
      <c r="I5042" s="42" t="s">
        <v>893</v>
      </c>
    </row>
    <row r="5043" spans="1:9">
      <c r="A5043" s="42" t="s">
        <v>1088</v>
      </c>
      <c r="B5043" s="42" t="s">
        <v>197</v>
      </c>
      <c r="C5043" s="42" t="s">
        <v>1094</v>
      </c>
      <c r="D5043" s="42" t="s">
        <v>180</v>
      </c>
      <c r="E5043" s="42" t="s">
        <v>808</v>
      </c>
      <c r="F5043" s="45">
        <v>-21000000</v>
      </c>
      <c r="G5043" s="42" t="s">
        <v>763</v>
      </c>
      <c r="H5043" s="42" t="s">
        <v>153</v>
      </c>
      <c r="I5043" s="42" t="s">
        <v>893</v>
      </c>
    </row>
    <row r="5044" spans="1:9">
      <c r="A5044" s="42" t="s">
        <v>1088</v>
      </c>
      <c r="B5044" s="42" t="s">
        <v>198</v>
      </c>
      <c r="C5044" s="42" t="s">
        <v>1131</v>
      </c>
      <c r="D5044" s="42" t="s">
        <v>180</v>
      </c>
      <c r="E5044" s="42" t="s">
        <v>808</v>
      </c>
      <c r="F5044" s="45">
        <v>9000000</v>
      </c>
      <c r="G5044" s="42" t="s">
        <v>763</v>
      </c>
      <c r="H5044" s="42" t="s">
        <v>153</v>
      </c>
      <c r="I5044" s="42" t="s">
        <v>893</v>
      </c>
    </row>
    <row r="5045" spans="1:9">
      <c r="A5045" s="42" t="s">
        <v>1088</v>
      </c>
      <c r="B5045" s="42" t="s">
        <v>199</v>
      </c>
      <c r="C5045" s="42" t="s">
        <v>1097</v>
      </c>
      <c r="D5045" s="42" t="s">
        <v>180</v>
      </c>
      <c r="E5045" s="42" t="s">
        <v>808</v>
      </c>
      <c r="F5045" s="45">
        <v>-26000000</v>
      </c>
      <c r="G5045" s="42" t="s">
        <v>763</v>
      </c>
      <c r="H5045" s="42" t="s">
        <v>153</v>
      </c>
      <c r="I5045" s="42" t="s">
        <v>893</v>
      </c>
    </row>
    <row r="5046" spans="1:9">
      <c r="A5046" s="42" t="s">
        <v>1088</v>
      </c>
      <c r="B5046" s="42" t="s">
        <v>200</v>
      </c>
      <c r="C5046" s="42" t="s">
        <v>1098</v>
      </c>
      <c r="D5046" s="42" t="s">
        <v>180</v>
      </c>
      <c r="E5046" s="42" t="s">
        <v>808</v>
      </c>
      <c r="F5046" s="45">
        <v>412000000</v>
      </c>
      <c r="G5046" s="42" t="s">
        <v>763</v>
      </c>
      <c r="H5046" s="42" t="s">
        <v>153</v>
      </c>
      <c r="I5046" s="42" t="s">
        <v>893</v>
      </c>
    </row>
    <row r="5047" spans="1:9">
      <c r="A5047" s="42" t="s">
        <v>1088</v>
      </c>
      <c r="B5047" s="42" t="s">
        <v>201</v>
      </c>
      <c r="C5047" s="42" t="s">
        <v>1099</v>
      </c>
      <c r="D5047" s="42" t="s">
        <v>180</v>
      </c>
      <c r="E5047" s="42" t="s">
        <v>808</v>
      </c>
      <c r="F5047" s="45">
        <v>-6000000</v>
      </c>
      <c r="G5047" s="42" t="s">
        <v>763</v>
      </c>
      <c r="H5047" s="42" t="s">
        <v>153</v>
      </c>
      <c r="I5047" s="42" t="s">
        <v>893</v>
      </c>
    </row>
    <row r="5048" spans="1:9">
      <c r="A5048" s="42" t="s">
        <v>1088</v>
      </c>
      <c r="B5048" s="42" t="s">
        <v>202</v>
      </c>
      <c r="C5048" s="42" t="s">
        <v>1100</v>
      </c>
      <c r="D5048" s="42" t="s">
        <v>180</v>
      </c>
      <c r="E5048" s="42" t="s">
        <v>808</v>
      </c>
      <c r="F5048" s="45">
        <v>28000000</v>
      </c>
      <c r="G5048" s="42" t="s">
        <v>763</v>
      </c>
      <c r="H5048" s="42" t="s">
        <v>153</v>
      </c>
      <c r="I5048" s="42" t="s">
        <v>893</v>
      </c>
    </row>
    <row r="5049" spans="1:9">
      <c r="A5049" s="42" t="s">
        <v>1088</v>
      </c>
      <c r="B5049" s="42" t="s">
        <v>203</v>
      </c>
      <c r="C5049" s="42" t="s">
        <v>1129</v>
      </c>
      <c r="D5049" s="42" t="s">
        <v>180</v>
      </c>
      <c r="E5049" s="42" t="s">
        <v>808</v>
      </c>
      <c r="F5049" s="45">
        <v>-279000000</v>
      </c>
      <c r="G5049" s="42" t="s">
        <v>763</v>
      </c>
      <c r="H5049" s="42" t="s">
        <v>153</v>
      </c>
      <c r="I5049" s="42" t="s">
        <v>893</v>
      </c>
    </row>
    <row r="5050" spans="1:9">
      <c r="A5050" s="42" t="s">
        <v>1088</v>
      </c>
      <c r="B5050" s="42" t="s">
        <v>204</v>
      </c>
      <c r="C5050" s="42" t="s">
        <v>1102</v>
      </c>
      <c r="D5050" s="42" t="s">
        <v>180</v>
      </c>
      <c r="E5050" s="42" t="s">
        <v>808</v>
      </c>
      <c r="F5050" s="45">
        <v>-5000000</v>
      </c>
      <c r="G5050" s="42" t="s">
        <v>763</v>
      </c>
      <c r="H5050" s="42" t="s">
        <v>153</v>
      </c>
      <c r="I5050" s="42" t="s">
        <v>893</v>
      </c>
    </row>
    <row r="5051" spans="1:9">
      <c r="A5051" s="42" t="s">
        <v>1088</v>
      </c>
      <c r="B5051" s="42" t="s">
        <v>205</v>
      </c>
      <c r="C5051" s="42" t="s">
        <v>1103</v>
      </c>
      <c r="D5051" s="42" t="s">
        <v>180</v>
      </c>
      <c r="E5051" s="42" t="s">
        <v>808</v>
      </c>
      <c r="F5051" s="45">
        <v>-256000000</v>
      </c>
      <c r="G5051" s="42" t="s">
        <v>763</v>
      </c>
      <c r="H5051" s="42" t="s">
        <v>153</v>
      </c>
      <c r="I5051" s="42" t="s">
        <v>893</v>
      </c>
    </row>
    <row r="5052" spans="1:9">
      <c r="A5052" s="42" t="s">
        <v>1088</v>
      </c>
      <c r="B5052" s="42" t="s">
        <v>206</v>
      </c>
      <c r="C5052" s="42" t="s">
        <v>1104</v>
      </c>
      <c r="D5052" s="42" t="s">
        <v>180</v>
      </c>
      <c r="E5052" s="42" t="s">
        <v>808</v>
      </c>
      <c r="F5052" s="45">
        <v>150000000</v>
      </c>
      <c r="G5052" s="42" t="s">
        <v>763</v>
      </c>
      <c r="H5052" s="42" t="s">
        <v>153</v>
      </c>
      <c r="I5052" s="42" t="s">
        <v>893</v>
      </c>
    </row>
    <row r="5053" spans="1:9">
      <c r="A5053" s="42" t="s">
        <v>1088</v>
      </c>
      <c r="B5053" s="42" t="s">
        <v>207</v>
      </c>
      <c r="C5053" s="42" t="s">
        <v>1105</v>
      </c>
      <c r="D5053" s="42" t="s">
        <v>180</v>
      </c>
      <c r="E5053" s="42" t="s">
        <v>808</v>
      </c>
      <c r="F5053" s="45">
        <v>-92000000</v>
      </c>
      <c r="G5053" s="42" t="s">
        <v>763</v>
      </c>
      <c r="H5053" s="42" t="s">
        <v>153</v>
      </c>
      <c r="I5053" s="42" t="s">
        <v>893</v>
      </c>
    </row>
    <row r="5054" spans="1:9">
      <c r="A5054" s="42" t="s">
        <v>1088</v>
      </c>
      <c r="B5054" s="42" t="s">
        <v>208</v>
      </c>
      <c r="C5054" s="42" t="s">
        <v>1106</v>
      </c>
      <c r="D5054" s="42" t="s">
        <v>180</v>
      </c>
      <c r="E5054" s="42" t="s">
        <v>808</v>
      </c>
      <c r="F5054" s="45">
        <v>58000000</v>
      </c>
      <c r="G5054" s="42" t="s">
        <v>763</v>
      </c>
      <c r="H5054" s="42" t="s">
        <v>153</v>
      </c>
      <c r="I5054" s="42" t="s">
        <v>893</v>
      </c>
    </row>
    <row r="5055" spans="1:9">
      <c r="A5055" s="42" t="s">
        <v>1088</v>
      </c>
      <c r="B5055" s="42" t="s">
        <v>209</v>
      </c>
      <c r="C5055" s="42" t="s">
        <v>1130</v>
      </c>
      <c r="D5055" s="42" t="s">
        <v>180</v>
      </c>
      <c r="E5055" s="42" t="s">
        <v>808</v>
      </c>
      <c r="F5055" s="45">
        <v>-84000000</v>
      </c>
      <c r="G5055" s="42" t="s">
        <v>763</v>
      </c>
      <c r="H5055" s="42" t="s">
        <v>153</v>
      </c>
      <c r="I5055" s="42" t="s">
        <v>893</v>
      </c>
    </row>
    <row r="5056" spans="1:9">
      <c r="A5056" s="42" t="s">
        <v>1088</v>
      </c>
      <c r="B5056" s="42" t="s">
        <v>210</v>
      </c>
      <c r="C5056" s="42" t="s">
        <v>1124</v>
      </c>
      <c r="D5056" s="42" t="s">
        <v>180</v>
      </c>
      <c r="E5056" s="42" t="s">
        <v>808</v>
      </c>
      <c r="F5056" s="45">
        <v>39000000</v>
      </c>
      <c r="G5056" s="42" t="s">
        <v>763</v>
      </c>
      <c r="H5056" s="42" t="s">
        <v>153</v>
      </c>
      <c r="I5056" s="42" t="s">
        <v>893</v>
      </c>
    </row>
    <row r="5057" spans="1:9">
      <c r="A5057" s="42" t="s">
        <v>1088</v>
      </c>
      <c r="B5057" s="42" t="s">
        <v>211</v>
      </c>
      <c r="C5057" s="42" t="s">
        <v>1108</v>
      </c>
      <c r="D5057" s="42" t="s">
        <v>180</v>
      </c>
      <c r="E5057" s="42" t="s">
        <v>808</v>
      </c>
      <c r="F5057" s="45">
        <v>-45000000</v>
      </c>
      <c r="G5057" s="42" t="s">
        <v>763</v>
      </c>
      <c r="H5057" s="42" t="s">
        <v>153</v>
      </c>
      <c r="I5057" s="42" t="s">
        <v>893</v>
      </c>
    </row>
    <row r="5058" spans="1:9">
      <c r="A5058" s="42" t="s">
        <v>1088</v>
      </c>
      <c r="B5058" s="42" t="s">
        <v>212</v>
      </c>
      <c r="C5058" s="42" t="s">
        <v>1110</v>
      </c>
      <c r="D5058" s="42" t="s">
        <v>180</v>
      </c>
      <c r="E5058" s="42" t="s">
        <v>808</v>
      </c>
      <c r="F5058" s="45">
        <v>13000000</v>
      </c>
      <c r="G5058" s="42" t="s">
        <v>763</v>
      </c>
      <c r="H5058" s="42" t="s">
        <v>153</v>
      </c>
      <c r="I5058" s="42" t="s">
        <v>893</v>
      </c>
    </row>
    <row r="5059" spans="1:9">
      <c r="A5059" s="42" t="s">
        <v>1088</v>
      </c>
      <c r="B5059" s="42" t="s">
        <v>1111</v>
      </c>
      <c r="C5059" s="42" t="s">
        <v>1112</v>
      </c>
      <c r="D5059" s="42" t="s">
        <v>180</v>
      </c>
      <c r="E5059" s="42" t="s">
        <v>808</v>
      </c>
      <c r="F5059" s="45">
        <v>50000000</v>
      </c>
      <c r="G5059" s="42" t="s">
        <v>763</v>
      </c>
      <c r="H5059" s="42" t="s">
        <v>153</v>
      </c>
      <c r="I5059" s="42" t="s">
        <v>893</v>
      </c>
    </row>
    <row r="5060" spans="1:9">
      <c r="A5060" s="42" t="s">
        <v>1088</v>
      </c>
      <c r="B5060" s="42" t="s">
        <v>261</v>
      </c>
      <c r="C5060" s="42" t="s">
        <v>1113</v>
      </c>
      <c r="D5060" s="42" t="s">
        <v>180</v>
      </c>
      <c r="E5060" s="42" t="s">
        <v>808</v>
      </c>
      <c r="F5060" s="45">
        <v>8000000</v>
      </c>
      <c r="G5060" s="42" t="s">
        <v>763</v>
      </c>
      <c r="H5060" s="42" t="s">
        <v>153</v>
      </c>
      <c r="I5060" s="42" t="s">
        <v>893</v>
      </c>
    </row>
    <row r="5061" spans="1:9">
      <c r="A5061" s="42" t="s">
        <v>1088</v>
      </c>
      <c r="B5061" s="42" t="s">
        <v>1111</v>
      </c>
      <c r="C5061" s="42" t="s">
        <v>1114</v>
      </c>
      <c r="D5061" s="42" t="s">
        <v>180</v>
      </c>
      <c r="E5061" s="42" t="s">
        <v>808</v>
      </c>
      <c r="F5061" s="45">
        <v>-34000000</v>
      </c>
      <c r="G5061" s="42" t="s">
        <v>763</v>
      </c>
      <c r="H5061" s="42" t="s">
        <v>153</v>
      </c>
      <c r="I5061" s="42" t="s">
        <v>893</v>
      </c>
    </row>
    <row r="5062" spans="1:9">
      <c r="A5062" s="42" t="s">
        <v>1088</v>
      </c>
      <c r="B5062" s="42" t="s">
        <v>261</v>
      </c>
      <c r="C5062" s="42" t="s">
        <v>1125</v>
      </c>
      <c r="D5062" s="42" t="s">
        <v>180</v>
      </c>
      <c r="E5062" s="42" t="s">
        <v>808</v>
      </c>
      <c r="F5062" s="45">
        <v>-11000000</v>
      </c>
      <c r="G5062" s="42" t="s">
        <v>763</v>
      </c>
      <c r="H5062" s="42" t="s">
        <v>153</v>
      </c>
      <c r="I5062" s="42" t="s">
        <v>893</v>
      </c>
    </row>
    <row r="5063" spans="1:9">
      <c r="A5063" s="42" t="s">
        <v>1088</v>
      </c>
      <c r="B5063" s="42" t="s">
        <v>1111</v>
      </c>
      <c r="C5063" s="42" t="s">
        <v>1115</v>
      </c>
      <c r="D5063" s="42" t="s">
        <v>180</v>
      </c>
      <c r="E5063" s="42" t="s">
        <v>808</v>
      </c>
      <c r="F5063" s="45">
        <v>16000000</v>
      </c>
      <c r="G5063" s="42" t="s">
        <v>763</v>
      </c>
      <c r="H5063" s="42" t="s">
        <v>153</v>
      </c>
      <c r="I5063" s="42" t="s">
        <v>893</v>
      </c>
    </row>
    <row r="5064" spans="1:9">
      <c r="A5064" s="42" t="s">
        <v>1088</v>
      </c>
      <c r="B5064" s="42" t="s">
        <v>261</v>
      </c>
      <c r="C5064" s="42" t="s">
        <v>1116</v>
      </c>
      <c r="D5064" s="42" t="s">
        <v>180</v>
      </c>
      <c r="E5064" s="42" t="s">
        <v>808</v>
      </c>
      <c r="F5064" s="45">
        <v>-3000000</v>
      </c>
      <c r="G5064" s="42" t="s">
        <v>763</v>
      </c>
      <c r="H5064" s="42" t="s">
        <v>153</v>
      </c>
      <c r="I5064" s="42" t="s">
        <v>893</v>
      </c>
    </row>
    <row r="5065" spans="1:9">
      <c r="A5065" s="42" t="s">
        <v>1088</v>
      </c>
      <c r="B5065" s="42" t="s">
        <v>219</v>
      </c>
      <c r="C5065" s="42" t="s">
        <v>1117</v>
      </c>
      <c r="D5065" s="42" t="s">
        <v>180</v>
      </c>
      <c r="E5065" s="42" t="s">
        <v>808</v>
      </c>
      <c r="F5065" s="45">
        <v>10000</v>
      </c>
      <c r="G5065" s="42" t="s">
        <v>763</v>
      </c>
      <c r="H5065" s="42" t="s">
        <v>153</v>
      </c>
      <c r="I5065" s="42" t="s">
        <v>893</v>
      </c>
    </row>
    <row r="5066" spans="1:9">
      <c r="A5066" s="42" t="s">
        <v>1088</v>
      </c>
      <c r="B5066" s="42" t="s">
        <v>192</v>
      </c>
      <c r="C5066" s="42" t="s">
        <v>1089</v>
      </c>
      <c r="D5066" s="42" t="s">
        <v>181</v>
      </c>
      <c r="E5066" s="42" t="s">
        <v>808</v>
      </c>
      <c r="F5066" s="45">
        <v>4643000000</v>
      </c>
      <c r="G5066" s="42" t="s">
        <v>763</v>
      </c>
      <c r="H5066" s="42" t="s">
        <v>145</v>
      </c>
      <c r="I5066" s="42" t="s">
        <v>893</v>
      </c>
    </row>
    <row r="5067" spans="1:9">
      <c r="A5067" s="42" t="s">
        <v>1088</v>
      </c>
      <c r="B5067" s="42" t="s">
        <v>193</v>
      </c>
      <c r="C5067" s="42" t="s">
        <v>1090</v>
      </c>
      <c r="D5067" s="42" t="s">
        <v>181</v>
      </c>
      <c r="E5067" s="42" t="s">
        <v>808</v>
      </c>
      <c r="F5067" s="45">
        <v>-3319000000</v>
      </c>
      <c r="G5067" s="42" t="s">
        <v>763</v>
      </c>
      <c r="H5067" s="42" t="s">
        <v>145</v>
      </c>
      <c r="I5067" s="42" t="s">
        <v>893</v>
      </c>
    </row>
    <row r="5068" spans="1:9">
      <c r="A5068" s="42" t="s">
        <v>1088</v>
      </c>
      <c r="B5068" s="42" t="s">
        <v>194</v>
      </c>
      <c r="C5068" s="42" t="s">
        <v>1091</v>
      </c>
      <c r="D5068" s="42" t="s">
        <v>181</v>
      </c>
      <c r="E5068" s="42" t="s">
        <v>808</v>
      </c>
      <c r="F5068" s="45">
        <v>1324000000</v>
      </c>
      <c r="G5068" s="42" t="s">
        <v>763</v>
      </c>
      <c r="H5068" s="42" t="s">
        <v>145</v>
      </c>
      <c r="I5068" s="42" t="s">
        <v>893</v>
      </c>
    </row>
    <row r="5069" spans="1:9">
      <c r="A5069" s="42" t="s">
        <v>1088</v>
      </c>
      <c r="B5069" s="42" t="s">
        <v>195</v>
      </c>
      <c r="C5069" s="42" t="s">
        <v>1092</v>
      </c>
      <c r="D5069" s="42" t="s">
        <v>181</v>
      </c>
      <c r="E5069" s="42" t="s">
        <v>808</v>
      </c>
      <c r="F5069" s="45">
        <v>-495000000</v>
      </c>
      <c r="G5069" s="42" t="s">
        <v>763</v>
      </c>
      <c r="H5069" s="42" t="s">
        <v>145</v>
      </c>
      <c r="I5069" s="42" t="s">
        <v>893</v>
      </c>
    </row>
    <row r="5070" spans="1:9">
      <c r="A5070" s="42" t="s">
        <v>1088</v>
      </c>
      <c r="B5070" s="42" t="s">
        <v>196</v>
      </c>
      <c r="C5070" s="42" t="s">
        <v>1093</v>
      </c>
      <c r="D5070" s="42" t="s">
        <v>181</v>
      </c>
      <c r="E5070" s="42" t="s">
        <v>808</v>
      </c>
      <c r="F5070" s="45">
        <v>-207000000</v>
      </c>
      <c r="G5070" s="42" t="s">
        <v>763</v>
      </c>
      <c r="H5070" s="42" t="s">
        <v>145</v>
      </c>
      <c r="I5070" s="42" t="s">
        <v>893</v>
      </c>
    </row>
    <row r="5071" spans="1:9">
      <c r="A5071" s="42" t="s">
        <v>1088</v>
      </c>
      <c r="B5071" s="42" t="s">
        <v>197</v>
      </c>
      <c r="C5071" s="42" t="s">
        <v>1094</v>
      </c>
      <c r="D5071" s="42" t="s">
        <v>181</v>
      </c>
      <c r="E5071" s="42" t="s">
        <v>808</v>
      </c>
      <c r="F5071" s="45">
        <v>-17000000</v>
      </c>
      <c r="G5071" s="42" t="s">
        <v>763</v>
      </c>
      <c r="H5071" s="42" t="s">
        <v>145</v>
      </c>
      <c r="I5071" s="42" t="s">
        <v>893</v>
      </c>
    </row>
    <row r="5072" spans="1:9">
      <c r="A5072" s="42" t="s">
        <v>1088</v>
      </c>
      <c r="B5072" s="42" t="s">
        <v>198</v>
      </c>
      <c r="C5072" s="42" t="s">
        <v>1131</v>
      </c>
      <c r="D5072" s="42" t="s">
        <v>181</v>
      </c>
      <c r="E5072" s="42" t="s">
        <v>808</v>
      </c>
      <c r="F5072" s="45">
        <v>-5000000</v>
      </c>
      <c r="G5072" s="42" t="s">
        <v>763</v>
      </c>
      <c r="H5072" s="42" t="s">
        <v>145</v>
      </c>
      <c r="I5072" s="42" t="s">
        <v>893</v>
      </c>
    </row>
    <row r="5073" spans="1:9">
      <c r="A5073" s="42" t="s">
        <v>1088</v>
      </c>
      <c r="B5073" s="42" t="s">
        <v>199</v>
      </c>
      <c r="C5073" s="42" t="s">
        <v>1097</v>
      </c>
      <c r="D5073" s="42" t="s">
        <v>181</v>
      </c>
      <c r="E5073" s="42" t="s">
        <v>808</v>
      </c>
      <c r="F5073" s="45">
        <v>-48000000</v>
      </c>
      <c r="G5073" s="42" t="s">
        <v>763</v>
      </c>
      <c r="H5073" s="42" t="s">
        <v>145</v>
      </c>
      <c r="I5073" s="42" t="s">
        <v>893</v>
      </c>
    </row>
    <row r="5074" spans="1:9">
      <c r="A5074" s="42" t="s">
        <v>1088</v>
      </c>
      <c r="B5074" s="42" t="s">
        <v>200</v>
      </c>
      <c r="C5074" s="42" t="s">
        <v>1098</v>
      </c>
      <c r="D5074" s="42" t="s">
        <v>181</v>
      </c>
      <c r="E5074" s="42" t="s">
        <v>808</v>
      </c>
      <c r="F5074" s="45">
        <v>552000000</v>
      </c>
      <c r="G5074" s="42" t="s">
        <v>763</v>
      </c>
      <c r="H5074" s="42" t="s">
        <v>145</v>
      </c>
      <c r="I5074" s="42" t="s">
        <v>893</v>
      </c>
    </row>
    <row r="5075" spans="1:9">
      <c r="A5075" s="42" t="s">
        <v>1088</v>
      </c>
      <c r="B5075" s="42" t="s">
        <v>201</v>
      </c>
      <c r="C5075" s="42" t="s">
        <v>1099</v>
      </c>
      <c r="D5075" s="42" t="s">
        <v>181</v>
      </c>
      <c r="E5075" s="42" t="s">
        <v>808</v>
      </c>
      <c r="F5075" s="45">
        <v>32000000</v>
      </c>
      <c r="G5075" s="42" t="s">
        <v>763</v>
      </c>
      <c r="H5075" s="42" t="s">
        <v>145</v>
      </c>
      <c r="I5075" s="42" t="s">
        <v>893</v>
      </c>
    </row>
    <row r="5076" spans="1:9">
      <c r="A5076" s="42" t="s">
        <v>1088</v>
      </c>
      <c r="B5076" s="42" t="s">
        <v>202</v>
      </c>
      <c r="C5076" s="42" t="s">
        <v>1100</v>
      </c>
      <c r="D5076" s="42" t="s">
        <v>181</v>
      </c>
      <c r="E5076" s="42" t="s">
        <v>808</v>
      </c>
      <c r="F5076" s="45">
        <v>28000000</v>
      </c>
      <c r="G5076" s="42" t="s">
        <v>763</v>
      </c>
      <c r="H5076" s="42" t="s">
        <v>145</v>
      </c>
      <c r="I5076" s="42" t="s">
        <v>893</v>
      </c>
    </row>
    <row r="5077" spans="1:9">
      <c r="A5077" s="42" t="s">
        <v>1088</v>
      </c>
      <c r="B5077" s="42" t="s">
        <v>203</v>
      </c>
      <c r="C5077" s="42" t="s">
        <v>1129</v>
      </c>
      <c r="D5077" s="42" t="s">
        <v>181</v>
      </c>
      <c r="E5077" s="42" t="s">
        <v>808</v>
      </c>
      <c r="F5077" s="45">
        <v>-257000000</v>
      </c>
      <c r="G5077" s="42" t="s">
        <v>763</v>
      </c>
      <c r="H5077" s="42" t="s">
        <v>145</v>
      </c>
      <c r="I5077" s="42" t="s">
        <v>893</v>
      </c>
    </row>
    <row r="5078" spans="1:9">
      <c r="A5078" s="42" t="s">
        <v>1088</v>
      </c>
      <c r="B5078" s="42" t="s">
        <v>204</v>
      </c>
      <c r="C5078" s="42" t="s">
        <v>1102</v>
      </c>
      <c r="D5078" s="42" t="s">
        <v>181</v>
      </c>
      <c r="E5078" s="42" t="s">
        <v>808</v>
      </c>
      <c r="F5078" s="45">
        <v>-16000000</v>
      </c>
      <c r="G5078" s="42" t="s">
        <v>763</v>
      </c>
      <c r="H5078" s="42" t="s">
        <v>145</v>
      </c>
      <c r="I5078" s="42" t="s">
        <v>893</v>
      </c>
    </row>
    <row r="5079" spans="1:9">
      <c r="A5079" s="42" t="s">
        <v>1088</v>
      </c>
      <c r="B5079" s="42" t="s">
        <v>205</v>
      </c>
      <c r="C5079" s="42" t="s">
        <v>1103</v>
      </c>
      <c r="D5079" s="42" t="s">
        <v>181</v>
      </c>
      <c r="E5079" s="42" t="s">
        <v>808</v>
      </c>
      <c r="F5079" s="45">
        <v>-245000000</v>
      </c>
      <c r="G5079" s="42" t="s">
        <v>763</v>
      </c>
      <c r="H5079" s="42" t="s">
        <v>145</v>
      </c>
      <c r="I5079" s="42" t="s">
        <v>893</v>
      </c>
    </row>
    <row r="5080" spans="1:9">
      <c r="A5080" s="42" t="s">
        <v>1088</v>
      </c>
      <c r="B5080" s="42" t="s">
        <v>206</v>
      </c>
      <c r="C5080" s="42" t="s">
        <v>1104</v>
      </c>
      <c r="D5080" s="42" t="s">
        <v>181</v>
      </c>
      <c r="E5080" s="42" t="s">
        <v>808</v>
      </c>
      <c r="F5080" s="45">
        <v>339000000</v>
      </c>
      <c r="G5080" s="42" t="s">
        <v>763</v>
      </c>
      <c r="H5080" s="42" t="s">
        <v>145</v>
      </c>
      <c r="I5080" s="42" t="s">
        <v>893</v>
      </c>
    </row>
    <row r="5081" spans="1:9">
      <c r="A5081" s="42" t="s">
        <v>1088</v>
      </c>
      <c r="B5081" s="42" t="s">
        <v>207</v>
      </c>
      <c r="C5081" s="42" t="s">
        <v>1105</v>
      </c>
      <c r="D5081" s="42" t="s">
        <v>181</v>
      </c>
      <c r="E5081" s="42" t="s">
        <v>808</v>
      </c>
      <c r="F5081" s="45">
        <v>-537000000</v>
      </c>
      <c r="G5081" s="42" t="s">
        <v>763</v>
      </c>
      <c r="H5081" s="42" t="s">
        <v>145</v>
      </c>
      <c r="I5081" s="42" t="s">
        <v>893</v>
      </c>
    </row>
    <row r="5082" spans="1:9">
      <c r="A5082" s="42" t="s">
        <v>1088</v>
      </c>
      <c r="B5082" s="42" t="s">
        <v>208</v>
      </c>
      <c r="C5082" s="42" t="s">
        <v>1106</v>
      </c>
      <c r="D5082" s="42" t="s">
        <v>181</v>
      </c>
      <c r="E5082" s="42" t="s">
        <v>808</v>
      </c>
      <c r="F5082" s="45">
        <v>-198000000</v>
      </c>
      <c r="G5082" s="42" t="s">
        <v>763</v>
      </c>
      <c r="H5082" s="42" t="s">
        <v>145</v>
      </c>
      <c r="I5082" s="42" t="s">
        <v>893</v>
      </c>
    </row>
    <row r="5083" spans="1:9">
      <c r="A5083" s="42" t="s">
        <v>1088</v>
      </c>
      <c r="B5083" s="42" t="s">
        <v>209</v>
      </c>
      <c r="C5083" s="42" t="s">
        <v>1130</v>
      </c>
      <c r="D5083" s="42" t="s">
        <v>181</v>
      </c>
      <c r="E5083" s="42" t="s">
        <v>808</v>
      </c>
      <c r="F5083" s="45">
        <v>-99000000</v>
      </c>
      <c r="G5083" s="42" t="s">
        <v>763</v>
      </c>
      <c r="H5083" s="42" t="s">
        <v>145</v>
      </c>
      <c r="I5083" s="42" t="s">
        <v>893</v>
      </c>
    </row>
    <row r="5084" spans="1:9">
      <c r="A5084" s="42" t="s">
        <v>1088</v>
      </c>
      <c r="B5084" s="42" t="s">
        <v>210</v>
      </c>
      <c r="C5084" s="42" t="s">
        <v>1124</v>
      </c>
      <c r="D5084" s="42" t="s">
        <v>181</v>
      </c>
      <c r="E5084" s="42" t="s">
        <v>808</v>
      </c>
      <c r="F5084" s="45">
        <v>12000000</v>
      </c>
      <c r="G5084" s="42" t="s">
        <v>763</v>
      </c>
      <c r="H5084" s="42" t="s">
        <v>145</v>
      </c>
      <c r="I5084" s="42" t="s">
        <v>893</v>
      </c>
    </row>
    <row r="5085" spans="1:9">
      <c r="A5085" s="42" t="s">
        <v>1088</v>
      </c>
      <c r="B5085" s="42" t="s">
        <v>211</v>
      </c>
      <c r="C5085" s="42" t="s">
        <v>1108</v>
      </c>
      <c r="D5085" s="42" t="s">
        <v>181</v>
      </c>
      <c r="E5085" s="42" t="s">
        <v>808</v>
      </c>
      <c r="F5085" s="45">
        <v>-87000000</v>
      </c>
      <c r="G5085" s="42" t="s">
        <v>763</v>
      </c>
      <c r="H5085" s="42" t="s">
        <v>145</v>
      </c>
      <c r="I5085" s="42" t="s">
        <v>893</v>
      </c>
    </row>
    <row r="5086" spans="1:9">
      <c r="A5086" s="42" t="s">
        <v>1088</v>
      </c>
      <c r="B5086" s="42" t="s">
        <v>212</v>
      </c>
      <c r="C5086" s="42" t="s">
        <v>1110</v>
      </c>
      <c r="D5086" s="42" t="s">
        <v>181</v>
      </c>
      <c r="E5086" s="42" t="s">
        <v>808</v>
      </c>
      <c r="F5086" s="45">
        <v>-285000000</v>
      </c>
      <c r="G5086" s="42" t="s">
        <v>763</v>
      </c>
      <c r="H5086" s="42" t="s">
        <v>145</v>
      </c>
      <c r="I5086" s="42" t="s">
        <v>893</v>
      </c>
    </row>
    <row r="5087" spans="1:9">
      <c r="A5087" s="42" t="s">
        <v>1088</v>
      </c>
      <c r="B5087" s="42" t="s">
        <v>1111</v>
      </c>
      <c r="C5087" s="42" t="s">
        <v>1112</v>
      </c>
      <c r="D5087" s="42" t="s">
        <v>181</v>
      </c>
      <c r="E5087" s="42" t="s">
        <v>808</v>
      </c>
      <c r="F5087" s="45">
        <v>-206000000</v>
      </c>
      <c r="G5087" s="42" t="s">
        <v>763</v>
      </c>
      <c r="H5087" s="42" t="s">
        <v>145</v>
      </c>
      <c r="I5087" s="42" t="s">
        <v>893</v>
      </c>
    </row>
    <row r="5088" spans="1:9">
      <c r="A5088" s="42" t="s">
        <v>1088</v>
      </c>
      <c r="B5088" s="42" t="s">
        <v>261</v>
      </c>
      <c r="C5088" s="42" t="s">
        <v>1113</v>
      </c>
      <c r="D5088" s="42" t="s">
        <v>181</v>
      </c>
      <c r="E5088" s="42" t="s">
        <v>808</v>
      </c>
      <c r="F5088" s="45">
        <v>8000000</v>
      </c>
      <c r="G5088" s="42" t="s">
        <v>763</v>
      </c>
      <c r="H5088" s="42" t="s">
        <v>145</v>
      </c>
      <c r="I5088" s="42" t="s">
        <v>893</v>
      </c>
    </row>
    <row r="5089" spans="1:9">
      <c r="A5089" s="42" t="s">
        <v>1088</v>
      </c>
      <c r="B5089" s="42" t="s">
        <v>1111</v>
      </c>
      <c r="C5089" s="42" t="s">
        <v>1114</v>
      </c>
      <c r="D5089" s="42" t="s">
        <v>181</v>
      </c>
      <c r="E5089" s="42" t="s">
        <v>808</v>
      </c>
      <c r="F5089" s="45">
        <v>-71000000</v>
      </c>
      <c r="G5089" s="42" t="s">
        <v>763</v>
      </c>
      <c r="H5089" s="42" t="s">
        <v>145</v>
      </c>
      <c r="I5089" s="42" t="s">
        <v>893</v>
      </c>
    </row>
    <row r="5090" spans="1:9">
      <c r="A5090" s="42" t="s">
        <v>1088</v>
      </c>
      <c r="B5090" s="42" t="s">
        <v>261</v>
      </c>
      <c r="C5090" s="42" t="s">
        <v>1125</v>
      </c>
      <c r="D5090" s="42" t="s">
        <v>181</v>
      </c>
      <c r="E5090" s="42" t="s">
        <v>808</v>
      </c>
      <c r="F5090" s="45">
        <v>-16000000</v>
      </c>
      <c r="G5090" s="42" t="s">
        <v>763</v>
      </c>
      <c r="H5090" s="42" t="s">
        <v>145</v>
      </c>
      <c r="I5090" s="42" t="s">
        <v>893</v>
      </c>
    </row>
    <row r="5091" spans="1:9">
      <c r="A5091" s="42" t="s">
        <v>1088</v>
      </c>
      <c r="B5091" s="42" t="s">
        <v>1111</v>
      </c>
      <c r="C5091" s="42" t="s">
        <v>1115</v>
      </c>
      <c r="D5091" s="42" t="s">
        <v>181</v>
      </c>
      <c r="E5091" s="42" t="s">
        <v>808</v>
      </c>
      <c r="F5091" s="45">
        <v>-277000000</v>
      </c>
      <c r="G5091" s="42" t="s">
        <v>763</v>
      </c>
      <c r="H5091" s="42" t="s">
        <v>145</v>
      </c>
      <c r="I5091" s="42" t="s">
        <v>893</v>
      </c>
    </row>
    <row r="5092" spans="1:9">
      <c r="A5092" s="42" t="s">
        <v>1088</v>
      </c>
      <c r="B5092" s="42" t="s">
        <v>261</v>
      </c>
      <c r="C5092" s="42" t="s">
        <v>1116</v>
      </c>
      <c r="D5092" s="42" t="s">
        <v>181</v>
      </c>
      <c r="E5092" s="42" t="s">
        <v>808</v>
      </c>
      <c r="F5092" s="45">
        <v>-8000000</v>
      </c>
      <c r="G5092" s="42" t="s">
        <v>763</v>
      </c>
      <c r="H5092" s="42" t="s">
        <v>145</v>
      </c>
      <c r="I5092" s="42" t="s">
        <v>893</v>
      </c>
    </row>
    <row r="5093" spans="1:9">
      <c r="A5093" s="42" t="s">
        <v>1088</v>
      </c>
      <c r="B5093" s="42" t="s">
        <v>219</v>
      </c>
      <c r="C5093" s="42" t="s">
        <v>1117</v>
      </c>
      <c r="D5093" s="42" t="s">
        <v>181</v>
      </c>
      <c r="E5093" s="42" t="s">
        <v>808</v>
      </c>
      <c r="F5093" s="45">
        <v>-530000</v>
      </c>
      <c r="G5093" s="42" t="s">
        <v>763</v>
      </c>
      <c r="H5093" s="42" t="s">
        <v>145</v>
      </c>
      <c r="I5093" s="42" t="s">
        <v>893</v>
      </c>
    </row>
    <row r="5094" spans="1:9">
      <c r="A5094" s="42" t="s">
        <v>1088</v>
      </c>
      <c r="B5094" s="42" t="s">
        <v>192</v>
      </c>
      <c r="C5094" s="42" t="s">
        <v>1089</v>
      </c>
      <c r="D5094" s="42" t="s">
        <v>182</v>
      </c>
      <c r="E5094" s="42" t="s">
        <v>808</v>
      </c>
      <c r="F5094" s="45">
        <v>4556000000</v>
      </c>
      <c r="G5094" s="42" t="s">
        <v>1025</v>
      </c>
      <c r="H5094" s="42" t="s">
        <v>1083</v>
      </c>
      <c r="I5094" s="42" t="s">
        <v>893</v>
      </c>
    </row>
    <row r="5095" spans="1:9">
      <c r="A5095" s="42" t="s">
        <v>1088</v>
      </c>
      <c r="B5095" s="42" t="s">
        <v>193</v>
      </c>
      <c r="C5095" s="42" t="s">
        <v>1090</v>
      </c>
      <c r="D5095" s="42" t="s">
        <v>182</v>
      </c>
      <c r="E5095" s="42" t="s">
        <v>808</v>
      </c>
      <c r="F5095" s="45">
        <v>-3232000000</v>
      </c>
      <c r="G5095" s="42" t="s">
        <v>1025</v>
      </c>
      <c r="H5095" s="42" t="s">
        <v>1083</v>
      </c>
      <c r="I5095" s="42" t="s">
        <v>893</v>
      </c>
    </row>
    <row r="5096" spans="1:9">
      <c r="A5096" s="42" t="s">
        <v>1088</v>
      </c>
      <c r="B5096" s="42" t="s">
        <v>194</v>
      </c>
      <c r="C5096" s="42" t="s">
        <v>1091</v>
      </c>
      <c r="D5096" s="42" t="s">
        <v>182</v>
      </c>
      <c r="E5096" s="42" t="s">
        <v>808</v>
      </c>
      <c r="F5096" s="45">
        <v>1324000000</v>
      </c>
      <c r="G5096" s="42" t="s">
        <v>1025</v>
      </c>
      <c r="H5096" s="42" t="s">
        <v>1083</v>
      </c>
      <c r="I5096" s="42" t="s">
        <v>893</v>
      </c>
    </row>
    <row r="5097" spans="1:9">
      <c r="A5097" s="42" t="s">
        <v>1088</v>
      </c>
      <c r="B5097" s="42" t="s">
        <v>195</v>
      </c>
      <c r="C5097" s="42" t="s">
        <v>1092</v>
      </c>
      <c r="D5097" s="42" t="s">
        <v>182</v>
      </c>
      <c r="E5097" s="42" t="s">
        <v>808</v>
      </c>
      <c r="F5097" s="45">
        <v>-530000000</v>
      </c>
      <c r="G5097" s="42" t="s">
        <v>1025</v>
      </c>
      <c r="H5097" s="42" t="s">
        <v>1083</v>
      </c>
      <c r="I5097" s="42" t="s">
        <v>893</v>
      </c>
    </row>
    <row r="5098" spans="1:9">
      <c r="A5098" s="42" t="s">
        <v>1088</v>
      </c>
      <c r="B5098" s="42" t="s">
        <v>196</v>
      </c>
      <c r="C5098" s="42" t="s">
        <v>1093</v>
      </c>
      <c r="D5098" s="42" t="s">
        <v>182</v>
      </c>
      <c r="E5098" s="42" t="s">
        <v>808</v>
      </c>
      <c r="F5098" s="45">
        <v>-229000000</v>
      </c>
      <c r="G5098" s="42" t="s">
        <v>1025</v>
      </c>
      <c r="H5098" s="42" t="s">
        <v>1083</v>
      </c>
      <c r="I5098" s="42" t="s">
        <v>893</v>
      </c>
    </row>
    <row r="5099" spans="1:9">
      <c r="A5099" s="42" t="s">
        <v>1088</v>
      </c>
      <c r="B5099" s="42" t="s">
        <v>197</v>
      </c>
      <c r="C5099" s="42" t="s">
        <v>1094</v>
      </c>
      <c r="D5099" s="42" t="s">
        <v>182</v>
      </c>
      <c r="E5099" s="42" t="s">
        <v>808</v>
      </c>
      <c r="F5099" s="45">
        <v>-48000000</v>
      </c>
      <c r="G5099" s="42" t="s">
        <v>1025</v>
      </c>
      <c r="H5099" s="42" t="s">
        <v>1083</v>
      </c>
      <c r="I5099" s="42" t="s">
        <v>893</v>
      </c>
    </row>
    <row r="5100" spans="1:9">
      <c r="A5100" s="42" t="s">
        <v>1088</v>
      </c>
      <c r="B5100" s="42" t="s">
        <v>198</v>
      </c>
      <c r="C5100" s="42" t="s">
        <v>1131</v>
      </c>
      <c r="D5100" s="42" t="s">
        <v>182</v>
      </c>
      <c r="E5100" s="42" t="s">
        <v>808</v>
      </c>
      <c r="F5100" s="45">
        <v>0</v>
      </c>
      <c r="G5100" s="42" t="s">
        <v>1025</v>
      </c>
      <c r="H5100" s="42" t="s">
        <v>1083</v>
      </c>
      <c r="I5100" s="42" t="s">
        <v>893</v>
      </c>
    </row>
    <row r="5101" spans="1:9">
      <c r="A5101" s="42" t="s">
        <v>1088</v>
      </c>
      <c r="B5101" s="42" t="s">
        <v>199</v>
      </c>
      <c r="C5101" s="42" t="s">
        <v>1097</v>
      </c>
      <c r="D5101" s="42" t="s">
        <v>182</v>
      </c>
      <c r="E5101" s="42" t="s">
        <v>808</v>
      </c>
      <c r="F5101" s="45">
        <v>67000000</v>
      </c>
      <c r="G5101" s="42" t="s">
        <v>1025</v>
      </c>
      <c r="H5101" s="42" t="s">
        <v>1083</v>
      </c>
      <c r="I5101" s="42" t="s">
        <v>893</v>
      </c>
    </row>
    <row r="5102" spans="1:9">
      <c r="A5102" s="42" t="s">
        <v>1088</v>
      </c>
      <c r="B5102" s="42" t="s">
        <v>200</v>
      </c>
      <c r="C5102" s="42" t="s">
        <v>1098</v>
      </c>
      <c r="D5102" s="42" t="s">
        <v>182</v>
      </c>
      <c r="E5102" s="42" t="s">
        <v>808</v>
      </c>
      <c r="F5102" s="45">
        <v>584000000</v>
      </c>
      <c r="G5102" s="42" t="s">
        <v>1025</v>
      </c>
      <c r="H5102" s="42" t="s">
        <v>1083</v>
      </c>
      <c r="I5102" s="42" t="s">
        <v>893</v>
      </c>
    </row>
    <row r="5103" spans="1:9">
      <c r="A5103" s="42" t="s">
        <v>1088</v>
      </c>
      <c r="B5103" s="42" t="s">
        <v>201</v>
      </c>
      <c r="C5103" s="42" t="s">
        <v>1099</v>
      </c>
      <c r="D5103" s="42" t="s">
        <v>182</v>
      </c>
      <c r="E5103" s="42" t="s">
        <v>808</v>
      </c>
      <c r="F5103" s="45">
        <v>15000000</v>
      </c>
      <c r="G5103" s="42" t="s">
        <v>1025</v>
      </c>
      <c r="H5103" s="42" t="s">
        <v>1083</v>
      </c>
      <c r="I5103" s="42" t="s">
        <v>893</v>
      </c>
    </row>
    <row r="5104" spans="1:9">
      <c r="A5104" s="42" t="s">
        <v>1088</v>
      </c>
      <c r="B5104" s="42" t="s">
        <v>202</v>
      </c>
      <c r="C5104" s="42" t="s">
        <v>1100</v>
      </c>
      <c r="D5104" s="42" t="s">
        <v>182</v>
      </c>
      <c r="E5104" s="42" t="s">
        <v>808</v>
      </c>
      <c r="F5104" s="45">
        <v>33000000</v>
      </c>
      <c r="G5104" s="42" t="s">
        <v>1025</v>
      </c>
      <c r="H5104" s="42" t="s">
        <v>1083</v>
      </c>
      <c r="I5104" s="42" t="s">
        <v>893</v>
      </c>
    </row>
    <row r="5105" spans="1:9">
      <c r="A5105" s="42" t="s">
        <v>1088</v>
      </c>
      <c r="B5105" s="42" t="s">
        <v>203</v>
      </c>
      <c r="C5105" s="42" t="s">
        <v>1129</v>
      </c>
      <c r="D5105" s="42" t="s">
        <v>182</v>
      </c>
      <c r="E5105" s="42" t="s">
        <v>808</v>
      </c>
      <c r="F5105" s="45">
        <v>-266000000</v>
      </c>
      <c r="G5105" s="42" t="s">
        <v>1025</v>
      </c>
      <c r="H5105" s="42" t="s">
        <v>1083</v>
      </c>
      <c r="I5105" s="42" t="s">
        <v>893</v>
      </c>
    </row>
    <row r="5106" spans="1:9">
      <c r="A5106" s="42" t="s">
        <v>1088</v>
      </c>
      <c r="B5106" s="42" t="s">
        <v>204</v>
      </c>
      <c r="C5106" s="42" t="s">
        <v>1102</v>
      </c>
      <c r="D5106" s="42" t="s">
        <v>182</v>
      </c>
      <c r="E5106" s="42" t="s">
        <v>808</v>
      </c>
      <c r="F5106" s="45">
        <v>27000000</v>
      </c>
      <c r="G5106" s="42" t="s">
        <v>1025</v>
      </c>
      <c r="H5106" s="42" t="s">
        <v>1083</v>
      </c>
      <c r="I5106" s="42" t="s">
        <v>893</v>
      </c>
    </row>
    <row r="5107" spans="1:9">
      <c r="A5107" s="42" t="s">
        <v>1088</v>
      </c>
      <c r="B5107" s="42" t="s">
        <v>205</v>
      </c>
      <c r="C5107" s="42" t="s">
        <v>1103</v>
      </c>
      <c r="D5107" s="42" t="s">
        <v>182</v>
      </c>
      <c r="E5107" s="42" t="s">
        <v>808</v>
      </c>
      <c r="F5107" s="45">
        <v>-206000000</v>
      </c>
      <c r="G5107" s="42" t="s">
        <v>1025</v>
      </c>
      <c r="H5107" s="42" t="s">
        <v>1083</v>
      </c>
      <c r="I5107" s="42" t="s">
        <v>893</v>
      </c>
    </row>
    <row r="5108" spans="1:9">
      <c r="A5108" s="42" t="s">
        <v>1088</v>
      </c>
      <c r="B5108" s="42" t="s">
        <v>206</v>
      </c>
      <c r="C5108" s="42" t="s">
        <v>1104</v>
      </c>
      <c r="D5108" s="42" t="s">
        <v>182</v>
      </c>
      <c r="E5108" s="42" t="s">
        <v>808</v>
      </c>
      <c r="F5108" s="45">
        <v>393000000</v>
      </c>
      <c r="G5108" s="42" t="s">
        <v>1025</v>
      </c>
      <c r="H5108" s="42" t="s">
        <v>1083</v>
      </c>
      <c r="I5108" s="42" t="s">
        <v>893</v>
      </c>
    </row>
    <row r="5109" spans="1:9">
      <c r="A5109" s="42" t="s">
        <v>1088</v>
      </c>
      <c r="B5109" s="42" t="s">
        <v>207</v>
      </c>
      <c r="C5109" s="42" t="s">
        <v>1105</v>
      </c>
      <c r="D5109" s="42" t="s">
        <v>182</v>
      </c>
      <c r="E5109" s="42" t="s">
        <v>808</v>
      </c>
      <c r="F5109" s="45">
        <v>-1042000000</v>
      </c>
      <c r="G5109" s="42" t="s">
        <v>1025</v>
      </c>
      <c r="H5109" s="42" t="s">
        <v>1083</v>
      </c>
      <c r="I5109" s="42" t="s">
        <v>893</v>
      </c>
    </row>
    <row r="5110" spans="1:9">
      <c r="A5110" s="42" t="s">
        <v>1088</v>
      </c>
      <c r="B5110" s="42" t="s">
        <v>208</v>
      </c>
      <c r="C5110" s="42" t="s">
        <v>1106</v>
      </c>
      <c r="D5110" s="42" t="s">
        <v>182</v>
      </c>
      <c r="E5110" s="42" t="s">
        <v>808</v>
      </c>
      <c r="F5110" s="45">
        <v>-649000000</v>
      </c>
      <c r="G5110" s="42" t="s">
        <v>1025</v>
      </c>
      <c r="H5110" s="42" t="s">
        <v>1083</v>
      </c>
      <c r="I5110" s="42" t="s">
        <v>893</v>
      </c>
    </row>
    <row r="5111" spans="1:9">
      <c r="A5111" s="42" t="s">
        <v>1088</v>
      </c>
      <c r="B5111" s="42" t="s">
        <v>209</v>
      </c>
      <c r="C5111" s="42" t="s">
        <v>1130</v>
      </c>
      <c r="D5111" s="42" t="s">
        <v>182</v>
      </c>
      <c r="E5111" s="42" t="s">
        <v>808</v>
      </c>
      <c r="F5111" s="45">
        <v>-37000000</v>
      </c>
      <c r="G5111" s="42" t="s">
        <v>1025</v>
      </c>
      <c r="H5111" s="42" t="s">
        <v>1083</v>
      </c>
      <c r="I5111" s="42" t="s">
        <v>893</v>
      </c>
    </row>
    <row r="5112" spans="1:9">
      <c r="A5112" s="42" t="s">
        <v>1088</v>
      </c>
      <c r="B5112" s="42" t="s">
        <v>210</v>
      </c>
      <c r="C5112" s="42" t="s">
        <v>1124</v>
      </c>
      <c r="D5112" s="42" t="s">
        <v>182</v>
      </c>
      <c r="E5112" s="42" t="s">
        <v>808</v>
      </c>
      <c r="F5112" s="45">
        <v>55000000</v>
      </c>
      <c r="G5112" s="42" t="s">
        <v>1025</v>
      </c>
      <c r="H5112" s="42" t="s">
        <v>1083</v>
      </c>
      <c r="I5112" s="42" t="s">
        <v>893</v>
      </c>
    </row>
    <row r="5113" spans="1:9">
      <c r="A5113" s="42" t="s">
        <v>1088</v>
      </c>
      <c r="B5113" s="42" t="s">
        <v>211</v>
      </c>
      <c r="C5113" s="42" t="s">
        <v>1108</v>
      </c>
      <c r="D5113" s="42" t="s">
        <v>182</v>
      </c>
      <c r="E5113" s="42" t="s">
        <v>808</v>
      </c>
      <c r="F5113" s="45">
        <v>64000000</v>
      </c>
      <c r="G5113" s="42" t="s">
        <v>1025</v>
      </c>
      <c r="H5113" s="42" t="s">
        <v>1083</v>
      </c>
      <c r="I5113" s="42" t="s">
        <v>893</v>
      </c>
    </row>
    <row r="5114" spans="1:9">
      <c r="A5114" s="42" t="s">
        <v>1088</v>
      </c>
      <c r="B5114" s="42" t="s">
        <v>212</v>
      </c>
      <c r="C5114" s="42" t="s">
        <v>1110</v>
      </c>
      <c r="D5114" s="42" t="s">
        <v>182</v>
      </c>
      <c r="E5114" s="42" t="s">
        <v>808</v>
      </c>
      <c r="F5114" s="45">
        <v>-585000000</v>
      </c>
      <c r="G5114" s="42" t="s">
        <v>1025</v>
      </c>
      <c r="H5114" s="42" t="s">
        <v>1083</v>
      </c>
      <c r="I5114" s="42" t="s">
        <v>893</v>
      </c>
    </row>
    <row r="5115" spans="1:9">
      <c r="A5115" s="42" t="s">
        <v>1088</v>
      </c>
      <c r="B5115" s="42" t="s">
        <v>1111</v>
      </c>
      <c r="C5115" s="42" t="s">
        <v>1112</v>
      </c>
      <c r="D5115" s="42" t="s">
        <v>182</v>
      </c>
      <c r="E5115" s="42" t="s">
        <v>808</v>
      </c>
      <c r="F5115" s="45">
        <v>-654000000</v>
      </c>
      <c r="G5115" s="42" t="s">
        <v>1025</v>
      </c>
      <c r="H5115" s="42" t="s">
        <v>1083</v>
      </c>
      <c r="I5115" s="42" t="s">
        <v>893</v>
      </c>
    </row>
    <row r="5116" spans="1:9">
      <c r="A5116" s="42" t="s">
        <v>1088</v>
      </c>
      <c r="B5116" s="42" t="s">
        <v>261</v>
      </c>
      <c r="C5116" s="42" t="s">
        <v>1113</v>
      </c>
      <c r="D5116" s="42" t="s">
        <v>182</v>
      </c>
      <c r="E5116" s="42" t="s">
        <v>808</v>
      </c>
      <c r="F5116" s="45">
        <v>5000000</v>
      </c>
      <c r="G5116" s="42" t="s">
        <v>1025</v>
      </c>
      <c r="H5116" s="42" t="s">
        <v>1083</v>
      </c>
      <c r="I5116" s="42" t="s">
        <v>893</v>
      </c>
    </row>
    <row r="5117" spans="1:9">
      <c r="A5117" s="42" t="s">
        <v>1088</v>
      </c>
      <c r="B5117" s="42" t="s">
        <v>1111</v>
      </c>
      <c r="C5117" s="42" t="s">
        <v>1114</v>
      </c>
      <c r="D5117" s="42" t="s">
        <v>182</v>
      </c>
      <c r="E5117" s="42" t="s">
        <v>808</v>
      </c>
      <c r="F5117" s="45">
        <v>61000000</v>
      </c>
      <c r="G5117" s="42" t="s">
        <v>1025</v>
      </c>
      <c r="H5117" s="42" t="s">
        <v>1083</v>
      </c>
      <c r="I5117" s="42" t="s">
        <v>893</v>
      </c>
    </row>
    <row r="5118" spans="1:9">
      <c r="A5118" s="42" t="s">
        <v>1088</v>
      </c>
      <c r="B5118" s="42" t="s">
        <v>261</v>
      </c>
      <c r="C5118" s="42" t="s">
        <v>1125</v>
      </c>
      <c r="D5118" s="42" t="s">
        <v>182</v>
      </c>
      <c r="E5118" s="42" t="s">
        <v>808</v>
      </c>
      <c r="F5118" s="45">
        <v>3000000</v>
      </c>
      <c r="G5118" s="42" t="s">
        <v>1025</v>
      </c>
      <c r="H5118" s="42" t="s">
        <v>1083</v>
      </c>
      <c r="I5118" s="42" t="s">
        <v>893</v>
      </c>
    </row>
    <row r="5119" spans="1:9">
      <c r="A5119" s="42" t="s">
        <v>1088</v>
      </c>
      <c r="B5119" s="42" t="s">
        <v>1111</v>
      </c>
      <c r="C5119" s="42" t="s">
        <v>1115</v>
      </c>
      <c r="D5119" s="42" t="s">
        <v>182</v>
      </c>
      <c r="E5119" s="42" t="s">
        <v>808</v>
      </c>
      <c r="F5119" s="45">
        <v>-593000000</v>
      </c>
      <c r="G5119" s="42" t="s">
        <v>1025</v>
      </c>
      <c r="H5119" s="42" t="s">
        <v>1083</v>
      </c>
      <c r="I5119" s="42" t="s">
        <v>893</v>
      </c>
    </row>
    <row r="5120" spans="1:9">
      <c r="A5120" s="42" t="s">
        <v>1088</v>
      </c>
      <c r="B5120" s="42" t="s">
        <v>261</v>
      </c>
      <c r="C5120" s="42" t="s">
        <v>1116</v>
      </c>
      <c r="D5120" s="42" t="s">
        <v>182</v>
      </c>
      <c r="E5120" s="42" t="s">
        <v>808</v>
      </c>
      <c r="F5120" s="45">
        <v>8000000</v>
      </c>
      <c r="G5120" s="42" t="s">
        <v>1025</v>
      </c>
      <c r="H5120" s="42" t="s">
        <v>1083</v>
      </c>
      <c r="I5120" s="42" t="s">
        <v>893</v>
      </c>
    </row>
    <row r="5121" spans="1:9">
      <c r="A5121" s="42" t="s">
        <v>1088</v>
      </c>
      <c r="B5121" s="42" t="s">
        <v>192</v>
      </c>
      <c r="C5121" s="42" t="s">
        <v>1089</v>
      </c>
      <c r="D5121" s="42" t="s">
        <v>183</v>
      </c>
      <c r="E5121" s="42" t="s">
        <v>808</v>
      </c>
      <c r="F5121" s="45">
        <v>4946000000</v>
      </c>
      <c r="G5121" s="42" t="s">
        <v>763</v>
      </c>
      <c r="H5121" s="42" t="s">
        <v>151</v>
      </c>
      <c r="I5121" s="42" t="s">
        <v>893</v>
      </c>
    </row>
    <row r="5122" spans="1:9">
      <c r="A5122" s="42" t="s">
        <v>1088</v>
      </c>
      <c r="B5122" s="42" t="s">
        <v>193</v>
      </c>
      <c r="C5122" s="42" t="s">
        <v>1090</v>
      </c>
      <c r="D5122" s="42" t="s">
        <v>183</v>
      </c>
      <c r="E5122" s="42" t="s">
        <v>808</v>
      </c>
      <c r="F5122" s="45">
        <v>-3188000000</v>
      </c>
      <c r="G5122" s="42" t="s">
        <v>763</v>
      </c>
      <c r="H5122" s="42" t="s">
        <v>151</v>
      </c>
      <c r="I5122" s="42" t="s">
        <v>893</v>
      </c>
    </row>
    <row r="5123" spans="1:9">
      <c r="A5123" s="42" t="s">
        <v>1088</v>
      </c>
      <c r="B5123" s="42" t="s">
        <v>194</v>
      </c>
      <c r="C5123" s="42" t="s">
        <v>1091</v>
      </c>
      <c r="D5123" s="42" t="s">
        <v>183</v>
      </c>
      <c r="E5123" s="42" t="s">
        <v>808</v>
      </c>
      <c r="F5123" s="45">
        <v>1758000000</v>
      </c>
      <c r="G5123" s="42" t="s">
        <v>763</v>
      </c>
      <c r="H5123" s="42" t="s">
        <v>151</v>
      </c>
      <c r="I5123" s="42" t="s">
        <v>893</v>
      </c>
    </row>
    <row r="5124" spans="1:9">
      <c r="A5124" s="42" t="s">
        <v>1088</v>
      </c>
      <c r="B5124" s="42" t="s">
        <v>195</v>
      </c>
      <c r="C5124" s="42" t="s">
        <v>1092</v>
      </c>
      <c r="D5124" s="42" t="s">
        <v>183</v>
      </c>
      <c r="E5124" s="42" t="s">
        <v>808</v>
      </c>
      <c r="F5124" s="45">
        <v>-489000000</v>
      </c>
      <c r="G5124" s="42" t="s">
        <v>763</v>
      </c>
      <c r="H5124" s="42" t="s">
        <v>151</v>
      </c>
      <c r="I5124" s="42" t="s">
        <v>893</v>
      </c>
    </row>
    <row r="5125" spans="1:9">
      <c r="A5125" s="42" t="s">
        <v>1088</v>
      </c>
      <c r="B5125" s="42" t="s">
        <v>196</v>
      </c>
      <c r="C5125" s="42" t="s">
        <v>1093</v>
      </c>
      <c r="D5125" s="42" t="s">
        <v>183</v>
      </c>
      <c r="E5125" s="42" t="s">
        <v>808</v>
      </c>
      <c r="F5125" s="45">
        <v>-291000000</v>
      </c>
      <c r="G5125" s="42" t="s">
        <v>763</v>
      </c>
      <c r="H5125" s="42" t="s">
        <v>151</v>
      </c>
      <c r="I5125" s="42" t="s">
        <v>893</v>
      </c>
    </row>
    <row r="5126" spans="1:9">
      <c r="A5126" s="42" t="s">
        <v>1088</v>
      </c>
      <c r="B5126" s="42" t="s">
        <v>197</v>
      </c>
      <c r="C5126" s="42" t="s">
        <v>1094</v>
      </c>
      <c r="D5126" s="42" t="s">
        <v>183</v>
      </c>
      <c r="E5126" s="42" t="s">
        <v>808</v>
      </c>
      <c r="F5126" s="45">
        <v>-20000000</v>
      </c>
      <c r="G5126" s="42" t="s">
        <v>763</v>
      </c>
      <c r="H5126" s="42" t="s">
        <v>151</v>
      </c>
      <c r="I5126" s="42" t="s">
        <v>893</v>
      </c>
    </row>
    <row r="5127" spans="1:9">
      <c r="A5127" s="42" t="s">
        <v>1088</v>
      </c>
      <c r="B5127" s="42" t="s">
        <v>199</v>
      </c>
      <c r="C5127" s="42" t="s">
        <v>1097</v>
      </c>
      <c r="D5127" s="42" t="s">
        <v>183</v>
      </c>
      <c r="E5127" s="42" t="s">
        <v>808</v>
      </c>
      <c r="F5127" s="45">
        <v>-80000000</v>
      </c>
      <c r="G5127" s="42" t="s">
        <v>763</v>
      </c>
      <c r="H5127" s="42" t="s">
        <v>151</v>
      </c>
      <c r="I5127" s="42" t="s">
        <v>893</v>
      </c>
    </row>
    <row r="5128" spans="1:9">
      <c r="A5128" s="42" t="s">
        <v>1088</v>
      </c>
      <c r="B5128" s="42" t="s">
        <v>200</v>
      </c>
      <c r="C5128" s="42" t="s">
        <v>1098</v>
      </c>
      <c r="D5128" s="42" t="s">
        <v>183</v>
      </c>
      <c r="E5128" s="42" t="s">
        <v>808</v>
      </c>
      <c r="F5128" s="45">
        <v>878000000</v>
      </c>
      <c r="G5128" s="42" t="s">
        <v>763</v>
      </c>
      <c r="H5128" s="42" t="s">
        <v>151</v>
      </c>
      <c r="I5128" s="42" t="s">
        <v>893</v>
      </c>
    </row>
    <row r="5129" spans="1:9">
      <c r="A5129" s="42" t="s">
        <v>1088</v>
      </c>
      <c r="B5129" s="42" t="s">
        <v>201</v>
      </c>
      <c r="C5129" s="42" t="s">
        <v>1099</v>
      </c>
      <c r="D5129" s="42" t="s">
        <v>183</v>
      </c>
      <c r="E5129" s="42" t="s">
        <v>808</v>
      </c>
      <c r="F5129" s="45">
        <v>101000000</v>
      </c>
      <c r="G5129" s="42" t="s">
        <v>763</v>
      </c>
      <c r="H5129" s="42" t="s">
        <v>151</v>
      </c>
      <c r="I5129" s="42" t="s">
        <v>893</v>
      </c>
    </row>
    <row r="5130" spans="1:9">
      <c r="A5130" s="42" t="s">
        <v>1088</v>
      </c>
      <c r="B5130" s="42" t="s">
        <v>202</v>
      </c>
      <c r="C5130" s="42" t="s">
        <v>1100</v>
      </c>
      <c r="D5130" s="42" t="s">
        <v>183</v>
      </c>
      <c r="E5130" s="42" t="s">
        <v>808</v>
      </c>
      <c r="F5130" s="45">
        <v>32000000</v>
      </c>
      <c r="G5130" s="42" t="s">
        <v>763</v>
      </c>
      <c r="H5130" s="42" t="s">
        <v>151</v>
      </c>
      <c r="I5130" s="42" t="s">
        <v>893</v>
      </c>
    </row>
    <row r="5131" spans="1:9">
      <c r="A5131" s="42" t="s">
        <v>1088</v>
      </c>
      <c r="B5131" s="42" t="s">
        <v>203</v>
      </c>
      <c r="C5131" s="42" t="s">
        <v>1129</v>
      </c>
      <c r="D5131" s="42" t="s">
        <v>183</v>
      </c>
      <c r="E5131" s="42" t="s">
        <v>808</v>
      </c>
      <c r="F5131" s="45">
        <v>-304000000</v>
      </c>
      <c r="G5131" s="42" t="s">
        <v>763</v>
      </c>
      <c r="H5131" s="42" t="s">
        <v>151</v>
      </c>
      <c r="I5131" s="42" t="s">
        <v>893</v>
      </c>
    </row>
    <row r="5132" spans="1:9">
      <c r="A5132" s="42" t="s">
        <v>1088</v>
      </c>
      <c r="B5132" s="42" t="s">
        <v>204</v>
      </c>
      <c r="C5132" s="42" t="s">
        <v>1102</v>
      </c>
      <c r="D5132" s="42" t="s">
        <v>183</v>
      </c>
      <c r="E5132" s="42" t="s">
        <v>808</v>
      </c>
      <c r="F5132" s="45">
        <v>-55000000</v>
      </c>
      <c r="G5132" s="42" t="s">
        <v>763</v>
      </c>
      <c r="H5132" s="42" t="s">
        <v>151</v>
      </c>
      <c r="I5132" s="42" t="s">
        <v>893</v>
      </c>
    </row>
    <row r="5133" spans="1:9">
      <c r="A5133" s="42" t="s">
        <v>1088</v>
      </c>
      <c r="B5133" s="42" t="s">
        <v>205</v>
      </c>
      <c r="C5133" s="42" t="s">
        <v>1103</v>
      </c>
      <c r="D5133" s="42" t="s">
        <v>183</v>
      </c>
      <c r="E5133" s="42" t="s">
        <v>808</v>
      </c>
      <c r="F5133" s="45">
        <v>-327000000</v>
      </c>
      <c r="G5133" s="42" t="s">
        <v>763</v>
      </c>
      <c r="H5133" s="42" t="s">
        <v>151</v>
      </c>
      <c r="I5133" s="42" t="s">
        <v>893</v>
      </c>
    </row>
    <row r="5134" spans="1:9">
      <c r="A5134" s="42" t="s">
        <v>1088</v>
      </c>
      <c r="B5134" s="42" t="s">
        <v>206</v>
      </c>
      <c r="C5134" s="42" t="s">
        <v>1104</v>
      </c>
      <c r="D5134" s="42" t="s">
        <v>183</v>
      </c>
      <c r="E5134" s="42" t="s">
        <v>808</v>
      </c>
      <c r="F5134" s="45">
        <v>652000000</v>
      </c>
      <c r="G5134" s="42" t="s">
        <v>763</v>
      </c>
      <c r="H5134" s="42" t="s">
        <v>151</v>
      </c>
      <c r="I5134" s="42" t="s">
        <v>893</v>
      </c>
    </row>
    <row r="5135" spans="1:9">
      <c r="A5135" s="42" t="s">
        <v>1088</v>
      </c>
      <c r="B5135" s="42" t="s">
        <v>207</v>
      </c>
      <c r="C5135" s="42" t="s">
        <v>1105</v>
      </c>
      <c r="D5135" s="42" t="s">
        <v>183</v>
      </c>
      <c r="E5135" s="42" t="s">
        <v>808</v>
      </c>
      <c r="F5135" s="45">
        <v>-243000000</v>
      </c>
      <c r="G5135" s="42" t="s">
        <v>763</v>
      </c>
      <c r="H5135" s="42" t="s">
        <v>151</v>
      </c>
      <c r="I5135" s="42" t="s">
        <v>893</v>
      </c>
    </row>
    <row r="5136" spans="1:9">
      <c r="A5136" s="42" t="s">
        <v>1088</v>
      </c>
      <c r="B5136" s="42" t="s">
        <v>208</v>
      </c>
      <c r="C5136" s="42" t="s">
        <v>1106</v>
      </c>
      <c r="D5136" s="42" t="s">
        <v>183</v>
      </c>
      <c r="E5136" s="42" t="s">
        <v>808</v>
      </c>
      <c r="F5136" s="45">
        <v>409000000</v>
      </c>
      <c r="G5136" s="42" t="s">
        <v>763</v>
      </c>
      <c r="H5136" s="42" t="s">
        <v>151</v>
      </c>
      <c r="I5136" s="42" t="s">
        <v>893</v>
      </c>
    </row>
    <row r="5137" spans="1:9">
      <c r="A5137" s="42" t="s">
        <v>1088</v>
      </c>
      <c r="B5137" s="42" t="s">
        <v>209</v>
      </c>
      <c r="C5137" s="42" t="s">
        <v>1130</v>
      </c>
      <c r="D5137" s="42" t="s">
        <v>183</v>
      </c>
      <c r="E5137" s="42" t="s">
        <v>808</v>
      </c>
      <c r="F5137" s="45">
        <v>51000000</v>
      </c>
      <c r="G5137" s="42" t="s">
        <v>763</v>
      </c>
      <c r="H5137" s="42" t="s">
        <v>151</v>
      </c>
      <c r="I5137" s="42" t="s">
        <v>893</v>
      </c>
    </row>
    <row r="5138" spans="1:9">
      <c r="A5138" s="42" t="s">
        <v>1088</v>
      </c>
      <c r="B5138" s="42" t="s">
        <v>210</v>
      </c>
      <c r="C5138" s="42" t="s">
        <v>1124</v>
      </c>
      <c r="D5138" s="42" t="s">
        <v>183</v>
      </c>
      <c r="E5138" s="42" t="s">
        <v>808</v>
      </c>
      <c r="F5138" s="45">
        <v>128000000</v>
      </c>
      <c r="G5138" s="42" t="s">
        <v>763</v>
      </c>
      <c r="H5138" s="42" t="s">
        <v>151</v>
      </c>
      <c r="I5138" s="42" t="s">
        <v>893</v>
      </c>
    </row>
    <row r="5139" spans="1:9">
      <c r="A5139" s="42" t="s">
        <v>1088</v>
      </c>
      <c r="B5139" s="42" t="s">
        <v>211</v>
      </c>
      <c r="C5139" s="42" t="s">
        <v>1108</v>
      </c>
      <c r="D5139" s="42" t="s">
        <v>183</v>
      </c>
      <c r="E5139" s="42" t="s">
        <v>808</v>
      </c>
      <c r="F5139" s="45">
        <v>179000000</v>
      </c>
      <c r="G5139" s="42" t="s">
        <v>763</v>
      </c>
      <c r="H5139" s="42" t="s">
        <v>151</v>
      </c>
      <c r="I5139" s="42" t="s">
        <v>893</v>
      </c>
    </row>
    <row r="5140" spans="1:9">
      <c r="A5140" s="42" t="s">
        <v>1088</v>
      </c>
      <c r="B5140" s="42" t="s">
        <v>212</v>
      </c>
      <c r="C5140" s="42" t="s">
        <v>1110</v>
      </c>
      <c r="D5140" s="42" t="s">
        <v>183</v>
      </c>
      <c r="E5140" s="42" t="s">
        <v>808</v>
      </c>
      <c r="F5140" s="45">
        <v>588000000</v>
      </c>
      <c r="G5140" s="42" t="s">
        <v>763</v>
      </c>
      <c r="H5140" s="42" t="s">
        <v>151</v>
      </c>
      <c r="I5140" s="42" t="s">
        <v>893</v>
      </c>
    </row>
    <row r="5141" spans="1:9">
      <c r="A5141" s="42" t="s">
        <v>1088</v>
      </c>
      <c r="B5141" s="42" t="s">
        <v>1111</v>
      </c>
      <c r="C5141" s="42" t="s">
        <v>1112</v>
      </c>
      <c r="D5141" s="42" t="s">
        <v>183</v>
      </c>
      <c r="E5141" s="42" t="s">
        <v>808</v>
      </c>
      <c r="F5141" s="45">
        <v>404000000</v>
      </c>
      <c r="G5141" s="42" t="s">
        <v>763</v>
      </c>
      <c r="H5141" s="42" t="s">
        <v>151</v>
      </c>
      <c r="I5141" s="42" t="s">
        <v>893</v>
      </c>
    </row>
    <row r="5142" spans="1:9">
      <c r="A5142" s="42" t="s">
        <v>1088</v>
      </c>
      <c r="B5142" s="42" t="s">
        <v>261</v>
      </c>
      <c r="C5142" s="42" t="s">
        <v>1113</v>
      </c>
      <c r="D5142" s="42" t="s">
        <v>183</v>
      </c>
      <c r="E5142" s="42" t="s">
        <v>808</v>
      </c>
      <c r="F5142" s="45">
        <v>5000000</v>
      </c>
      <c r="G5142" s="42" t="s">
        <v>763</v>
      </c>
      <c r="H5142" s="42" t="s">
        <v>151</v>
      </c>
      <c r="I5142" s="42" t="s">
        <v>893</v>
      </c>
    </row>
    <row r="5143" spans="1:9">
      <c r="A5143" s="42" t="s">
        <v>1088</v>
      </c>
      <c r="B5143" s="42" t="s">
        <v>1111</v>
      </c>
      <c r="C5143" s="42" t="s">
        <v>1114</v>
      </c>
      <c r="D5143" s="42" t="s">
        <v>183</v>
      </c>
      <c r="E5143" s="42" t="s">
        <v>808</v>
      </c>
      <c r="F5143" s="45">
        <v>145000000</v>
      </c>
      <c r="G5143" s="42" t="s">
        <v>763</v>
      </c>
      <c r="H5143" s="42" t="s">
        <v>151</v>
      </c>
      <c r="I5143" s="42" t="s">
        <v>893</v>
      </c>
    </row>
    <row r="5144" spans="1:9">
      <c r="A5144" s="42" t="s">
        <v>1088</v>
      </c>
      <c r="B5144" s="42" t="s">
        <v>261</v>
      </c>
      <c r="C5144" s="42" t="s">
        <v>1125</v>
      </c>
      <c r="D5144" s="42" t="s">
        <v>183</v>
      </c>
      <c r="E5144" s="42" t="s">
        <v>808</v>
      </c>
      <c r="F5144" s="45">
        <v>34000000</v>
      </c>
      <c r="G5144" s="42" t="s">
        <v>763</v>
      </c>
      <c r="H5144" s="42" t="s">
        <v>151</v>
      </c>
      <c r="I5144" s="42" t="s">
        <v>893</v>
      </c>
    </row>
    <row r="5145" spans="1:9">
      <c r="A5145" s="42" t="s">
        <v>1088</v>
      </c>
      <c r="B5145" s="42" t="s">
        <v>1111</v>
      </c>
      <c r="C5145" s="42" t="s">
        <v>1115</v>
      </c>
      <c r="D5145" s="42" t="s">
        <v>183</v>
      </c>
      <c r="E5145" s="42" t="s">
        <v>808</v>
      </c>
      <c r="F5145" s="45">
        <v>549000000</v>
      </c>
      <c r="G5145" s="42" t="s">
        <v>763</v>
      </c>
      <c r="H5145" s="42" t="s">
        <v>151</v>
      </c>
      <c r="I5145" s="42" t="s">
        <v>893</v>
      </c>
    </row>
    <row r="5146" spans="1:9">
      <c r="A5146" s="42" t="s">
        <v>1088</v>
      </c>
      <c r="B5146" s="42" t="s">
        <v>261</v>
      </c>
      <c r="C5146" s="42" t="s">
        <v>1116</v>
      </c>
      <c r="D5146" s="42" t="s">
        <v>183</v>
      </c>
      <c r="E5146" s="42" t="s">
        <v>808</v>
      </c>
      <c r="F5146" s="45">
        <v>39000000</v>
      </c>
      <c r="G5146" s="42" t="s">
        <v>763</v>
      </c>
      <c r="H5146" s="42" t="s">
        <v>151</v>
      </c>
      <c r="I5146" s="42" t="s">
        <v>893</v>
      </c>
    </row>
    <row r="5147" spans="1:9">
      <c r="A5147" s="42" t="s">
        <v>1088</v>
      </c>
      <c r="B5147" s="42" t="s">
        <v>219</v>
      </c>
      <c r="C5147" s="42" t="s">
        <v>1117</v>
      </c>
      <c r="D5147" s="42" t="s">
        <v>183</v>
      </c>
      <c r="E5147" s="42" t="s">
        <v>808</v>
      </c>
      <c r="F5147" s="45">
        <v>1030000</v>
      </c>
      <c r="G5147" s="42" t="s">
        <v>763</v>
      </c>
      <c r="H5147" s="42" t="s">
        <v>151</v>
      </c>
      <c r="I5147" s="42" t="s">
        <v>893</v>
      </c>
    </row>
    <row r="5148" spans="1:9">
      <c r="A5148" s="42" t="s">
        <v>1088</v>
      </c>
      <c r="B5148" s="42" t="s">
        <v>192</v>
      </c>
      <c r="C5148" s="42" t="s">
        <v>1089</v>
      </c>
      <c r="D5148" s="42" t="s">
        <v>184</v>
      </c>
      <c r="E5148" s="42" t="s">
        <v>808</v>
      </c>
      <c r="F5148" s="45">
        <v>6574000000</v>
      </c>
      <c r="G5148" s="42" t="s">
        <v>763</v>
      </c>
      <c r="H5148" s="42" t="s">
        <v>153</v>
      </c>
      <c r="I5148" s="42" t="s">
        <v>893</v>
      </c>
    </row>
    <row r="5149" spans="1:9">
      <c r="A5149" s="42" t="s">
        <v>1088</v>
      </c>
      <c r="B5149" s="42" t="s">
        <v>193</v>
      </c>
      <c r="C5149" s="42" t="s">
        <v>1090</v>
      </c>
      <c r="D5149" s="42" t="s">
        <v>184</v>
      </c>
      <c r="E5149" s="42" t="s">
        <v>808</v>
      </c>
      <c r="F5149" s="45">
        <v>-3609000000</v>
      </c>
      <c r="G5149" s="42" t="s">
        <v>763</v>
      </c>
      <c r="H5149" s="42" t="s">
        <v>153</v>
      </c>
      <c r="I5149" s="42" t="s">
        <v>893</v>
      </c>
    </row>
    <row r="5150" spans="1:9">
      <c r="A5150" s="42" t="s">
        <v>1088</v>
      </c>
      <c r="B5150" s="42" t="s">
        <v>194</v>
      </c>
      <c r="C5150" s="42" t="s">
        <v>1091</v>
      </c>
      <c r="D5150" s="42" t="s">
        <v>184</v>
      </c>
      <c r="E5150" s="42" t="s">
        <v>808</v>
      </c>
      <c r="F5150" s="45">
        <v>2965000000</v>
      </c>
      <c r="G5150" s="42" t="s">
        <v>763</v>
      </c>
      <c r="H5150" s="42" t="s">
        <v>153</v>
      </c>
      <c r="I5150" s="42" t="s">
        <v>893</v>
      </c>
    </row>
    <row r="5151" spans="1:9">
      <c r="A5151" s="42" t="s">
        <v>1088</v>
      </c>
      <c r="B5151" s="42" t="s">
        <v>195</v>
      </c>
      <c r="C5151" s="42" t="s">
        <v>1092</v>
      </c>
      <c r="D5151" s="42" t="s">
        <v>184</v>
      </c>
      <c r="E5151" s="42" t="s">
        <v>808</v>
      </c>
      <c r="F5151" s="45">
        <v>-601000000</v>
      </c>
      <c r="G5151" s="42" t="s">
        <v>763</v>
      </c>
      <c r="H5151" s="42" t="s">
        <v>153</v>
      </c>
      <c r="I5151" s="42" t="s">
        <v>893</v>
      </c>
    </row>
    <row r="5152" spans="1:9">
      <c r="A5152" s="42" t="s">
        <v>1088</v>
      </c>
      <c r="B5152" s="42" t="s">
        <v>196</v>
      </c>
      <c r="C5152" s="42" t="s">
        <v>1093</v>
      </c>
      <c r="D5152" s="42" t="s">
        <v>184</v>
      </c>
      <c r="E5152" s="42" t="s">
        <v>808</v>
      </c>
      <c r="F5152" s="45">
        <v>-323000000</v>
      </c>
      <c r="G5152" s="42" t="s">
        <v>763</v>
      </c>
      <c r="H5152" s="42" t="s">
        <v>153</v>
      </c>
      <c r="I5152" s="42" t="s">
        <v>893</v>
      </c>
    </row>
    <row r="5153" spans="1:9">
      <c r="A5153" s="42" t="s">
        <v>1088</v>
      </c>
      <c r="B5153" s="42" t="s">
        <v>197</v>
      </c>
      <c r="C5153" s="42" t="s">
        <v>1094</v>
      </c>
      <c r="D5153" s="42" t="s">
        <v>184</v>
      </c>
      <c r="E5153" s="42" t="s">
        <v>808</v>
      </c>
      <c r="F5153" s="45">
        <v>-17000000</v>
      </c>
      <c r="G5153" s="42" t="s">
        <v>763</v>
      </c>
      <c r="H5153" s="42" t="s">
        <v>153</v>
      </c>
      <c r="I5153" s="42" t="s">
        <v>893</v>
      </c>
    </row>
    <row r="5154" spans="1:9">
      <c r="A5154" s="42" t="s">
        <v>1088</v>
      </c>
      <c r="B5154" s="42" t="s">
        <v>198</v>
      </c>
      <c r="C5154" s="42" t="s">
        <v>1131</v>
      </c>
      <c r="D5154" s="42" t="s">
        <v>184</v>
      </c>
      <c r="E5154" s="42" t="s">
        <v>808</v>
      </c>
      <c r="F5154" s="45">
        <v>-8000000</v>
      </c>
      <c r="G5154" s="42" t="s">
        <v>763</v>
      </c>
      <c r="H5154" s="42" t="s">
        <v>153</v>
      </c>
      <c r="I5154" s="42" t="s">
        <v>893</v>
      </c>
    </row>
    <row r="5155" spans="1:9">
      <c r="A5155" s="42" t="s">
        <v>1088</v>
      </c>
      <c r="B5155" s="42" t="s">
        <v>199</v>
      </c>
      <c r="C5155" s="42" t="s">
        <v>1097</v>
      </c>
      <c r="D5155" s="42" t="s">
        <v>184</v>
      </c>
      <c r="E5155" s="42" t="s">
        <v>808</v>
      </c>
      <c r="F5155" s="45">
        <v>-203000000</v>
      </c>
      <c r="G5155" s="42" t="s">
        <v>763</v>
      </c>
      <c r="H5155" s="42" t="s">
        <v>153</v>
      </c>
      <c r="I5155" s="42" t="s">
        <v>893</v>
      </c>
    </row>
    <row r="5156" spans="1:9">
      <c r="A5156" s="42" t="s">
        <v>1088</v>
      </c>
      <c r="B5156" s="42" t="s">
        <v>200</v>
      </c>
      <c r="C5156" s="42" t="s">
        <v>1098</v>
      </c>
      <c r="D5156" s="42" t="s">
        <v>184</v>
      </c>
      <c r="E5156" s="42" t="s">
        <v>808</v>
      </c>
      <c r="F5156" s="45">
        <v>1813000000</v>
      </c>
      <c r="G5156" s="42" t="s">
        <v>763</v>
      </c>
      <c r="H5156" s="42" t="s">
        <v>153</v>
      </c>
      <c r="I5156" s="42" t="s">
        <v>893</v>
      </c>
    </row>
    <row r="5157" spans="1:9">
      <c r="A5157" s="42" t="s">
        <v>1088</v>
      </c>
      <c r="B5157" s="42" t="s">
        <v>201</v>
      </c>
      <c r="C5157" s="42" t="s">
        <v>1099</v>
      </c>
      <c r="D5157" s="42" t="s">
        <v>184</v>
      </c>
      <c r="E5157" s="42" t="s">
        <v>808</v>
      </c>
      <c r="F5157" s="45">
        <v>115000000</v>
      </c>
      <c r="G5157" s="42" t="s">
        <v>763</v>
      </c>
      <c r="H5157" s="42" t="s">
        <v>153</v>
      </c>
      <c r="I5157" s="42" t="s">
        <v>893</v>
      </c>
    </row>
    <row r="5158" spans="1:9">
      <c r="A5158" s="42" t="s">
        <v>1088</v>
      </c>
      <c r="B5158" s="42" t="s">
        <v>202</v>
      </c>
      <c r="C5158" s="42" t="s">
        <v>1100</v>
      </c>
      <c r="D5158" s="42" t="s">
        <v>184</v>
      </c>
      <c r="E5158" s="42" t="s">
        <v>808</v>
      </c>
      <c r="F5158" s="45">
        <v>63000000</v>
      </c>
      <c r="G5158" s="42" t="s">
        <v>763</v>
      </c>
      <c r="H5158" s="42" t="s">
        <v>153</v>
      </c>
      <c r="I5158" s="42" t="s">
        <v>893</v>
      </c>
    </row>
    <row r="5159" spans="1:9">
      <c r="A5159" s="42" t="s">
        <v>1088</v>
      </c>
      <c r="B5159" s="42" t="s">
        <v>203</v>
      </c>
      <c r="C5159" s="42" t="s">
        <v>1129</v>
      </c>
      <c r="D5159" s="42" t="s">
        <v>184</v>
      </c>
      <c r="E5159" s="42" t="s">
        <v>808</v>
      </c>
      <c r="F5159" s="45">
        <v>-312000000</v>
      </c>
      <c r="G5159" s="42" t="s">
        <v>763</v>
      </c>
      <c r="H5159" s="42" t="s">
        <v>153</v>
      </c>
      <c r="I5159" s="42" t="s">
        <v>893</v>
      </c>
    </row>
    <row r="5160" spans="1:9">
      <c r="A5160" s="42" t="s">
        <v>1088</v>
      </c>
      <c r="B5160" s="42" t="s">
        <v>204</v>
      </c>
      <c r="C5160" s="42" t="s">
        <v>1102</v>
      </c>
      <c r="D5160" s="42" t="s">
        <v>184</v>
      </c>
      <c r="E5160" s="42" t="s">
        <v>808</v>
      </c>
      <c r="F5160" s="45">
        <v>119000000</v>
      </c>
      <c r="G5160" s="42" t="s">
        <v>763</v>
      </c>
      <c r="H5160" s="42" t="s">
        <v>153</v>
      </c>
      <c r="I5160" s="42" t="s">
        <v>893</v>
      </c>
    </row>
    <row r="5161" spans="1:9">
      <c r="A5161" s="42" t="s">
        <v>1088</v>
      </c>
      <c r="B5161" s="42" t="s">
        <v>205</v>
      </c>
      <c r="C5161" s="42" t="s">
        <v>1103</v>
      </c>
      <c r="D5161" s="42" t="s">
        <v>184</v>
      </c>
      <c r="E5161" s="42" t="s">
        <v>808</v>
      </c>
      <c r="F5161" s="45">
        <v>-130000000</v>
      </c>
      <c r="G5161" s="42" t="s">
        <v>763</v>
      </c>
      <c r="H5161" s="42" t="s">
        <v>153</v>
      </c>
      <c r="I5161" s="42" t="s">
        <v>893</v>
      </c>
    </row>
    <row r="5162" spans="1:9">
      <c r="A5162" s="42" t="s">
        <v>1088</v>
      </c>
      <c r="B5162" s="42" t="s">
        <v>206</v>
      </c>
      <c r="C5162" s="42" t="s">
        <v>1104</v>
      </c>
      <c r="D5162" s="42" t="s">
        <v>184</v>
      </c>
      <c r="E5162" s="42" t="s">
        <v>808</v>
      </c>
      <c r="F5162" s="45">
        <v>1798000000</v>
      </c>
      <c r="G5162" s="42" t="s">
        <v>763</v>
      </c>
      <c r="H5162" s="42" t="s">
        <v>153</v>
      </c>
      <c r="I5162" s="42" t="s">
        <v>893</v>
      </c>
    </row>
    <row r="5163" spans="1:9">
      <c r="A5163" s="42" t="s">
        <v>1088</v>
      </c>
      <c r="B5163" s="42" t="s">
        <v>207</v>
      </c>
      <c r="C5163" s="42" t="s">
        <v>1105</v>
      </c>
      <c r="D5163" s="42" t="s">
        <v>184</v>
      </c>
      <c r="E5163" s="42" t="s">
        <v>808</v>
      </c>
      <c r="F5163" s="45">
        <v>-593000000</v>
      </c>
      <c r="G5163" s="42" t="s">
        <v>763</v>
      </c>
      <c r="H5163" s="42" t="s">
        <v>153</v>
      </c>
      <c r="I5163" s="42" t="s">
        <v>893</v>
      </c>
    </row>
    <row r="5164" spans="1:9">
      <c r="A5164" s="42" t="s">
        <v>1088</v>
      </c>
      <c r="B5164" s="42" t="s">
        <v>208</v>
      </c>
      <c r="C5164" s="42" t="s">
        <v>1106</v>
      </c>
      <c r="D5164" s="42" t="s">
        <v>184</v>
      </c>
      <c r="E5164" s="42" t="s">
        <v>808</v>
      </c>
      <c r="F5164" s="45">
        <v>1205000000</v>
      </c>
      <c r="G5164" s="42" t="s">
        <v>763</v>
      </c>
      <c r="H5164" s="42" t="s">
        <v>153</v>
      </c>
      <c r="I5164" s="42" t="s">
        <v>893</v>
      </c>
    </row>
    <row r="5165" spans="1:9">
      <c r="A5165" s="42" t="s">
        <v>1088</v>
      </c>
      <c r="B5165" s="42" t="s">
        <v>209</v>
      </c>
      <c r="C5165" s="42" t="s">
        <v>1130</v>
      </c>
      <c r="D5165" s="42" t="s">
        <v>184</v>
      </c>
      <c r="E5165" s="42" t="s">
        <v>808</v>
      </c>
      <c r="F5165" s="45">
        <v>-67000000</v>
      </c>
      <c r="G5165" s="42" t="s">
        <v>763</v>
      </c>
      <c r="H5165" s="42" t="s">
        <v>153</v>
      </c>
      <c r="I5165" s="42" t="s">
        <v>893</v>
      </c>
    </row>
    <row r="5166" spans="1:9">
      <c r="A5166" s="42" t="s">
        <v>1088</v>
      </c>
      <c r="B5166" s="42" t="s">
        <v>210</v>
      </c>
      <c r="C5166" s="42" t="s">
        <v>1124</v>
      </c>
      <c r="D5166" s="42" t="s">
        <v>184</v>
      </c>
      <c r="E5166" s="42" t="s">
        <v>808</v>
      </c>
      <c r="F5166" s="45">
        <v>45000000</v>
      </c>
      <c r="G5166" s="42" t="s">
        <v>763</v>
      </c>
      <c r="H5166" s="42" t="s">
        <v>153</v>
      </c>
      <c r="I5166" s="42" t="s">
        <v>893</v>
      </c>
    </row>
    <row r="5167" spans="1:9">
      <c r="A5167" s="42" t="s">
        <v>1088</v>
      </c>
      <c r="B5167" s="42" t="s">
        <v>211</v>
      </c>
      <c r="C5167" s="42" t="s">
        <v>1108</v>
      </c>
      <c r="D5167" s="42" t="s">
        <v>184</v>
      </c>
      <c r="E5167" s="42" t="s">
        <v>808</v>
      </c>
      <c r="F5167" s="45">
        <v>-22000000</v>
      </c>
      <c r="G5167" s="42" t="s">
        <v>763</v>
      </c>
      <c r="H5167" s="42" t="s">
        <v>153</v>
      </c>
      <c r="I5167" s="42" t="s">
        <v>893</v>
      </c>
    </row>
    <row r="5168" spans="1:9">
      <c r="A5168" s="42" t="s">
        <v>1088</v>
      </c>
      <c r="B5168" s="42" t="s">
        <v>212</v>
      </c>
      <c r="C5168" s="42" t="s">
        <v>1110</v>
      </c>
      <c r="D5168" s="42" t="s">
        <v>184</v>
      </c>
      <c r="E5168" s="42" t="s">
        <v>808</v>
      </c>
      <c r="F5168" s="45">
        <v>1183000000</v>
      </c>
      <c r="G5168" s="42" t="s">
        <v>763</v>
      </c>
      <c r="H5168" s="42" t="s">
        <v>153</v>
      </c>
      <c r="I5168" s="42" t="s">
        <v>893</v>
      </c>
    </row>
    <row r="5169" spans="1:9">
      <c r="A5169" s="42" t="s">
        <v>1088</v>
      </c>
      <c r="B5169" s="42" t="s">
        <v>1111</v>
      </c>
      <c r="C5169" s="42" t="s">
        <v>1112</v>
      </c>
      <c r="D5169" s="42" t="s">
        <v>184</v>
      </c>
      <c r="E5169" s="42" t="s">
        <v>808</v>
      </c>
      <c r="F5169" s="45">
        <v>1201000000</v>
      </c>
      <c r="G5169" s="42" t="s">
        <v>763</v>
      </c>
      <c r="H5169" s="42" t="s">
        <v>153</v>
      </c>
      <c r="I5169" s="42" t="s">
        <v>893</v>
      </c>
    </row>
    <row r="5170" spans="1:9">
      <c r="A5170" s="42" t="s">
        <v>1088</v>
      </c>
      <c r="B5170" s="42" t="s">
        <v>261</v>
      </c>
      <c r="C5170" s="42" t="s">
        <v>1113</v>
      </c>
      <c r="D5170" s="42" t="s">
        <v>184</v>
      </c>
      <c r="E5170" s="42" t="s">
        <v>808</v>
      </c>
      <c r="F5170" s="45">
        <v>4000000</v>
      </c>
      <c r="G5170" s="42" t="s">
        <v>763</v>
      </c>
      <c r="H5170" s="42" t="s">
        <v>153</v>
      </c>
      <c r="I5170" s="42" t="s">
        <v>893</v>
      </c>
    </row>
    <row r="5171" spans="1:9">
      <c r="A5171" s="42" t="s">
        <v>1088</v>
      </c>
      <c r="B5171" s="42" t="s">
        <v>1111</v>
      </c>
      <c r="C5171" s="42" t="s">
        <v>1114</v>
      </c>
      <c r="D5171" s="42" t="s">
        <v>184</v>
      </c>
      <c r="E5171" s="42" t="s">
        <v>808</v>
      </c>
      <c r="F5171" s="45">
        <v>-18000000</v>
      </c>
      <c r="G5171" s="42" t="s">
        <v>763</v>
      </c>
      <c r="H5171" s="42" t="s">
        <v>153</v>
      </c>
      <c r="I5171" s="42" t="s">
        <v>893</v>
      </c>
    </row>
    <row r="5172" spans="1:9">
      <c r="A5172" s="42" t="s">
        <v>1088</v>
      </c>
      <c r="B5172" s="42" t="s">
        <v>261</v>
      </c>
      <c r="C5172" s="42" t="s">
        <v>1125</v>
      </c>
      <c r="D5172" s="42" t="s">
        <v>184</v>
      </c>
      <c r="E5172" s="42" t="s">
        <v>808</v>
      </c>
      <c r="F5172" s="45">
        <v>-4000000</v>
      </c>
      <c r="G5172" s="42" t="s">
        <v>763</v>
      </c>
      <c r="H5172" s="42" t="s">
        <v>153</v>
      </c>
      <c r="I5172" s="42" t="s">
        <v>893</v>
      </c>
    </row>
    <row r="5173" spans="1:9">
      <c r="A5173" s="42" t="s">
        <v>1088</v>
      </c>
      <c r="B5173" s="42" t="s">
        <v>1111</v>
      </c>
      <c r="C5173" s="42" t="s">
        <v>1115</v>
      </c>
      <c r="D5173" s="42" t="s">
        <v>184</v>
      </c>
      <c r="E5173" s="42" t="s">
        <v>808</v>
      </c>
      <c r="F5173" s="45">
        <v>1183000000</v>
      </c>
      <c r="G5173" s="42" t="s">
        <v>763</v>
      </c>
      <c r="H5173" s="42" t="s">
        <v>153</v>
      </c>
      <c r="I5173" s="42" t="s">
        <v>893</v>
      </c>
    </row>
    <row r="5174" spans="1:9">
      <c r="A5174" s="42" t="s">
        <v>1088</v>
      </c>
      <c r="B5174" s="42" t="s">
        <v>261</v>
      </c>
      <c r="C5174" s="42" t="s">
        <v>1116</v>
      </c>
      <c r="D5174" s="42" t="s">
        <v>184</v>
      </c>
      <c r="E5174" s="42" t="s">
        <v>808</v>
      </c>
      <c r="F5174" s="45">
        <v>0</v>
      </c>
      <c r="G5174" s="42" t="s">
        <v>1001</v>
      </c>
      <c r="H5174" s="42" t="s">
        <v>1087</v>
      </c>
      <c r="I5174" s="42" t="s">
        <v>893</v>
      </c>
    </row>
    <row r="5175" spans="1:9">
      <c r="A5175" s="42" t="s">
        <v>1088</v>
      </c>
      <c r="B5175" s="42" t="s">
        <v>219</v>
      </c>
      <c r="C5175" s="42" t="s">
        <v>1117</v>
      </c>
      <c r="D5175" s="42" t="s">
        <v>184</v>
      </c>
      <c r="E5175" s="42" t="s">
        <v>808</v>
      </c>
      <c r="F5175" s="45">
        <v>310000</v>
      </c>
      <c r="G5175" s="42" t="s">
        <v>763</v>
      </c>
      <c r="H5175" s="42" t="s">
        <v>153</v>
      </c>
      <c r="I5175" s="42" t="s">
        <v>893</v>
      </c>
    </row>
  </sheetData>
  <autoFilter ref="A1:I517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Portada</vt:lpstr>
      <vt:lpstr>Tablero</vt:lpstr>
      <vt:lpstr>Resumen</vt:lpstr>
      <vt:lpstr>Resultados</vt:lpstr>
      <vt:lpstr>Balance</vt:lpstr>
      <vt:lpstr>Flujo de efectivo</vt:lpstr>
      <vt:lpstr>Análisis</vt:lpstr>
      <vt:lpstr>Segmentos</vt:lpstr>
      <vt:lpstr>Operativo</vt:lpstr>
      <vt:lpstr>Valuación</vt:lpstr>
      <vt:lpstr>Comparables</vt:lpstr>
      <vt:lpstr>Deuda</vt:lpstr>
      <vt:lpstr>Chequeos</vt:lpstr>
      <vt:lpstr>Datos</vt:lpstr>
      <vt:lpstr>Tablero!Print_Area</vt:lpstr>
    </vt:vector>
  </TitlesOfParts>
  <Company>ATLAS-YPF</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YPF — estados contables trimestrales</dc:title>
  <dc:subject>Estados contables consolidados en dólares, armados desde SEC EDGAR</dc:subject>
  <dc:creator>ATLAS-YPF</dc:creator>
  <dc:description>Generado por pipeline/export/excel_estados.py</dc:description>
  <cp:lastModifiedBy>ATLAS-YPF</cp:lastModifiedBy>
  <dcterms:created xsi:type="dcterms:W3CDTF">2026-09-15T14:46:51Z</dcterms:created>
  <dcterms:modified xsi:type="dcterms:W3CDTF">2026-09-15T14:46:51Z</dcterms:modified>
</cp:coreProperties>
</file>